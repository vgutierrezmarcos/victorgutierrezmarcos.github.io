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ml.chartshapes+xml"/>
  <Override PartName="/xl/charts/chart11.xml" ContentType="application/vnd.openxmlformats-officedocument.drawingml.chart+xml"/>
  <Override PartName="/xl/drawings/drawing8.xml" ContentType="application/vnd.openxmlformats-officedocument.drawingml.chartshapes+xml"/>
  <Override PartName="/xl/charts/chart12.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rawings/drawing15.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16.xml" ContentType="application/vnd.openxmlformats-officedocument.drawing+xml"/>
  <Override PartName="/xl/drawings/drawing17.xml" ContentType="application/vnd.openxmlformats-officedocument.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rawings/drawing18.xml" ContentType="application/vnd.openxmlformats-officedocument.drawing+xml"/>
  <Override PartName="/xl/tables/table2.xml" ContentType="application/vnd.openxmlformats-officedocument.spreadsheetml.table+xml"/>
  <Override PartName="/xl/drawings/drawing19.xml" ContentType="application/vnd.openxmlformats-officedocument.drawing+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updateLinks="always" codeName="ThisWorkbook" defaultThemeVersion="166925"/>
  <mc:AlternateContent xmlns:mc="http://schemas.openxmlformats.org/markup-compatibility/2006">
    <mc:Choice Requires="x15">
      <x15ac:absPath xmlns:x15ac="http://schemas.microsoft.com/office/spreadsheetml/2010/11/ac" url="C:\Users\UX533FD\Documents\Preparación oposición a TCEE\1. Organización\2. Estrategia\"/>
    </mc:Choice>
  </mc:AlternateContent>
  <xr:revisionPtr revIDLastSave="0" documentId="13_ncr:1_{A4450BCF-6955-4CD6-BD73-FB65286510DE}" xr6:coauthVersionLast="47" xr6:coauthVersionMax="47" xr10:uidLastSave="{00000000-0000-0000-0000-000000000000}"/>
  <bookViews>
    <workbookView xWindow="-120" yWindow="-120" windowWidth="29040" windowHeight="15720" tabRatio="890" xr2:uid="{4B8DB63F-9357-4964-85C9-CBB949A197E9}"/>
  </bookViews>
  <sheets>
    <sheet name="Menú" sheetId="15" r:id="rId1"/>
    <sheet name="Probabilidades" sheetId="16" r:id="rId2"/>
    <sheet name="Ej. 3" sheetId="2" r:id="rId3"/>
    <sheet name="Ej. 4" sheetId="3" r:id="rId4"/>
    <sheet name="Ej. 5" sheetId="4" r:id="rId5"/>
    <sheet name="Probabilidad de aprobar" sheetId="7" r:id="rId6"/>
    <sheet name="Sorteos" sheetId="29" r:id="rId7"/>
    <sheet name="Simulador de sorteos" sheetId="6" r:id="rId8"/>
    <sheet name="Sorteo de temas predefinidos" sheetId="28" r:id="rId9"/>
    <sheet name="Temario" sheetId="18" r:id="rId10"/>
    <sheet name="Listado de temas" sheetId="8" r:id="rId11"/>
    <sheet name="Tabla dinámica temas" sheetId="10" r:id="rId12"/>
    <sheet name="Organización del estudio" sheetId="17" r:id="rId13"/>
    <sheet name="Cronograma" sheetId="30" r:id="rId14"/>
    <sheet name="Horario de estudio" sheetId="9" r:id="rId15"/>
  </sheets>
  <calcPr calcId="191029"/>
  <pivotCaches>
    <pivotCache cacheId="0"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9" i="30" l="1"/>
  <c r="G152" i="30"/>
  <c r="H152" i="30"/>
  <c r="G153" i="30"/>
  <c r="H153" i="30"/>
  <c r="G154" i="30"/>
  <c r="H154" i="30"/>
  <c r="G155" i="30"/>
  <c r="H155" i="30"/>
  <c r="G156" i="30"/>
  <c r="H156" i="30"/>
  <c r="G157" i="30"/>
  <c r="H157" i="30"/>
  <c r="G158" i="30"/>
  <c r="H158" i="30"/>
  <c r="G159" i="30"/>
  <c r="H159" i="30"/>
  <c r="G160" i="30"/>
  <c r="H160" i="30"/>
  <c r="G161" i="30"/>
  <c r="H161" i="30"/>
  <c r="G162" i="30"/>
  <c r="H162" i="30"/>
  <c r="G163" i="30"/>
  <c r="H163" i="30"/>
  <c r="G164" i="30"/>
  <c r="H164" i="30"/>
  <c r="G165" i="30"/>
  <c r="H165" i="30"/>
  <c r="G166" i="30"/>
  <c r="H166" i="30"/>
  <c r="G167" i="30"/>
  <c r="H167" i="30"/>
  <c r="G168" i="30"/>
  <c r="H168" i="30"/>
  <c r="G169" i="30"/>
  <c r="H169" i="30"/>
  <c r="G170" i="30"/>
  <c r="H170" i="30"/>
  <c r="G171" i="30"/>
  <c r="H171" i="30"/>
  <c r="G172" i="30"/>
  <c r="H172" i="30"/>
  <c r="G173" i="30"/>
  <c r="H173" i="30"/>
  <c r="G174" i="30"/>
  <c r="H174" i="30"/>
  <c r="G175" i="30"/>
  <c r="H175" i="30"/>
  <c r="G176" i="30"/>
  <c r="H176" i="30"/>
  <c r="G177" i="30"/>
  <c r="H177" i="30"/>
  <c r="G178" i="30"/>
  <c r="H178" i="30"/>
  <c r="G148" i="30"/>
  <c r="H148" i="30"/>
  <c r="G149" i="30"/>
  <c r="H149" i="30"/>
  <c r="G150" i="30"/>
  <c r="H150" i="30"/>
  <c r="G151" i="30"/>
  <c r="H151" i="30"/>
  <c r="G3" i="30"/>
  <c r="H3" i="30"/>
  <c r="G4" i="30"/>
  <c r="H4" i="30"/>
  <c r="G5" i="30"/>
  <c r="H5" i="30"/>
  <c r="G6" i="30"/>
  <c r="H6" i="30"/>
  <c r="G7" i="30"/>
  <c r="H7" i="30"/>
  <c r="G8" i="30"/>
  <c r="H8" i="30"/>
  <c r="G9" i="30"/>
  <c r="H9" i="30"/>
  <c r="G10" i="30"/>
  <c r="H10" i="30"/>
  <c r="G11" i="30"/>
  <c r="H11" i="30"/>
  <c r="G12" i="30"/>
  <c r="H12" i="30"/>
  <c r="G13" i="30"/>
  <c r="H13" i="30"/>
  <c r="G14" i="30"/>
  <c r="H14" i="30"/>
  <c r="G15" i="30"/>
  <c r="H15" i="30"/>
  <c r="G16" i="30"/>
  <c r="H16" i="30"/>
  <c r="G17" i="30"/>
  <c r="H17" i="30"/>
  <c r="G18" i="30"/>
  <c r="H18" i="30"/>
  <c r="G19" i="30"/>
  <c r="H19" i="30"/>
  <c r="G20" i="30"/>
  <c r="H20" i="30"/>
  <c r="G21" i="30"/>
  <c r="H21" i="30"/>
  <c r="G22" i="30"/>
  <c r="H22" i="30"/>
  <c r="G23" i="30"/>
  <c r="H23" i="30"/>
  <c r="G24" i="30"/>
  <c r="H24" i="30"/>
  <c r="G25" i="30"/>
  <c r="H25" i="30"/>
  <c r="G26" i="30"/>
  <c r="H26" i="30"/>
  <c r="G27" i="30"/>
  <c r="H27" i="30"/>
  <c r="G28" i="30"/>
  <c r="H28" i="30"/>
  <c r="G29" i="30"/>
  <c r="H29" i="30"/>
  <c r="G30" i="30"/>
  <c r="H30" i="30"/>
  <c r="G31" i="30"/>
  <c r="H31" i="30"/>
  <c r="G32" i="30"/>
  <c r="H32" i="30"/>
  <c r="G33" i="30"/>
  <c r="H33" i="30"/>
  <c r="G34" i="30"/>
  <c r="H34" i="30"/>
  <c r="G35" i="30"/>
  <c r="H35" i="30"/>
  <c r="G36" i="30"/>
  <c r="H36" i="30"/>
  <c r="G37" i="30"/>
  <c r="H37" i="30"/>
  <c r="G38" i="30"/>
  <c r="H38" i="30"/>
  <c r="G39" i="30"/>
  <c r="H39" i="30"/>
  <c r="G40" i="30"/>
  <c r="H40" i="30"/>
  <c r="G41" i="30"/>
  <c r="H41" i="30"/>
  <c r="G42" i="30"/>
  <c r="H42" i="30"/>
  <c r="G43" i="30"/>
  <c r="H43" i="30"/>
  <c r="G44" i="30"/>
  <c r="H44" i="30"/>
  <c r="G45" i="30"/>
  <c r="H45" i="30"/>
  <c r="G46" i="30"/>
  <c r="H46" i="30"/>
  <c r="G47" i="30"/>
  <c r="H47" i="30"/>
  <c r="G48" i="30"/>
  <c r="H48" i="30"/>
  <c r="G49" i="30"/>
  <c r="H49" i="30"/>
  <c r="G50" i="30"/>
  <c r="H50" i="30"/>
  <c r="G51" i="30"/>
  <c r="H51" i="30"/>
  <c r="G52" i="30"/>
  <c r="H52" i="30"/>
  <c r="G53" i="30"/>
  <c r="H53" i="30"/>
  <c r="G54" i="30"/>
  <c r="H54" i="30"/>
  <c r="G55" i="30"/>
  <c r="H55" i="30"/>
  <c r="G56" i="30"/>
  <c r="H56" i="30"/>
  <c r="G57" i="30"/>
  <c r="H57" i="30"/>
  <c r="G58" i="30"/>
  <c r="H58" i="30"/>
  <c r="G59" i="30"/>
  <c r="H59" i="30"/>
  <c r="G60" i="30"/>
  <c r="H60" i="30"/>
  <c r="G61" i="30"/>
  <c r="H61" i="30"/>
  <c r="G62" i="30"/>
  <c r="H62" i="30"/>
  <c r="G63" i="30"/>
  <c r="H63" i="30"/>
  <c r="G64" i="30"/>
  <c r="H64" i="30"/>
  <c r="G65" i="30"/>
  <c r="H65" i="30"/>
  <c r="G66" i="30"/>
  <c r="H66" i="30"/>
  <c r="G67" i="30"/>
  <c r="H67" i="30"/>
  <c r="G68" i="30"/>
  <c r="H68" i="30"/>
  <c r="G69" i="30"/>
  <c r="H69" i="30"/>
  <c r="G70" i="30"/>
  <c r="H70" i="30"/>
  <c r="G71" i="30"/>
  <c r="H71" i="30"/>
  <c r="G72" i="30"/>
  <c r="H72" i="30"/>
  <c r="G73" i="30"/>
  <c r="H73" i="30"/>
  <c r="G74" i="30"/>
  <c r="H74" i="30"/>
  <c r="G75" i="30"/>
  <c r="H75" i="30"/>
  <c r="G76" i="30"/>
  <c r="H76" i="30"/>
  <c r="G77" i="30"/>
  <c r="H77" i="30"/>
  <c r="G78" i="30"/>
  <c r="H78" i="30"/>
  <c r="G79" i="30"/>
  <c r="H79" i="30"/>
  <c r="G80" i="30"/>
  <c r="H80" i="30"/>
  <c r="G81" i="30"/>
  <c r="H81" i="30"/>
  <c r="G82" i="30"/>
  <c r="H82" i="30"/>
  <c r="G83" i="30"/>
  <c r="H83" i="30"/>
  <c r="G84" i="30"/>
  <c r="H84" i="30"/>
  <c r="G85" i="30"/>
  <c r="H85" i="30"/>
  <c r="G86" i="30"/>
  <c r="H86" i="30"/>
  <c r="G87" i="30"/>
  <c r="H87" i="30"/>
  <c r="G88" i="30"/>
  <c r="H88" i="30"/>
  <c r="G89" i="30"/>
  <c r="H89" i="30"/>
  <c r="G90" i="30"/>
  <c r="H90" i="30"/>
  <c r="G91" i="30"/>
  <c r="H91" i="30"/>
  <c r="G92" i="30"/>
  <c r="H92" i="30"/>
  <c r="G93" i="30"/>
  <c r="H93" i="30"/>
  <c r="G94" i="30"/>
  <c r="H94" i="30"/>
  <c r="G95" i="30"/>
  <c r="H95" i="30"/>
  <c r="G96" i="30"/>
  <c r="H96" i="30"/>
  <c r="G97" i="30"/>
  <c r="H97" i="30"/>
  <c r="G98" i="30"/>
  <c r="H98" i="30"/>
  <c r="G99" i="30"/>
  <c r="H99" i="30"/>
  <c r="G100" i="30"/>
  <c r="H100" i="30"/>
  <c r="G101" i="30"/>
  <c r="H101" i="30"/>
  <c r="G102" i="30"/>
  <c r="H102" i="30"/>
  <c r="G103" i="30"/>
  <c r="H103" i="30"/>
  <c r="G104" i="30"/>
  <c r="H104" i="30"/>
  <c r="G105" i="30"/>
  <c r="H105" i="30"/>
  <c r="G106" i="30"/>
  <c r="H106" i="30"/>
  <c r="G107" i="30"/>
  <c r="H107" i="30"/>
  <c r="G108" i="30"/>
  <c r="H108" i="30"/>
  <c r="G109" i="30"/>
  <c r="H109" i="30"/>
  <c r="G110" i="30"/>
  <c r="H110" i="30"/>
  <c r="G111" i="30"/>
  <c r="H111" i="30"/>
  <c r="G112" i="30"/>
  <c r="H112" i="30"/>
  <c r="G113" i="30"/>
  <c r="H113" i="30"/>
  <c r="G114" i="30"/>
  <c r="H114" i="30"/>
  <c r="G115" i="30"/>
  <c r="H115" i="30"/>
  <c r="G116" i="30"/>
  <c r="H116" i="30"/>
  <c r="G117" i="30"/>
  <c r="H117" i="30"/>
  <c r="G118" i="30"/>
  <c r="H118" i="30"/>
  <c r="G119" i="30"/>
  <c r="H119" i="30"/>
  <c r="G120" i="30"/>
  <c r="H120" i="30"/>
  <c r="G121" i="30"/>
  <c r="H121" i="30"/>
  <c r="G122" i="30"/>
  <c r="H122" i="30"/>
  <c r="G123" i="30"/>
  <c r="H123" i="30"/>
  <c r="G124" i="30"/>
  <c r="H124" i="30"/>
  <c r="G125" i="30"/>
  <c r="H125" i="30"/>
  <c r="G126" i="30"/>
  <c r="H126" i="30"/>
  <c r="G127" i="30"/>
  <c r="H127" i="30"/>
  <c r="G128" i="30"/>
  <c r="H128" i="30"/>
  <c r="G129" i="30"/>
  <c r="H129" i="30"/>
  <c r="G130" i="30"/>
  <c r="H130" i="30"/>
  <c r="G131" i="30"/>
  <c r="H131" i="30"/>
  <c r="G132" i="30"/>
  <c r="H132" i="30"/>
  <c r="G133" i="30"/>
  <c r="H133" i="30"/>
  <c r="G134" i="30"/>
  <c r="H134" i="30"/>
  <c r="G135" i="30"/>
  <c r="H135" i="30"/>
  <c r="G136" i="30"/>
  <c r="H136" i="30"/>
  <c r="G137" i="30"/>
  <c r="H137" i="30"/>
  <c r="G138" i="30"/>
  <c r="H138" i="30"/>
  <c r="G139" i="30"/>
  <c r="H139" i="30"/>
  <c r="G140" i="30"/>
  <c r="H140" i="30"/>
  <c r="G141" i="30"/>
  <c r="H141" i="30"/>
  <c r="G142" i="30"/>
  <c r="H142" i="30"/>
  <c r="G143" i="30"/>
  <c r="H143" i="30"/>
  <c r="G144" i="30"/>
  <c r="H144" i="30"/>
  <c r="G145" i="30"/>
  <c r="H145" i="30"/>
  <c r="G146" i="30"/>
  <c r="H146" i="30"/>
  <c r="G147" i="30"/>
  <c r="H147" i="30"/>
  <c r="H2" i="30"/>
  <c r="G2" i="30"/>
  <c r="F2" i="30"/>
  <c r="F4" i="30"/>
  <c r="F5" i="30"/>
  <c r="F6" i="30"/>
  <c r="F7" i="30"/>
  <c r="F8" i="30"/>
  <c r="F9" i="30"/>
  <c r="F10" i="30"/>
  <c r="F11" i="30"/>
  <c r="F12" i="30"/>
  <c r="F13" i="30"/>
  <c r="F14" i="30"/>
  <c r="F15" i="30"/>
  <c r="F16" i="30"/>
  <c r="F17" i="30"/>
  <c r="F18" i="30"/>
  <c r="F19" i="30"/>
  <c r="F20" i="30"/>
  <c r="F21" i="30"/>
  <c r="F22" i="30"/>
  <c r="F23" i="30"/>
  <c r="F24" i="30"/>
  <c r="F25" i="30"/>
  <c r="F26" i="30"/>
  <c r="F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104" i="30"/>
  <c r="F105" i="30"/>
  <c r="F106" i="30"/>
  <c r="F107" i="30"/>
  <c r="F108" i="30"/>
  <c r="F109" i="30"/>
  <c r="F110" i="30"/>
  <c r="F111" i="30"/>
  <c r="F112" i="30"/>
  <c r="F113" i="30"/>
  <c r="F114" i="30"/>
  <c r="F115" i="30"/>
  <c r="F116" i="30"/>
  <c r="F117" i="30"/>
  <c r="F118" i="30"/>
  <c r="F119" i="30"/>
  <c r="F120" i="30"/>
  <c r="F121" i="30"/>
  <c r="F122" i="30"/>
  <c r="F123" i="30"/>
  <c r="F124" i="30"/>
  <c r="F125" i="30"/>
  <c r="F126" i="30"/>
  <c r="F127" i="30"/>
  <c r="F128" i="30"/>
  <c r="F129" i="30"/>
  <c r="F130" i="30"/>
  <c r="F131" i="30"/>
  <c r="F132" i="30"/>
  <c r="F133" i="30"/>
  <c r="F134" i="30"/>
  <c r="F135" i="30"/>
  <c r="F136" i="30"/>
  <c r="F137" i="30"/>
  <c r="F138" i="30"/>
  <c r="F139" i="30"/>
  <c r="F140" i="30"/>
  <c r="F141" i="30"/>
  <c r="F142" i="30"/>
  <c r="F143" i="30"/>
  <c r="F144" i="30"/>
  <c r="F145" i="30"/>
  <c r="F146" i="30"/>
  <c r="F147" i="30"/>
  <c r="F148" i="30"/>
  <c r="F149" i="30"/>
  <c r="F150" i="30"/>
  <c r="F151" i="30"/>
  <c r="F152" i="30"/>
  <c r="F153" i="30"/>
  <c r="F154" i="30"/>
  <c r="F155" i="30"/>
  <c r="F156" i="30"/>
  <c r="F157" i="30"/>
  <c r="F158" i="30"/>
  <c r="F159" i="30"/>
  <c r="F160" i="30"/>
  <c r="F161" i="30"/>
  <c r="F162" i="30"/>
  <c r="F163" i="30"/>
  <c r="F164" i="30"/>
  <c r="F165" i="30"/>
  <c r="F166" i="30"/>
  <c r="F167" i="30"/>
  <c r="F168" i="30"/>
  <c r="F169" i="30"/>
  <c r="F170" i="30"/>
  <c r="F171" i="30"/>
  <c r="F172" i="30"/>
  <c r="F173" i="30"/>
  <c r="F174" i="30"/>
  <c r="F175" i="30"/>
  <c r="F176" i="30"/>
  <c r="F177" i="30"/>
  <c r="F178" i="30"/>
  <c r="J2" i="28"/>
  <c r="M14" i="9"/>
  <c r="M17" i="9"/>
  <c r="M5" i="9"/>
  <c r="G9" i="7"/>
  <c r="D8" i="7"/>
  <c r="F6" i="7" s="1"/>
  <c r="D5" i="7"/>
  <c r="F3" i="30"/>
  <c r="E47" i="8"/>
  <c r="C5" i="3"/>
  <c r="C8" i="3"/>
  <c r="C11" i="3" s="1"/>
  <c r="R59" i="2"/>
  <c r="S59" i="2"/>
  <c r="T59" i="2"/>
  <c r="U59" i="2"/>
  <c r="V59" i="2"/>
  <c r="W59" i="2"/>
  <c r="X59" i="2"/>
  <c r="Y59" i="2"/>
  <c r="Z59" i="2"/>
  <c r="AA59" i="2"/>
  <c r="AB59" i="2"/>
  <c r="AC59" i="2"/>
  <c r="AD59" i="2"/>
  <c r="AE59" i="2"/>
  <c r="AF59" i="2"/>
  <c r="AG59" i="2"/>
  <c r="AH59" i="2"/>
  <c r="AI59" i="2"/>
  <c r="AJ59" i="2"/>
  <c r="AK59" i="2"/>
  <c r="AL59" i="2"/>
  <c r="AM59" i="2"/>
  <c r="AN59" i="2"/>
  <c r="AO59" i="2"/>
  <c r="AP59" i="2"/>
  <c r="AQ59" i="2"/>
  <c r="AR59" i="2"/>
  <c r="AS59" i="2"/>
  <c r="AT59" i="2"/>
  <c r="AU59" i="2"/>
  <c r="AV59" i="2"/>
  <c r="AW59" i="2"/>
  <c r="AX59" i="2"/>
  <c r="AY59" i="2"/>
  <c r="AZ59" i="2"/>
  <c r="BA59" i="2"/>
  <c r="BB59" i="2"/>
  <c r="BC59" i="2"/>
  <c r="BD59" i="2"/>
  <c r="BE59" i="2"/>
  <c r="BF59" i="2"/>
  <c r="BG59" i="2"/>
  <c r="BH59" i="2"/>
  <c r="BI59" i="2"/>
  <c r="BJ59" i="2"/>
  <c r="R60" i="2"/>
  <c r="S60" i="2"/>
  <c r="T60" i="2"/>
  <c r="U60" i="2"/>
  <c r="V60" i="2"/>
  <c r="W60" i="2"/>
  <c r="X60" i="2"/>
  <c r="Y60" i="2"/>
  <c r="Z60" i="2"/>
  <c r="AA60" i="2"/>
  <c r="AB60" i="2"/>
  <c r="AC60" i="2"/>
  <c r="AD60" i="2"/>
  <c r="AE60" i="2"/>
  <c r="AF60" i="2"/>
  <c r="AG60" i="2"/>
  <c r="AH60" i="2"/>
  <c r="AI60" i="2"/>
  <c r="AJ60" i="2"/>
  <c r="AK60" i="2"/>
  <c r="AL60" i="2"/>
  <c r="AM60" i="2"/>
  <c r="AN60" i="2"/>
  <c r="AO60" i="2"/>
  <c r="AP60" i="2"/>
  <c r="AQ60" i="2"/>
  <c r="AR60" i="2"/>
  <c r="AS60" i="2"/>
  <c r="AT60" i="2"/>
  <c r="AU60" i="2"/>
  <c r="AV60" i="2"/>
  <c r="AW60" i="2"/>
  <c r="AX60" i="2"/>
  <c r="AY60" i="2"/>
  <c r="AZ60" i="2"/>
  <c r="BA60" i="2"/>
  <c r="BB60" i="2"/>
  <c r="BC60" i="2"/>
  <c r="BD60" i="2"/>
  <c r="BE60" i="2"/>
  <c r="BF60" i="2"/>
  <c r="BG60" i="2"/>
  <c r="BH60" i="2"/>
  <c r="BI60" i="2"/>
  <c r="BJ60" i="2"/>
  <c r="R61" i="2"/>
  <c r="S61" i="2"/>
  <c r="T61" i="2"/>
  <c r="U61" i="2"/>
  <c r="V61" i="2"/>
  <c r="W61" i="2"/>
  <c r="X61" i="2"/>
  <c r="Y61" i="2"/>
  <c r="Z61" i="2"/>
  <c r="AA61" i="2"/>
  <c r="AB61" i="2"/>
  <c r="AC61" i="2"/>
  <c r="AD61" i="2"/>
  <c r="AE61" i="2"/>
  <c r="AF61" i="2"/>
  <c r="AG61" i="2"/>
  <c r="AH61" i="2"/>
  <c r="AI61" i="2"/>
  <c r="AJ61" i="2"/>
  <c r="AK61" i="2"/>
  <c r="AL61" i="2"/>
  <c r="AM61" i="2"/>
  <c r="AN61" i="2"/>
  <c r="AO61" i="2"/>
  <c r="AP61" i="2"/>
  <c r="AQ61" i="2"/>
  <c r="AR61" i="2"/>
  <c r="AS61" i="2"/>
  <c r="AT61" i="2"/>
  <c r="AU61" i="2"/>
  <c r="AV61" i="2"/>
  <c r="AW61" i="2"/>
  <c r="AX61" i="2"/>
  <c r="AY61" i="2"/>
  <c r="AZ61" i="2"/>
  <c r="BA61" i="2"/>
  <c r="BB61" i="2"/>
  <c r="BC61" i="2"/>
  <c r="BD61" i="2"/>
  <c r="BE61" i="2"/>
  <c r="BF61" i="2"/>
  <c r="BG61" i="2"/>
  <c r="BH61" i="2"/>
  <c r="BI61" i="2"/>
  <c r="BJ61" i="2"/>
  <c r="R62" i="2"/>
  <c r="S62" i="2"/>
  <c r="T62" i="2"/>
  <c r="U62" i="2"/>
  <c r="V62" i="2"/>
  <c r="W62" i="2"/>
  <c r="X62" i="2"/>
  <c r="Y62" i="2"/>
  <c r="Z62" i="2"/>
  <c r="AA62" i="2"/>
  <c r="AB62" i="2"/>
  <c r="AC62" i="2"/>
  <c r="AD62" i="2"/>
  <c r="AE62" i="2"/>
  <c r="AF62" i="2"/>
  <c r="AG62" i="2"/>
  <c r="AH62" i="2"/>
  <c r="AI62" i="2"/>
  <c r="AJ62" i="2"/>
  <c r="AK62" i="2"/>
  <c r="AL62" i="2"/>
  <c r="AM62" i="2"/>
  <c r="AN62" i="2"/>
  <c r="AO62" i="2"/>
  <c r="AP62" i="2"/>
  <c r="AQ62" i="2"/>
  <c r="AR62" i="2"/>
  <c r="AS62" i="2"/>
  <c r="AT62" i="2"/>
  <c r="AU62" i="2"/>
  <c r="AV62" i="2"/>
  <c r="AW62" i="2"/>
  <c r="AX62" i="2"/>
  <c r="AY62" i="2"/>
  <c r="AZ62" i="2"/>
  <c r="BA62" i="2"/>
  <c r="BB62" i="2"/>
  <c r="BC62" i="2"/>
  <c r="BD62" i="2"/>
  <c r="BE62" i="2"/>
  <c r="BF62" i="2"/>
  <c r="BG62" i="2"/>
  <c r="BH62" i="2"/>
  <c r="BI62" i="2"/>
  <c r="BJ62" i="2"/>
  <c r="R63" i="2"/>
  <c r="S63" i="2"/>
  <c r="T63" i="2"/>
  <c r="U63" i="2"/>
  <c r="V63" i="2"/>
  <c r="W63" i="2"/>
  <c r="X63" i="2"/>
  <c r="Y63" i="2"/>
  <c r="Z63" i="2"/>
  <c r="AA63" i="2"/>
  <c r="AB63" i="2"/>
  <c r="AC63" i="2"/>
  <c r="AD63" i="2"/>
  <c r="AE63" i="2"/>
  <c r="AF63" i="2"/>
  <c r="AG63" i="2"/>
  <c r="AH63" i="2"/>
  <c r="AI63" i="2"/>
  <c r="AJ63" i="2"/>
  <c r="AK63" i="2"/>
  <c r="AL63" i="2"/>
  <c r="AM63" i="2"/>
  <c r="AN63" i="2"/>
  <c r="AO63" i="2"/>
  <c r="AP63" i="2"/>
  <c r="AQ63" i="2"/>
  <c r="AR63" i="2"/>
  <c r="AS63" i="2"/>
  <c r="AT63" i="2"/>
  <c r="AU63" i="2"/>
  <c r="AV63" i="2"/>
  <c r="AW63" i="2"/>
  <c r="AX63" i="2"/>
  <c r="AY63" i="2"/>
  <c r="AZ63" i="2"/>
  <c r="BA63" i="2"/>
  <c r="BB63" i="2"/>
  <c r="BC63" i="2"/>
  <c r="BD63" i="2"/>
  <c r="BE63" i="2"/>
  <c r="BF63" i="2"/>
  <c r="BG63" i="2"/>
  <c r="BH63" i="2"/>
  <c r="BI63" i="2"/>
  <c r="BJ63" i="2"/>
  <c r="R64" i="2"/>
  <c r="S64" i="2"/>
  <c r="T64" i="2"/>
  <c r="U64" i="2"/>
  <c r="V64" i="2"/>
  <c r="W64" i="2"/>
  <c r="X64" i="2"/>
  <c r="Y64" i="2"/>
  <c r="Z64" i="2"/>
  <c r="AA64" i="2"/>
  <c r="AB64" i="2"/>
  <c r="AC64" i="2"/>
  <c r="AD64" i="2"/>
  <c r="AE64" i="2"/>
  <c r="AF64" i="2"/>
  <c r="AG64" i="2"/>
  <c r="AH64" i="2"/>
  <c r="AI64" i="2"/>
  <c r="AJ64" i="2"/>
  <c r="AK64" i="2"/>
  <c r="AL64" i="2"/>
  <c r="AM64" i="2"/>
  <c r="AN64" i="2"/>
  <c r="AO64" i="2"/>
  <c r="AP64" i="2"/>
  <c r="AQ64" i="2"/>
  <c r="AR64" i="2"/>
  <c r="AS64" i="2"/>
  <c r="AT64" i="2"/>
  <c r="AU64" i="2"/>
  <c r="AV64" i="2"/>
  <c r="AW64" i="2"/>
  <c r="AX64" i="2"/>
  <c r="AY64" i="2"/>
  <c r="AZ64" i="2"/>
  <c r="BA64" i="2"/>
  <c r="BB64" i="2"/>
  <c r="BC64" i="2"/>
  <c r="BD64" i="2"/>
  <c r="BE64" i="2"/>
  <c r="BF64" i="2"/>
  <c r="BG64" i="2"/>
  <c r="BH64" i="2"/>
  <c r="BI64" i="2"/>
  <c r="BJ64" i="2"/>
  <c r="R65" i="2"/>
  <c r="S65" i="2"/>
  <c r="T65" i="2"/>
  <c r="U65" i="2"/>
  <c r="V65" i="2"/>
  <c r="W65" i="2"/>
  <c r="X65" i="2"/>
  <c r="Y65" i="2"/>
  <c r="Z65" i="2"/>
  <c r="AA65" i="2"/>
  <c r="AB65" i="2"/>
  <c r="AC65" i="2"/>
  <c r="AD65" i="2"/>
  <c r="AE65" i="2"/>
  <c r="AF65" i="2"/>
  <c r="AG65" i="2"/>
  <c r="AH65" i="2"/>
  <c r="AI65" i="2"/>
  <c r="AJ65" i="2"/>
  <c r="AK65" i="2"/>
  <c r="AL65" i="2"/>
  <c r="AM65" i="2"/>
  <c r="AN65" i="2"/>
  <c r="AO65" i="2"/>
  <c r="AP65" i="2"/>
  <c r="AQ65" i="2"/>
  <c r="AR65" i="2"/>
  <c r="AS65" i="2"/>
  <c r="AT65" i="2"/>
  <c r="AU65" i="2"/>
  <c r="AV65" i="2"/>
  <c r="AW65" i="2"/>
  <c r="AX65" i="2"/>
  <c r="AY65" i="2"/>
  <c r="AZ65" i="2"/>
  <c r="BA65" i="2"/>
  <c r="BB65" i="2"/>
  <c r="BC65" i="2"/>
  <c r="BD65" i="2"/>
  <c r="BE65" i="2"/>
  <c r="BF65" i="2"/>
  <c r="BG65" i="2"/>
  <c r="BH65" i="2"/>
  <c r="BI65" i="2"/>
  <c r="BJ65" i="2"/>
  <c r="R66" i="2"/>
  <c r="S66" i="2"/>
  <c r="T66" i="2"/>
  <c r="U66" i="2"/>
  <c r="V66" i="2"/>
  <c r="W66" i="2"/>
  <c r="X66" i="2"/>
  <c r="Y66" i="2"/>
  <c r="Z66" i="2"/>
  <c r="AA66" i="2"/>
  <c r="AB66" i="2"/>
  <c r="AC66" i="2"/>
  <c r="AD66" i="2"/>
  <c r="AE66" i="2"/>
  <c r="AF66" i="2"/>
  <c r="AG66" i="2"/>
  <c r="AH66" i="2"/>
  <c r="AI66" i="2"/>
  <c r="AJ66" i="2"/>
  <c r="AK66" i="2"/>
  <c r="AL66" i="2"/>
  <c r="AM66" i="2"/>
  <c r="AN66" i="2"/>
  <c r="AO66" i="2"/>
  <c r="AP66" i="2"/>
  <c r="AQ66" i="2"/>
  <c r="AR66" i="2"/>
  <c r="AS66" i="2"/>
  <c r="AT66" i="2"/>
  <c r="AU66" i="2"/>
  <c r="AV66" i="2"/>
  <c r="AW66" i="2"/>
  <c r="AX66" i="2"/>
  <c r="AY66" i="2"/>
  <c r="AZ66" i="2"/>
  <c r="BA66" i="2"/>
  <c r="BB66" i="2"/>
  <c r="BC66" i="2"/>
  <c r="BD66" i="2"/>
  <c r="BE66" i="2"/>
  <c r="BF66" i="2"/>
  <c r="BG66" i="2"/>
  <c r="BH66" i="2"/>
  <c r="BI66" i="2"/>
  <c r="BJ66" i="2"/>
  <c r="R67" i="2"/>
  <c r="S67" i="2"/>
  <c r="T67" i="2"/>
  <c r="U67" i="2"/>
  <c r="V67" i="2"/>
  <c r="W67" i="2"/>
  <c r="X67" i="2"/>
  <c r="Y67" i="2"/>
  <c r="Z67" i="2"/>
  <c r="AA67" i="2"/>
  <c r="AB67" i="2"/>
  <c r="AC67" i="2"/>
  <c r="AD67" i="2"/>
  <c r="AE67" i="2"/>
  <c r="AF67" i="2"/>
  <c r="AG67" i="2"/>
  <c r="AH67" i="2"/>
  <c r="AI67" i="2"/>
  <c r="AJ67" i="2"/>
  <c r="AK67" i="2"/>
  <c r="AL67" i="2"/>
  <c r="AM67" i="2"/>
  <c r="AN67" i="2"/>
  <c r="AO67" i="2"/>
  <c r="AP67" i="2"/>
  <c r="AQ67" i="2"/>
  <c r="AR67" i="2"/>
  <c r="AS67" i="2"/>
  <c r="AT67" i="2"/>
  <c r="AU67" i="2"/>
  <c r="AV67" i="2"/>
  <c r="AW67" i="2"/>
  <c r="AX67" i="2"/>
  <c r="AY67" i="2"/>
  <c r="AZ67" i="2"/>
  <c r="BA67" i="2"/>
  <c r="BB67" i="2"/>
  <c r="BC67" i="2"/>
  <c r="BD67" i="2"/>
  <c r="BE67" i="2"/>
  <c r="BF67" i="2"/>
  <c r="BG67" i="2"/>
  <c r="BH67" i="2"/>
  <c r="BI67" i="2"/>
  <c r="BJ67" i="2"/>
  <c r="R68" i="2"/>
  <c r="S68" i="2"/>
  <c r="T68" i="2"/>
  <c r="U68" i="2"/>
  <c r="V68" i="2"/>
  <c r="W68" i="2"/>
  <c r="X68" i="2"/>
  <c r="Y68" i="2"/>
  <c r="Z68" i="2"/>
  <c r="AA68" i="2"/>
  <c r="AB68" i="2"/>
  <c r="AC68" i="2"/>
  <c r="AD68" i="2"/>
  <c r="AE68" i="2"/>
  <c r="AF68" i="2"/>
  <c r="AG68" i="2"/>
  <c r="AH68" i="2"/>
  <c r="AI68" i="2"/>
  <c r="AJ68" i="2"/>
  <c r="AK68" i="2"/>
  <c r="AL68" i="2"/>
  <c r="AM68" i="2"/>
  <c r="AN68" i="2"/>
  <c r="AO68" i="2"/>
  <c r="AP68" i="2"/>
  <c r="AQ68" i="2"/>
  <c r="AR68" i="2"/>
  <c r="AS68" i="2"/>
  <c r="AT68" i="2"/>
  <c r="AU68" i="2"/>
  <c r="AV68" i="2"/>
  <c r="AW68" i="2"/>
  <c r="AX68" i="2"/>
  <c r="AY68" i="2"/>
  <c r="AZ68" i="2"/>
  <c r="BA68" i="2"/>
  <c r="BB68" i="2"/>
  <c r="BC68" i="2"/>
  <c r="BD68" i="2"/>
  <c r="BE68" i="2"/>
  <c r="BF68" i="2"/>
  <c r="BG68" i="2"/>
  <c r="BH68" i="2"/>
  <c r="BI68" i="2"/>
  <c r="BJ68" i="2"/>
  <c r="R69" i="2"/>
  <c r="S69" i="2"/>
  <c r="T69" i="2"/>
  <c r="U69" i="2"/>
  <c r="V69" i="2"/>
  <c r="W69" i="2"/>
  <c r="X69" i="2"/>
  <c r="Y69" i="2"/>
  <c r="Z69" i="2"/>
  <c r="AA69" i="2"/>
  <c r="AB69" i="2"/>
  <c r="AC69" i="2"/>
  <c r="AD69" i="2"/>
  <c r="AE69" i="2"/>
  <c r="AF69" i="2"/>
  <c r="AG69" i="2"/>
  <c r="AH69" i="2"/>
  <c r="AI69" i="2"/>
  <c r="AJ69" i="2"/>
  <c r="AK69" i="2"/>
  <c r="AL69" i="2"/>
  <c r="AM69" i="2"/>
  <c r="AN69" i="2"/>
  <c r="AO69" i="2"/>
  <c r="AP69" i="2"/>
  <c r="AQ69" i="2"/>
  <c r="AR69" i="2"/>
  <c r="AS69" i="2"/>
  <c r="AT69" i="2"/>
  <c r="AU69" i="2"/>
  <c r="AV69" i="2"/>
  <c r="AW69" i="2"/>
  <c r="AX69" i="2"/>
  <c r="AY69" i="2"/>
  <c r="AZ69" i="2"/>
  <c r="BA69" i="2"/>
  <c r="BB69" i="2"/>
  <c r="BC69" i="2"/>
  <c r="BD69" i="2"/>
  <c r="BE69" i="2"/>
  <c r="BF69" i="2"/>
  <c r="BG69" i="2"/>
  <c r="BH69" i="2"/>
  <c r="BI69" i="2"/>
  <c r="BJ69" i="2"/>
  <c r="R70" i="2"/>
  <c r="S70" i="2"/>
  <c r="T70" i="2"/>
  <c r="U70" i="2"/>
  <c r="V70" i="2"/>
  <c r="W70" i="2"/>
  <c r="X70" i="2"/>
  <c r="Y70" i="2"/>
  <c r="Z70" i="2"/>
  <c r="AA70" i="2"/>
  <c r="AB70" i="2"/>
  <c r="AC70" i="2"/>
  <c r="AD70" i="2"/>
  <c r="AE70" i="2"/>
  <c r="AF70" i="2"/>
  <c r="AG70" i="2"/>
  <c r="AH70" i="2"/>
  <c r="AI70" i="2"/>
  <c r="AJ70" i="2"/>
  <c r="AK70" i="2"/>
  <c r="AL70" i="2"/>
  <c r="AM70" i="2"/>
  <c r="AN70" i="2"/>
  <c r="AO70" i="2"/>
  <c r="AP70" i="2"/>
  <c r="AQ70" i="2"/>
  <c r="AR70" i="2"/>
  <c r="AS70" i="2"/>
  <c r="AT70" i="2"/>
  <c r="AU70" i="2"/>
  <c r="AV70" i="2"/>
  <c r="AW70" i="2"/>
  <c r="AX70" i="2"/>
  <c r="AY70" i="2"/>
  <c r="AZ70" i="2"/>
  <c r="BA70" i="2"/>
  <c r="BB70" i="2"/>
  <c r="BC70" i="2"/>
  <c r="BD70" i="2"/>
  <c r="BE70" i="2"/>
  <c r="BF70" i="2"/>
  <c r="BG70" i="2"/>
  <c r="BH70" i="2"/>
  <c r="BI70" i="2"/>
  <c r="BJ70" i="2"/>
  <c r="R71" i="2"/>
  <c r="S71" i="2"/>
  <c r="T71" i="2"/>
  <c r="U71" i="2"/>
  <c r="V71" i="2"/>
  <c r="W71" i="2"/>
  <c r="X71" i="2"/>
  <c r="Y71" i="2"/>
  <c r="Z71" i="2"/>
  <c r="AA71" i="2"/>
  <c r="AB71" i="2"/>
  <c r="AC71" i="2"/>
  <c r="AD71" i="2"/>
  <c r="AE71" i="2"/>
  <c r="AF71" i="2"/>
  <c r="AG71" i="2"/>
  <c r="AH71" i="2"/>
  <c r="AI71" i="2"/>
  <c r="AJ71" i="2"/>
  <c r="AK71" i="2"/>
  <c r="AL71" i="2"/>
  <c r="AM71" i="2"/>
  <c r="AN71" i="2"/>
  <c r="AO71" i="2"/>
  <c r="AP71" i="2"/>
  <c r="AQ71" i="2"/>
  <c r="AR71" i="2"/>
  <c r="AS71" i="2"/>
  <c r="AT71" i="2"/>
  <c r="AU71" i="2"/>
  <c r="AV71" i="2"/>
  <c r="AW71" i="2"/>
  <c r="AX71" i="2"/>
  <c r="AY71" i="2"/>
  <c r="AZ71" i="2"/>
  <c r="BA71" i="2"/>
  <c r="BB71" i="2"/>
  <c r="BC71" i="2"/>
  <c r="BD71" i="2"/>
  <c r="BE71" i="2"/>
  <c r="BF71" i="2"/>
  <c r="BG71" i="2"/>
  <c r="BH71" i="2"/>
  <c r="BI71" i="2"/>
  <c r="BJ71" i="2"/>
  <c r="R72" i="2"/>
  <c r="S72" i="2"/>
  <c r="T72" i="2"/>
  <c r="U72" i="2"/>
  <c r="V72" i="2"/>
  <c r="W72" i="2"/>
  <c r="X72" i="2"/>
  <c r="Y72" i="2"/>
  <c r="Z72" i="2"/>
  <c r="AA72" i="2"/>
  <c r="AB72" i="2"/>
  <c r="AC72" i="2"/>
  <c r="AD72" i="2"/>
  <c r="AE72" i="2"/>
  <c r="AF72" i="2"/>
  <c r="AG72" i="2"/>
  <c r="AH72" i="2"/>
  <c r="AI72" i="2"/>
  <c r="AJ72" i="2"/>
  <c r="AK72" i="2"/>
  <c r="AL72" i="2"/>
  <c r="AM72" i="2"/>
  <c r="AN72" i="2"/>
  <c r="AO72" i="2"/>
  <c r="AP72" i="2"/>
  <c r="AQ72" i="2"/>
  <c r="AR72" i="2"/>
  <c r="AS72" i="2"/>
  <c r="AT72" i="2"/>
  <c r="AU72" i="2"/>
  <c r="AV72" i="2"/>
  <c r="AW72" i="2"/>
  <c r="AX72" i="2"/>
  <c r="AY72" i="2"/>
  <c r="AZ72" i="2"/>
  <c r="BA72" i="2"/>
  <c r="BB72" i="2"/>
  <c r="BC72" i="2"/>
  <c r="BD72" i="2"/>
  <c r="BE72" i="2"/>
  <c r="BF72" i="2"/>
  <c r="BG72" i="2"/>
  <c r="BH72" i="2"/>
  <c r="BI72" i="2"/>
  <c r="BJ72" i="2"/>
  <c r="R73" i="2"/>
  <c r="S73" i="2"/>
  <c r="T73" i="2"/>
  <c r="U73" i="2"/>
  <c r="V73" i="2"/>
  <c r="W73" i="2"/>
  <c r="X73" i="2"/>
  <c r="Y73" i="2"/>
  <c r="Z73" i="2"/>
  <c r="AA73" i="2"/>
  <c r="AB73" i="2"/>
  <c r="AC73" i="2"/>
  <c r="AD73" i="2"/>
  <c r="AE73" i="2"/>
  <c r="AF73" i="2"/>
  <c r="AG73" i="2"/>
  <c r="AH73" i="2"/>
  <c r="AI73" i="2"/>
  <c r="AJ73" i="2"/>
  <c r="AK73" i="2"/>
  <c r="AL73" i="2"/>
  <c r="AM73" i="2"/>
  <c r="AN73" i="2"/>
  <c r="AO73" i="2"/>
  <c r="AP73" i="2"/>
  <c r="AQ73" i="2"/>
  <c r="AR73" i="2"/>
  <c r="AS73" i="2"/>
  <c r="AT73" i="2"/>
  <c r="AU73" i="2"/>
  <c r="AV73" i="2"/>
  <c r="AW73" i="2"/>
  <c r="AX73" i="2"/>
  <c r="AY73" i="2"/>
  <c r="AZ73" i="2"/>
  <c r="BA73" i="2"/>
  <c r="BB73" i="2"/>
  <c r="BC73" i="2"/>
  <c r="BD73" i="2"/>
  <c r="BE73" i="2"/>
  <c r="BF73" i="2"/>
  <c r="BG73" i="2"/>
  <c r="BH73" i="2"/>
  <c r="BI73" i="2"/>
  <c r="BJ73" i="2"/>
  <c r="R74" i="2"/>
  <c r="S74" i="2"/>
  <c r="T74" i="2"/>
  <c r="U74" i="2"/>
  <c r="V74" i="2"/>
  <c r="W74" i="2"/>
  <c r="X74" i="2"/>
  <c r="Y74" i="2"/>
  <c r="Z74" i="2"/>
  <c r="AA74" i="2"/>
  <c r="AB74" i="2"/>
  <c r="AC74" i="2"/>
  <c r="AD74" i="2"/>
  <c r="AE74" i="2"/>
  <c r="AF74" i="2"/>
  <c r="AG74" i="2"/>
  <c r="AH74" i="2"/>
  <c r="AI74" i="2"/>
  <c r="AJ74" i="2"/>
  <c r="AK74" i="2"/>
  <c r="AL74" i="2"/>
  <c r="AM74" i="2"/>
  <c r="AN74" i="2"/>
  <c r="AO74" i="2"/>
  <c r="AP74" i="2"/>
  <c r="AQ74" i="2"/>
  <c r="AR74" i="2"/>
  <c r="AS74" i="2"/>
  <c r="AT74" i="2"/>
  <c r="AU74" i="2"/>
  <c r="AV74" i="2"/>
  <c r="AW74" i="2"/>
  <c r="AX74" i="2"/>
  <c r="AY74" i="2"/>
  <c r="AZ74" i="2"/>
  <c r="BA74" i="2"/>
  <c r="BB74" i="2"/>
  <c r="BC74" i="2"/>
  <c r="BD74" i="2"/>
  <c r="BE74" i="2"/>
  <c r="BF74" i="2"/>
  <c r="BG74" i="2"/>
  <c r="BH74" i="2"/>
  <c r="BI74" i="2"/>
  <c r="BJ74" i="2"/>
  <c r="R75" i="2"/>
  <c r="S75" i="2"/>
  <c r="T75" i="2"/>
  <c r="U75" i="2"/>
  <c r="V75" i="2"/>
  <c r="W75" i="2"/>
  <c r="X75" i="2"/>
  <c r="Y75" i="2"/>
  <c r="Z75" i="2"/>
  <c r="AA75" i="2"/>
  <c r="AB75" i="2"/>
  <c r="AC75" i="2"/>
  <c r="AD75" i="2"/>
  <c r="AE75" i="2"/>
  <c r="AF75" i="2"/>
  <c r="AG75" i="2"/>
  <c r="AH75" i="2"/>
  <c r="AI75" i="2"/>
  <c r="AJ75" i="2"/>
  <c r="AK75" i="2"/>
  <c r="AL75" i="2"/>
  <c r="AM75" i="2"/>
  <c r="AN75" i="2"/>
  <c r="AO75" i="2"/>
  <c r="AP75" i="2"/>
  <c r="AQ75" i="2"/>
  <c r="AR75" i="2"/>
  <c r="AS75" i="2"/>
  <c r="AT75" i="2"/>
  <c r="AU75" i="2"/>
  <c r="AV75" i="2"/>
  <c r="AW75" i="2"/>
  <c r="AX75" i="2"/>
  <c r="AY75" i="2"/>
  <c r="AZ75" i="2"/>
  <c r="BA75" i="2"/>
  <c r="BB75" i="2"/>
  <c r="BC75" i="2"/>
  <c r="BD75" i="2"/>
  <c r="BE75" i="2"/>
  <c r="BF75" i="2"/>
  <c r="BG75" i="2"/>
  <c r="BH75" i="2"/>
  <c r="BI75" i="2"/>
  <c r="BJ75" i="2"/>
  <c r="R76" i="2"/>
  <c r="S76" i="2"/>
  <c r="T76" i="2"/>
  <c r="U76" i="2"/>
  <c r="V76" i="2"/>
  <c r="W76" i="2"/>
  <c r="X76" i="2"/>
  <c r="Y76" i="2"/>
  <c r="Z76" i="2"/>
  <c r="AA76" i="2"/>
  <c r="AB76" i="2"/>
  <c r="AC76" i="2"/>
  <c r="AD76" i="2"/>
  <c r="AE76" i="2"/>
  <c r="AF76" i="2"/>
  <c r="AG76" i="2"/>
  <c r="AH76" i="2"/>
  <c r="AI76" i="2"/>
  <c r="AJ76" i="2"/>
  <c r="AK76" i="2"/>
  <c r="AL76" i="2"/>
  <c r="AM76" i="2"/>
  <c r="AN76" i="2"/>
  <c r="AO76" i="2"/>
  <c r="AP76" i="2"/>
  <c r="AQ76" i="2"/>
  <c r="AR76" i="2"/>
  <c r="AS76" i="2"/>
  <c r="AT76" i="2"/>
  <c r="AU76" i="2"/>
  <c r="AV76" i="2"/>
  <c r="AW76" i="2"/>
  <c r="AX76" i="2"/>
  <c r="AY76" i="2"/>
  <c r="AZ76" i="2"/>
  <c r="BA76" i="2"/>
  <c r="BB76" i="2"/>
  <c r="BC76" i="2"/>
  <c r="BD76" i="2"/>
  <c r="BE76" i="2"/>
  <c r="BF76" i="2"/>
  <c r="BG76" i="2"/>
  <c r="BH76" i="2"/>
  <c r="BI76" i="2"/>
  <c r="BJ76" i="2"/>
  <c r="R77" i="2"/>
  <c r="S77" i="2"/>
  <c r="T77" i="2"/>
  <c r="U77" i="2"/>
  <c r="V77" i="2"/>
  <c r="W77" i="2"/>
  <c r="X77" i="2"/>
  <c r="Y77" i="2"/>
  <c r="Z77" i="2"/>
  <c r="AA77" i="2"/>
  <c r="AB77" i="2"/>
  <c r="AC77" i="2"/>
  <c r="AD77" i="2"/>
  <c r="AE77" i="2"/>
  <c r="AF77" i="2"/>
  <c r="AG77" i="2"/>
  <c r="AH77" i="2"/>
  <c r="AI77" i="2"/>
  <c r="AJ77" i="2"/>
  <c r="AK77" i="2"/>
  <c r="AL77" i="2"/>
  <c r="AM77" i="2"/>
  <c r="AN77" i="2"/>
  <c r="AO77" i="2"/>
  <c r="AP77" i="2"/>
  <c r="AQ77" i="2"/>
  <c r="AR77" i="2"/>
  <c r="AS77" i="2"/>
  <c r="AT77" i="2"/>
  <c r="AU77" i="2"/>
  <c r="AV77" i="2"/>
  <c r="AW77" i="2"/>
  <c r="AX77" i="2"/>
  <c r="AY77" i="2"/>
  <c r="AZ77" i="2"/>
  <c r="BA77" i="2"/>
  <c r="BB77" i="2"/>
  <c r="BC77" i="2"/>
  <c r="BD77" i="2"/>
  <c r="BE77" i="2"/>
  <c r="BF77" i="2"/>
  <c r="BG77" i="2"/>
  <c r="BH77" i="2"/>
  <c r="BI77" i="2"/>
  <c r="BJ77" i="2"/>
  <c r="R78" i="2"/>
  <c r="S78" i="2"/>
  <c r="T78" i="2"/>
  <c r="U78" i="2"/>
  <c r="V78" i="2"/>
  <c r="W78" i="2"/>
  <c r="X78" i="2"/>
  <c r="Y78" i="2"/>
  <c r="Z78" i="2"/>
  <c r="AA78" i="2"/>
  <c r="AB78" i="2"/>
  <c r="AC78" i="2"/>
  <c r="AD78" i="2"/>
  <c r="AE78" i="2"/>
  <c r="AF78" i="2"/>
  <c r="AG78" i="2"/>
  <c r="AH78" i="2"/>
  <c r="AI78" i="2"/>
  <c r="AJ78" i="2"/>
  <c r="AK78" i="2"/>
  <c r="AL78" i="2"/>
  <c r="AM78" i="2"/>
  <c r="AN78" i="2"/>
  <c r="AO78" i="2"/>
  <c r="AP78" i="2"/>
  <c r="AQ78" i="2"/>
  <c r="AR78" i="2"/>
  <c r="AS78" i="2"/>
  <c r="AT78" i="2"/>
  <c r="AU78" i="2"/>
  <c r="AV78" i="2"/>
  <c r="AW78" i="2"/>
  <c r="AX78" i="2"/>
  <c r="AY78" i="2"/>
  <c r="AZ78" i="2"/>
  <c r="BA78" i="2"/>
  <c r="BB78" i="2"/>
  <c r="BC78" i="2"/>
  <c r="BD78" i="2"/>
  <c r="BE78" i="2"/>
  <c r="BF78" i="2"/>
  <c r="BG78" i="2"/>
  <c r="BH78" i="2"/>
  <c r="BI78" i="2"/>
  <c r="BJ78" i="2"/>
  <c r="R79" i="2"/>
  <c r="S79" i="2"/>
  <c r="T79" i="2"/>
  <c r="U79" i="2"/>
  <c r="V79" i="2"/>
  <c r="W79" i="2"/>
  <c r="X79" i="2"/>
  <c r="Y79" i="2"/>
  <c r="Z79" i="2"/>
  <c r="AA79" i="2"/>
  <c r="AB79" i="2"/>
  <c r="AC79" i="2"/>
  <c r="AD79" i="2"/>
  <c r="AE79" i="2"/>
  <c r="AF79" i="2"/>
  <c r="AG79" i="2"/>
  <c r="AH79" i="2"/>
  <c r="AI79" i="2"/>
  <c r="AJ79" i="2"/>
  <c r="AK79" i="2"/>
  <c r="AL79" i="2"/>
  <c r="AM79" i="2"/>
  <c r="AN79" i="2"/>
  <c r="AO79" i="2"/>
  <c r="AP79" i="2"/>
  <c r="AQ79" i="2"/>
  <c r="AR79" i="2"/>
  <c r="AS79" i="2"/>
  <c r="AT79" i="2"/>
  <c r="AU79" i="2"/>
  <c r="AV79" i="2"/>
  <c r="AW79" i="2"/>
  <c r="AX79" i="2"/>
  <c r="AY79" i="2"/>
  <c r="AZ79" i="2"/>
  <c r="BA79" i="2"/>
  <c r="BB79" i="2"/>
  <c r="BC79" i="2"/>
  <c r="BD79" i="2"/>
  <c r="BE79" i="2"/>
  <c r="BF79" i="2"/>
  <c r="BG79" i="2"/>
  <c r="BH79" i="2"/>
  <c r="BI79" i="2"/>
  <c r="BJ79" i="2"/>
  <c r="R80" i="2"/>
  <c r="S80" i="2"/>
  <c r="T80" i="2"/>
  <c r="U80" i="2"/>
  <c r="V80" i="2"/>
  <c r="W80" i="2"/>
  <c r="X80" i="2"/>
  <c r="Y80" i="2"/>
  <c r="Z80" i="2"/>
  <c r="AA80" i="2"/>
  <c r="AB80" i="2"/>
  <c r="AC80" i="2"/>
  <c r="AD80" i="2"/>
  <c r="AE80" i="2"/>
  <c r="AF80" i="2"/>
  <c r="AG80" i="2"/>
  <c r="AH80" i="2"/>
  <c r="AI80" i="2"/>
  <c r="AJ80" i="2"/>
  <c r="AK80" i="2"/>
  <c r="AL80" i="2"/>
  <c r="AM80" i="2"/>
  <c r="AN80" i="2"/>
  <c r="AO80" i="2"/>
  <c r="AP80" i="2"/>
  <c r="AQ80" i="2"/>
  <c r="AR80" i="2"/>
  <c r="AS80" i="2"/>
  <c r="AT80" i="2"/>
  <c r="AU80" i="2"/>
  <c r="AV80" i="2"/>
  <c r="AW80" i="2"/>
  <c r="AX80" i="2"/>
  <c r="AY80" i="2"/>
  <c r="AZ80" i="2"/>
  <c r="BA80" i="2"/>
  <c r="BB80" i="2"/>
  <c r="BC80" i="2"/>
  <c r="BD80" i="2"/>
  <c r="BE80" i="2"/>
  <c r="BF80" i="2"/>
  <c r="BG80" i="2"/>
  <c r="BH80" i="2"/>
  <c r="BI80" i="2"/>
  <c r="BJ80" i="2"/>
  <c r="R81" i="2"/>
  <c r="S81" i="2"/>
  <c r="T81" i="2"/>
  <c r="U81" i="2"/>
  <c r="V81" i="2"/>
  <c r="W81" i="2"/>
  <c r="X81" i="2"/>
  <c r="Y81" i="2"/>
  <c r="Z81" i="2"/>
  <c r="AA81" i="2"/>
  <c r="AB81" i="2"/>
  <c r="AC81" i="2"/>
  <c r="AD81" i="2"/>
  <c r="AE81" i="2"/>
  <c r="AF81" i="2"/>
  <c r="AG81" i="2"/>
  <c r="AH81" i="2"/>
  <c r="AI81" i="2"/>
  <c r="AJ81" i="2"/>
  <c r="AK81" i="2"/>
  <c r="AL81" i="2"/>
  <c r="AM81" i="2"/>
  <c r="AN81" i="2"/>
  <c r="AO81" i="2"/>
  <c r="AP81" i="2"/>
  <c r="AQ81" i="2"/>
  <c r="AR81" i="2"/>
  <c r="AS81" i="2"/>
  <c r="AT81" i="2"/>
  <c r="AU81" i="2"/>
  <c r="AV81" i="2"/>
  <c r="AW81" i="2"/>
  <c r="AX81" i="2"/>
  <c r="AY81" i="2"/>
  <c r="AZ81" i="2"/>
  <c r="BA81" i="2"/>
  <c r="BB81" i="2"/>
  <c r="BC81" i="2"/>
  <c r="BD81" i="2"/>
  <c r="BE81" i="2"/>
  <c r="BF81" i="2"/>
  <c r="BG81" i="2"/>
  <c r="BH81" i="2"/>
  <c r="BI81" i="2"/>
  <c r="BJ81" i="2"/>
  <c r="R82" i="2"/>
  <c r="S82" i="2"/>
  <c r="T82" i="2"/>
  <c r="U82" i="2"/>
  <c r="V82" i="2"/>
  <c r="W82" i="2"/>
  <c r="X82" i="2"/>
  <c r="Y82" i="2"/>
  <c r="Z82" i="2"/>
  <c r="AA82" i="2"/>
  <c r="AB82" i="2"/>
  <c r="AC82" i="2"/>
  <c r="AD82" i="2"/>
  <c r="AE82" i="2"/>
  <c r="AF82" i="2"/>
  <c r="AG82" i="2"/>
  <c r="AH82" i="2"/>
  <c r="AI82" i="2"/>
  <c r="AJ82" i="2"/>
  <c r="AK82" i="2"/>
  <c r="AL82" i="2"/>
  <c r="AM82" i="2"/>
  <c r="AN82" i="2"/>
  <c r="AO82" i="2"/>
  <c r="AP82" i="2"/>
  <c r="AQ82" i="2"/>
  <c r="AR82" i="2"/>
  <c r="AS82" i="2"/>
  <c r="AT82" i="2"/>
  <c r="AU82" i="2"/>
  <c r="AV82" i="2"/>
  <c r="AW82" i="2"/>
  <c r="AX82" i="2"/>
  <c r="AY82" i="2"/>
  <c r="AZ82" i="2"/>
  <c r="BA82" i="2"/>
  <c r="BB82" i="2"/>
  <c r="BC82" i="2"/>
  <c r="BD82" i="2"/>
  <c r="BE82" i="2"/>
  <c r="BF82" i="2"/>
  <c r="BG82" i="2"/>
  <c r="BH82" i="2"/>
  <c r="BI82" i="2"/>
  <c r="BJ82" i="2"/>
  <c r="R83" i="2"/>
  <c r="S83" i="2"/>
  <c r="T83" i="2"/>
  <c r="U83" i="2"/>
  <c r="V83" i="2"/>
  <c r="W83" i="2"/>
  <c r="X83" i="2"/>
  <c r="Y83" i="2"/>
  <c r="Z83" i="2"/>
  <c r="AA83" i="2"/>
  <c r="AB83" i="2"/>
  <c r="AC83" i="2"/>
  <c r="AD83" i="2"/>
  <c r="AE83" i="2"/>
  <c r="AF83" i="2"/>
  <c r="AG83" i="2"/>
  <c r="AH83" i="2"/>
  <c r="AI83" i="2"/>
  <c r="AJ83" i="2"/>
  <c r="AK83" i="2"/>
  <c r="AL83" i="2"/>
  <c r="AM83" i="2"/>
  <c r="AN83" i="2"/>
  <c r="AO83" i="2"/>
  <c r="AP83" i="2"/>
  <c r="AQ83" i="2"/>
  <c r="AR83" i="2"/>
  <c r="AS83" i="2"/>
  <c r="AT83" i="2"/>
  <c r="AU83" i="2"/>
  <c r="AV83" i="2"/>
  <c r="AW83" i="2"/>
  <c r="AX83" i="2"/>
  <c r="AY83" i="2"/>
  <c r="AZ83" i="2"/>
  <c r="BA83" i="2"/>
  <c r="BB83" i="2"/>
  <c r="BC83" i="2"/>
  <c r="BD83" i="2"/>
  <c r="BE83" i="2"/>
  <c r="BF83" i="2"/>
  <c r="BG83" i="2"/>
  <c r="BH83" i="2"/>
  <c r="BI83" i="2"/>
  <c r="BJ83" i="2"/>
  <c r="R84" i="2"/>
  <c r="S84" i="2"/>
  <c r="T84" i="2"/>
  <c r="U84" i="2"/>
  <c r="V84" i="2"/>
  <c r="W84" i="2"/>
  <c r="X84" i="2"/>
  <c r="Y84" i="2"/>
  <c r="Z84" i="2"/>
  <c r="AA84" i="2"/>
  <c r="AB84" i="2"/>
  <c r="AC84" i="2"/>
  <c r="AD84" i="2"/>
  <c r="AE84" i="2"/>
  <c r="AF84" i="2"/>
  <c r="AG84" i="2"/>
  <c r="AH84" i="2"/>
  <c r="AI84" i="2"/>
  <c r="AJ84" i="2"/>
  <c r="AK84" i="2"/>
  <c r="AL84" i="2"/>
  <c r="AM84" i="2"/>
  <c r="AN84" i="2"/>
  <c r="AO84" i="2"/>
  <c r="AP84" i="2"/>
  <c r="AQ84" i="2"/>
  <c r="AR84" i="2"/>
  <c r="AS84" i="2"/>
  <c r="AT84" i="2"/>
  <c r="AU84" i="2"/>
  <c r="AV84" i="2"/>
  <c r="AW84" i="2"/>
  <c r="AX84" i="2"/>
  <c r="AY84" i="2"/>
  <c r="AZ84" i="2"/>
  <c r="BA84" i="2"/>
  <c r="BB84" i="2"/>
  <c r="BC84" i="2"/>
  <c r="BD84" i="2"/>
  <c r="BE84" i="2"/>
  <c r="BF84" i="2"/>
  <c r="BG84" i="2"/>
  <c r="BH84" i="2"/>
  <c r="BI84" i="2"/>
  <c r="BJ84" i="2"/>
  <c r="R85" i="2"/>
  <c r="S85" i="2"/>
  <c r="T85" i="2"/>
  <c r="U85" i="2"/>
  <c r="V85" i="2"/>
  <c r="W85" i="2"/>
  <c r="X85" i="2"/>
  <c r="Y85" i="2"/>
  <c r="Z85" i="2"/>
  <c r="AA85" i="2"/>
  <c r="AB85" i="2"/>
  <c r="AC85" i="2"/>
  <c r="AD85" i="2"/>
  <c r="AE85" i="2"/>
  <c r="AF85" i="2"/>
  <c r="AG85" i="2"/>
  <c r="AH85" i="2"/>
  <c r="AI85" i="2"/>
  <c r="AJ85" i="2"/>
  <c r="AK85" i="2"/>
  <c r="AL85" i="2"/>
  <c r="AM85" i="2"/>
  <c r="AN85" i="2"/>
  <c r="AO85" i="2"/>
  <c r="AP85" i="2"/>
  <c r="AQ85" i="2"/>
  <c r="AR85" i="2"/>
  <c r="AS85" i="2"/>
  <c r="AT85" i="2"/>
  <c r="AU85" i="2"/>
  <c r="AV85" i="2"/>
  <c r="AW85" i="2"/>
  <c r="AX85" i="2"/>
  <c r="AY85" i="2"/>
  <c r="AZ85" i="2"/>
  <c r="BA85" i="2"/>
  <c r="BB85" i="2"/>
  <c r="BC85" i="2"/>
  <c r="BD85" i="2"/>
  <c r="BE85" i="2"/>
  <c r="BF85" i="2"/>
  <c r="BG85" i="2"/>
  <c r="BH85" i="2"/>
  <c r="BI85" i="2"/>
  <c r="BJ85" i="2"/>
  <c r="R86" i="2"/>
  <c r="S86" i="2"/>
  <c r="T86" i="2"/>
  <c r="U86" i="2"/>
  <c r="V86" i="2"/>
  <c r="W86" i="2"/>
  <c r="X86" i="2"/>
  <c r="Y86" i="2"/>
  <c r="Z86" i="2"/>
  <c r="AA86" i="2"/>
  <c r="AB86" i="2"/>
  <c r="AC86" i="2"/>
  <c r="AD86" i="2"/>
  <c r="AE86" i="2"/>
  <c r="AF86" i="2"/>
  <c r="AG86" i="2"/>
  <c r="AH86" i="2"/>
  <c r="AI86" i="2"/>
  <c r="AJ86" i="2"/>
  <c r="AK86" i="2"/>
  <c r="AL86" i="2"/>
  <c r="AM86" i="2"/>
  <c r="AN86" i="2"/>
  <c r="AO86" i="2"/>
  <c r="AP86" i="2"/>
  <c r="AQ86" i="2"/>
  <c r="AR86" i="2"/>
  <c r="AS86" i="2"/>
  <c r="AT86" i="2"/>
  <c r="AU86" i="2"/>
  <c r="AV86" i="2"/>
  <c r="AW86" i="2"/>
  <c r="AX86" i="2"/>
  <c r="AY86" i="2"/>
  <c r="AZ86" i="2"/>
  <c r="BA86" i="2"/>
  <c r="BB86" i="2"/>
  <c r="BC86" i="2"/>
  <c r="BD86" i="2"/>
  <c r="BE86" i="2"/>
  <c r="BF86" i="2"/>
  <c r="BG86" i="2"/>
  <c r="BH86" i="2"/>
  <c r="BI86" i="2"/>
  <c r="BJ86" i="2"/>
  <c r="R87" i="2"/>
  <c r="S87" i="2"/>
  <c r="T87" i="2"/>
  <c r="U87" i="2"/>
  <c r="V87" i="2"/>
  <c r="W87" i="2"/>
  <c r="X87" i="2"/>
  <c r="Y87" i="2"/>
  <c r="Z87" i="2"/>
  <c r="AA87" i="2"/>
  <c r="AB87" i="2"/>
  <c r="AC87" i="2"/>
  <c r="AD87" i="2"/>
  <c r="AE87" i="2"/>
  <c r="AF87" i="2"/>
  <c r="AG87" i="2"/>
  <c r="AH87" i="2"/>
  <c r="AI87" i="2"/>
  <c r="AJ87" i="2"/>
  <c r="AK87" i="2"/>
  <c r="AL87" i="2"/>
  <c r="AM87" i="2"/>
  <c r="AN87" i="2"/>
  <c r="AO87" i="2"/>
  <c r="AP87" i="2"/>
  <c r="AQ87" i="2"/>
  <c r="AR87" i="2"/>
  <c r="AS87" i="2"/>
  <c r="AT87" i="2"/>
  <c r="AU87" i="2"/>
  <c r="AV87" i="2"/>
  <c r="AW87" i="2"/>
  <c r="AX87" i="2"/>
  <c r="AY87" i="2"/>
  <c r="AZ87" i="2"/>
  <c r="BA87" i="2"/>
  <c r="BB87" i="2"/>
  <c r="BC87" i="2"/>
  <c r="BD87" i="2"/>
  <c r="BE87" i="2"/>
  <c r="BF87" i="2"/>
  <c r="BG87" i="2"/>
  <c r="BH87" i="2"/>
  <c r="BI87" i="2"/>
  <c r="BJ87" i="2"/>
  <c r="R88" i="2"/>
  <c r="S88" i="2"/>
  <c r="T88" i="2"/>
  <c r="U88" i="2"/>
  <c r="V88" i="2"/>
  <c r="W88" i="2"/>
  <c r="X88" i="2"/>
  <c r="Y88" i="2"/>
  <c r="Z88" i="2"/>
  <c r="AA88" i="2"/>
  <c r="AB88" i="2"/>
  <c r="AC88" i="2"/>
  <c r="AD88" i="2"/>
  <c r="AE88" i="2"/>
  <c r="AF88" i="2"/>
  <c r="AG88" i="2"/>
  <c r="AH88" i="2"/>
  <c r="AI88" i="2"/>
  <c r="AJ88" i="2"/>
  <c r="AK88" i="2"/>
  <c r="AL88" i="2"/>
  <c r="AM88" i="2"/>
  <c r="AN88" i="2"/>
  <c r="AO88" i="2"/>
  <c r="AP88" i="2"/>
  <c r="AQ88" i="2"/>
  <c r="AR88" i="2"/>
  <c r="AS88" i="2"/>
  <c r="AT88" i="2"/>
  <c r="AU88" i="2"/>
  <c r="AV88" i="2"/>
  <c r="AW88" i="2"/>
  <c r="AX88" i="2"/>
  <c r="AY88" i="2"/>
  <c r="AZ88" i="2"/>
  <c r="BA88" i="2"/>
  <c r="BB88" i="2"/>
  <c r="BC88" i="2"/>
  <c r="BD88" i="2"/>
  <c r="BE88" i="2"/>
  <c r="BF88" i="2"/>
  <c r="BG88" i="2"/>
  <c r="BH88" i="2"/>
  <c r="BI88" i="2"/>
  <c r="BJ88" i="2"/>
  <c r="R89" i="2"/>
  <c r="S89" i="2"/>
  <c r="T89" i="2"/>
  <c r="U89" i="2"/>
  <c r="V89" i="2"/>
  <c r="W89" i="2"/>
  <c r="X89" i="2"/>
  <c r="Y89" i="2"/>
  <c r="Z89" i="2"/>
  <c r="AA89" i="2"/>
  <c r="AB89" i="2"/>
  <c r="AC89" i="2"/>
  <c r="AD89" i="2"/>
  <c r="AE89" i="2"/>
  <c r="AF89" i="2"/>
  <c r="AG89" i="2"/>
  <c r="AH89" i="2"/>
  <c r="AI89" i="2"/>
  <c r="AJ89" i="2"/>
  <c r="AK89" i="2"/>
  <c r="AL89" i="2"/>
  <c r="AM89" i="2"/>
  <c r="AN89" i="2"/>
  <c r="AO89" i="2"/>
  <c r="AP89" i="2"/>
  <c r="AQ89" i="2"/>
  <c r="AR89" i="2"/>
  <c r="AS89" i="2"/>
  <c r="AT89" i="2"/>
  <c r="AU89" i="2"/>
  <c r="AV89" i="2"/>
  <c r="AW89" i="2"/>
  <c r="AX89" i="2"/>
  <c r="AY89" i="2"/>
  <c r="AZ89" i="2"/>
  <c r="BA89" i="2"/>
  <c r="BB89" i="2"/>
  <c r="BC89" i="2"/>
  <c r="BD89" i="2"/>
  <c r="BE89" i="2"/>
  <c r="BF89" i="2"/>
  <c r="BG89" i="2"/>
  <c r="BH89" i="2"/>
  <c r="BI89" i="2"/>
  <c r="BJ89" i="2"/>
  <c r="R90" i="2"/>
  <c r="S90" i="2"/>
  <c r="T90" i="2"/>
  <c r="U90" i="2"/>
  <c r="V90" i="2"/>
  <c r="W90" i="2"/>
  <c r="X90" i="2"/>
  <c r="Y90" i="2"/>
  <c r="Z90" i="2"/>
  <c r="AA90" i="2"/>
  <c r="AB90" i="2"/>
  <c r="AC90" i="2"/>
  <c r="AD90" i="2"/>
  <c r="AE90" i="2"/>
  <c r="AF90" i="2"/>
  <c r="AG90" i="2"/>
  <c r="AH90" i="2"/>
  <c r="AI90" i="2"/>
  <c r="AJ90" i="2"/>
  <c r="AK90" i="2"/>
  <c r="AL90" i="2"/>
  <c r="AM90" i="2"/>
  <c r="AN90" i="2"/>
  <c r="AO90" i="2"/>
  <c r="AP90" i="2"/>
  <c r="AQ90" i="2"/>
  <c r="AR90" i="2"/>
  <c r="AS90" i="2"/>
  <c r="AT90" i="2"/>
  <c r="AU90" i="2"/>
  <c r="AV90" i="2"/>
  <c r="AW90" i="2"/>
  <c r="AX90" i="2"/>
  <c r="AY90" i="2"/>
  <c r="AZ90" i="2"/>
  <c r="BA90" i="2"/>
  <c r="BB90" i="2"/>
  <c r="BC90" i="2"/>
  <c r="BD90" i="2"/>
  <c r="BE90" i="2"/>
  <c r="BF90" i="2"/>
  <c r="BG90" i="2"/>
  <c r="BH90" i="2"/>
  <c r="BI90" i="2"/>
  <c r="BJ90" i="2"/>
  <c r="R91" i="2"/>
  <c r="S91" i="2"/>
  <c r="T91" i="2"/>
  <c r="U91" i="2"/>
  <c r="V91" i="2"/>
  <c r="W91" i="2"/>
  <c r="X91" i="2"/>
  <c r="Y91" i="2"/>
  <c r="Z91" i="2"/>
  <c r="AA91" i="2"/>
  <c r="AB91" i="2"/>
  <c r="AC91" i="2"/>
  <c r="AD91" i="2"/>
  <c r="AE91" i="2"/>
  <c r="AF91" i="2"/>
  <c r="AG91" i="2"/>
  <c r="AH91" i="2"/>
  <c r="AI91" i="2"/>
  <c r="AJ91" i="2"/>
  <c r="AK91" i="2"/>
  <c r="AL91" i="2"/>
  <c r="AM91" i="2"/>
  <c r="AN91" i="2"/>
  <c r="AO91" i="2"/>
  <c r="AP91" i="2"/>
  <c r="AQ91" i="2"/>
  <c r="AR91" i="2"/>
  <c r="AS91" i="2"/>
  <c r="AT91" i="2"/>
  <c r="AU91" i="2"/>
  <c r="AV91" i="2"/>
  <c r="AW91" i="2"/>
  <c r="AX91" i="2"/>
  <c r="AY91" i="2"/>
  <c r="AZ91" i="2"/>
  <c r="BA91" i="2"/>
  <c r="BB91" i="2"/>
  <c r="BC91" i="2"/>
  <c r="BD91" i="2"/>
  <c r="BE91" i="2"/>
  <c r="BF91" i="2"/>
  <c r="BG91" i="2"/>
  <c r="BH91" i="2"/>
  <c r="BI91" i="2"/>
  <c r="BJ91" i="2"/>
  <c r="R92" i="2"/>
  <c r="S92" i="2"/>
  <c r="T92" i="2"/>
  <c r="U92" i="2"/>
  <c r="V92" i="2"/>
  <c r="W92" i="2"/>
  <c r="X92" i="2"/>
  <c r="Y92" i="2"/>
  <c r="Z92" i="2"/>
  <c r="AA92" i="2"/>
  <c r="AB92" i="2"/>
  <c r="AC92" i="2"/>
  <c r="AD92" i="2"/>
  <c r="AE92" i="2"/>
  <c r="AF92" i="2"/>
  <c r="AG92" i="2"/>
  <c r="AH92" i="2"/>
  <c r="AI92" i="2"/>
  <c r="AJ92" i="2"/>
  <c r="AK92" i="2"/>
  <c r="AL92" i="2"/>
  <c r="AM92" i="2"/>
  <c r="AN92" i="2"/>
  <c r="AO92" i="2"/>
  <c r="AP92" i="2"/>
  <c r="AQ92" i="2"/>
  <c r="AR92" i="2"/>
  <c r="AS92" i="2"/>
  <c r="AT92" i="2"/>
  <c r="AU92" i="2"/>
  <c r="AV92" i="2"/>
  <c r="AW92" i="2"/>
  <c r="AX92" i="2"/>
  <c r="AY92" i="2"/>
  <c r="AZ92" i="2"/>
  <c r="BA92" i="2"/>
  <c r="BB92" i="2"/>
  <c r="BC92" i="2"/>
  <c r="BD92" i="2"/>
  <c r="BE92" i="2"/>
  <c r="BF92" i="2"/>
  <c r="BG92" i="2"/>
  <c r="BH92" i="2"/>
  <c r="BI92" i="2"/>
  <c r="BJ92" i="2"/>
  <c r="R93" i="2"/>
  <c r="S93" i="2"/>
  <c r="T93" i="2"/>
  <c r="U93" i="2"/>
  <c r="V93" i="2"/>
  <c r="W93" i="2"/>
  <c r="X93" i="2"/>
  <c r="Y93" i="2"/>
  <c r="Z93" i="2"/>
  <c r="AA93" i="2"/>
  <c r="AB93" i="2"/>
  <c r="AC93" i="2"/>
  <c r="AD93" i="2"/>
  <c r="AE93" i="2"/>
  <c r="AF93" i="2"/>
  <c r="AG93" i="2"/>
  <c r="AH93" i="2"/>
  <c r="AI93" i="2"/>
  <c r="AJ93" i="2"/>
  <c r="AK93" i="2"/>
  <c r="AL93" i="2"/>
  <c r="AM93" i="2"/>
  <c r="AN93" i="2"/>
  <c r="AO93" i="2"/>
  <c r="AP93" i="2"/>
  <c r="AQ93" i="2"/>
  <c r="AR93" i="2"/>
  <c r="AS93" i="2"/>
  <c r="AT93" i="2"/>
  <c r="AU93" i="2"/>
  <c r="AV93" i="2"/>
  <c r="AW93" i="2"/>
  <c r="AX93" i="2"/>
  <c r="AY93" i="2"/>
  <c r="AZ93" i="2"/>
  <c r="BA93" i="2"/>
  <c r="BB93" i="2"/>
  <c r="BC93" i="2"/>
  <c r="BD93" i="2"/>
  <c r="BE93" i="2"/>
  <c r="BF93" i="2"/>
  <c r="BG93" i="2"/>
  <c r="BH93" i="2"/>
  <c r="BI93" i="2"/>
  <c r="BJ93" i="2"/>
  <c r="R94" i="2"/>
  <c r="S94" i="2"/>
  <c r="T94" i="2"/>
  <c r="U94" i="2"/>
  <c r="V94" i="2"/>
  <c r="W94" i="2"/>
  <c r="X94" i="2"/>
  <c r="Y94" i="2"/>
  <c r="Z94" i="2"/>
  <c r="AA94" i="2"/>
  <c r="AB94" i="2"/>
  <c r="AC94" i="2"/>
  <c r="AD94" i="2"/>
  <c r="AE94" i="2"/>
  <c r="AF94" i="2"/>
  <c r="AG94" i="2"/>
  <c r="AH94" i="2"/>
  <c r="AI94" i="2"/>
  <c r="AJ94" i="2"/>
  <c r="AK94" i="2"/>
  <c r="AL94" i="2"/>
  <c r="AM94" i="2"/>
  <c r="AN94" i="2"/>
  <c r="AO94" i="2"/>
  <c r="AP94" i="2"/>
  <c r="AQ94" i="2"/>
  <c r="AR94" i="2"/>
  <c r="AS94" i="2"/>
  <c r="AT94" i="2"/>
  <c r="AU94" i="2"/>
  <c r="AV94" i="2"/>
  <c r="AW94" i="2"/>
  <c r="AX94" i="2"/>
  <c r="AY94" i="2"/>
  <c r="AZ94" i="2"/>
  <c r="BA94" i="2"/>
  <c r="BB94" i="2"/>
  <c r="BC94" i="2"/>
  <c r="BD94" i="2"/>
  <c r="BE94" i="2"/>
  <c r="BF94" i="2"/>
  <c r="BG94" i="2"/>
  <c r="BH94" i="2"/>
  <c r="BI94" i="2"/>
  <c r="BJ94" i="2"/>
  <c r="R95" i="2"/>
  <c r="S95" i="2"/>
  <c r="T95" i="2"/>
  <c r="U95" i="2"/>
  <c r="V95" i="2"/>
  <c r="W95" i="2"/>
  <c r="X95" i="2"/>
  <c r="Y95" i="2"/>
  <c r="Z95" i="2"/>
  <c r="AA95" i="2"/>
  <c r="AB95" i="2"/>
  <c r="AC95" i="2"/>
  <c r="AD95" i="2"/>
  <c r="AE95" i="2"/>
  <c r="AF95" i="2"/>
  <c r="AG95" i="2"/>
  <c r="AH95" i="2"/>
  <c r="AI95" i="2"/>
  <c r="AJ95" i="2"/>
  <c r="AK95" i="2"/>
  <c r="AL95" i="2"/>
  <c r="AM95" i="2"/>
  <c r="AN95" i="2"/>
  <c r="AO95" i="2"/>
  <c r="AP95" i="2"/>
  <c r="AQ95" i="2"/>
  <c r="AR95" i="2"/>
  <c r="AS95" i="2"/>
  <c r="AT95" i="2"/>
  <c r="AU95" i="2"/>
  <c r="AV95" i="2"/>
  <c r="AW95" i="2"/>
  <c r="AX95" i="2"/>
  <c r="AY95" i="2"/>
  <c r="AZ95" i="2"/>
  <c r="BA95" i="2"/>
  <c r="BB95" i="2"/>
  <c r="BC95" i="2"/>
  <c r="BD95" i="2"/>
  <c r="BE95" i="2"/>
  <c r="BF95" i="2"/>
  <c r="BG95" i="2"/>
  <c r="BH95" i="2"/>
  <c r="BI95" i="2"/>
  <c r="BJ95" i="2"/>
  <c r="R96" i="2"/>
  <c r="S96" i="2"/>
  <c r="T96" i="2"/>
  <c r="U96" i="2"/>
  <c r="V96" i="2"/>
  <c r="W96" i="2"/>
  <c r="X96" i="2"/>
  <c r="Y96" i="2"/>
  <c r="Z96" i="2"/>
  <c r="AA96" i="2"/>
  <c r="AB96" i="2"/>
  <c r="AC96" i="2"/>
  <c r="AD96" i="2"/>
  <c r="AE96" i="2"/>
  <c r="AF96" i="2"/>
  <c r="AG96" i="2"/>
  <c r="AH96" i="2"/>
  <c r="AI96" i="2"/>
  <c r="AJ96" i="2"/>
  <c r="AK96" i="2"/>
  <c r="AL96" i="2"/>
  <c r="AM96" i="2"/>
  <c r="AN96" i="2"/>
  <c r="AO96" i="2"/>
  <c r="AP96" i="2"/>
  <c r="AQ96" i="2"/>
  <c r="AR96" i="2"/>
  <c r="AS96" i="2"/>
  <c r="AT96" i="2"/>
  <c r="AU96" i="2"/>
  <c r="AV96" i="2"/>
  <c r="AW96" i="2"/>
  <c r="AX96" i="2"/>
  <c r="AY96" i="2"/>
  <c r="AZ96" i="2"/>
  <c r="BA96" i="2"/>
  <c r="BB96" i="2"/>
  <c r="BC96" i="2"/>
  <c r="BD96" i="2"/>
  <c r="BE96" i="2"/>
  <c r="BF96" i="2"/>
  <c r="BG96" i="2"/>
  <c r="BH96" i="2"/>
  <c r="BI96" i="2"/>
  <c r="BJ96" i="2"/>
  <c r="R97" i="2"/>
  <c r="S97" i="2"/>
  <c r="T97" i="2"/>
  <c r="U97" i="2"/>
  <c r="V97" i="2"/>
  <c r="W97" i="2"/>
  <c r="X97" i="2"/>
  <c r="Y97" i="2"/>
  <c r="Z97" i="2"/>
  <c r="AA97" i="2"/>
  <c r="AB97" i="2"/>
  <c r="AC97" i="2"/>
  <c r="AD97" i="2"/>
  <c r="AE97" i="2"/>
  <c r="AF97" i="2"/>
  <c r="AG97" i="2"/>
  <c r="AH97" i="2"/>
  <c r="AI97" i="2"/>
  <c r="AJ97" i="2"/>
  <c r="AK97" i="2"/>
  <c r="AL97" i="2"/>
  <c r="AM97" i="2"/>
  <c r="AN97" i="2"/>
  <c r="AO97" i="2"/>
  <c r="AP97" i="2"/>
  <c r="AQ97" i="2"/>
  <c r="AR97" i="2"/>
  <c r="AS97" i="2"/>
  <c r="AT97" i="2"/>
  <c r="AU97" i="2"/>
  <c r="AV97" i="2"/>
  <c r="AW97" i="2"/>
  <c r="AX97" i="2"/>
  <c r="AY97" i="2"/>
  <c r="AZ97" i="2"/>
  <c r="BA97" i="2"/>
  <c r="BB97" i="2"/>
  <c r="BC97" i="2"/>
  <c r="BD97" i="2"/>
  <c r="BE97" i="2"/>
  <c r="BF97" i="2"/>
  <c r="BG97" i="2"/>
  <c r="BH97" i="2"/>
  <c r="BI97" i="2"/>
  <c r="BJ97" i="2"/>
  <c r="R98" i="2"/>
  <c r="S98" i="2"/>
  <c r="T98" i="2"/>
  <c r="U98" i="2"/>
  <c r="V98" i="2"/>
  <c r="W98" i="2"/>
  <c r="X98" i="2"/>
  <c r="Y98" i="2"/>
  <c r="Z98" i="2"/>
  <c r="AA98" i="2"/>
  <c r="AB98" i="2"/>
  <c r="AC98" i="2"/>
  <c r="AD98" i="2"/>
  <c r="AE98" i="2"/>
  <c r="AF98" i="2"/>
  <c r="AG98" i="2"/>
  <c r="AH98" i="2"/>
  <c r="AI98" i="2"/>
  <c r="AJ98" i="2"/>
  <c r="AK98" i="2"/>
  <c r="AL98" i="2"/>
  <c r="AM98" i="2"/>
  <c r="AN98" i="2"/>
  <c r="AO98" i="2"/>
  <c r="AP98" i="2"/>
  <c r="AQ98" i="2"/>
  <c r="AR98" i="2"/>
  <c r="AS98" i="2"/>
  <c r="AT98" i="2"/>
  <c r="AU98" i="2"/>
  <c r="AV98" i="2"/>
  <c r="AW98" i="2"/>
  <c r="AX98" i="2"/>
  <c r="AY98" i="2"/>
  <c r="AZ98" i="2"/>
  <c r="BA98" i="2"/>
  <c r="BB98" i="2"/>
  <c r="BC98" i="2"/>
  <c r="BD98" i="2"/>
  <c r="BE98" i="2"/>
  <c r="BF98" i="2"/>
  <c r="BG98" i="2"/>
  <c r="BH98" i="2"/>
  <c r="BI98" i="2"/>
  <c r="BJ98" i="2"/>
  <c r="R99" i="2"/>
  <c r="S99" i="2"/>
  <c r="T99" i="2"/>
  <c r="U99" i="2"/>
  <c r="V99" i="2"/>
  <c r="W99" i="2"/>
  <c r="X99" i="2"/>
  <c r="Y99" i="2"/>
  <c r="Z99" i="2"/>
  <c r="AA99" i="2"/>
  <c r="AB99" i="2"/>
  <c r="AC99" i="2"/>
  <c r="AD99" i="2"/>
  <c r="AE99" i="2"/>
  <c r="AF99" i="2"/>
  <c r="AG99" i="2"/>
  <c r="AH99" i="2"/>
  <c r="AI99" i="2"/>
  <c r="AJ99" i="2"/>
  <c r="AK99" i="2"/>
  <c r="AL99" i="2"/>
  <c r="AM99" i="2"/>
  <c r="AN99" i="2"/>
  <c r="AO99" i="2"/>
  <c r="AP99" i="2"/>
  <c r="AQ99" i="2"/>
  <c r="AR99" i="2"/>
  <c r="AS99" i="2"/>
  <c r="AT99" i="2"/>
  <c r="AU99" i="2"/>
  <c r="AV99" i="2"/>
  <c r="AW99" i="2"/>
  <c r="AX99" i="2"/>
  <c r="AY99" i="2"/>
  <c r="AZ99" i="2"/>
  <c r="BA99" i="2"/>
  <c r="BB99" i="2"/>
  <c r="BC99" i="2"/>
  <c r="BD99" i="2"/>
  <c r="BE99" i="2"/>
  <c r="BF99" i="2"/>
  <c r="BG99" i="2"/>
  <c r="BH99" i="2"/>
  <c r="BI99" i="2"/>
  <c r="BJ99" i="2"/>
  <c r="R100" i="2"/>
  <c r="S100" i="2"/>
  <c r="T100" i="2"/>
  <c r="U100" i="2"/>
  <c r="V100" i="2"/>
  <c r="W100" i="2"/>
  <c r="X100" i="2"/>
  <c r="Y100" i="2"/>
  <c r="Z100" i="2"/>
  <c r="AA100" i="2"/>
  <c r="AB100" i="2"/>
  <c r="AC100" i="2"/>
  <c r="AD100" i="2"/>
  <c r="AE100" i="2"/>
  <c r="AF100" i="2"/>
  <c r="AG100" i="2"/>
  <c r="AH100" i="2"/>
  <c r="AI100" i="2"/>
  <c r="AJ100" i="2"/>
  <c r="AK100" i="2"/>
  <c r="AL100" i="2"/>
  <c r="AM100" i="2"/>
  <c r="AN100" i="2"/>
  <c r="AO100" i="2"/>
  <c r="AP100" i="2"/>
  <c r="AQ100" i="2"/>
  <c r="AR100" i="2"/>
  <c r="AS100" i="2"/>
  <c r="AT100" i="2"/>
  <c r="AU100" i="2"/>
  <c r="AV100" i="2"/>
  <c r="AW100" i="2"/>
  <c r="AX100" i="2"/>
  <c r="AY100" i="2"/>
  <c r="AZ100" i="2"/>
  <c r="BA100" i="2"/>
  <c r="BB100" i="2"/>
  <c r="BC100" i="2"/>
  <c r="BD100" i="2"/>
  <c r="BE100" i="2"/>
  <c r="BF100" i="2"/>
  <c r="BG100" i="2"/>
  <c r="BH100" i="2"/>
  <c r="BI100" i="2"/>
  <c r="BJ100" i="2"/>
  <c r="R101" i="2"/>
  <c r="S101" i="2"/>
  <c r="T101" i="2"/>
  <c r="U101" i="2"/>
  <c r="V101" i="2"/>
  <c r="W101" i="2"/>
  <c r="X101" i="2"/>
  <c r="Y101" i="2"/>
  <c r="Z101" i="2"/>
  <c r="AA101" i="2"/>
  <c r="AB101" i="2"/>
  <c r="AC101" i="2"/>
  <c r="AD101" i="2"/>
  <c r="AE101" i="2"/>
  <c r="AF101" i="2"/>
  <c r="AG101" i="2"/>
  <c r="AH101" i="2"/>
  <c r="AI101" i="2"/>
  <c r="AJ101" i="2"/>
  <c r="AK101" i="2"/>
  <c r="AL101" i="2"/>
  <c r="AM101" i="2"/>
  <c r="AN101" i="2"/>
  <c r="AO101" i="2"/>
  <c r="AP101" i="2"/>
  <c r="AQ101" i="2"/>
  <c r="AR101" i="2"/>
  <c r="AS101" i="2"/>
  <c r="AT101" i="2"/>
  <c r="AU101" i="2"/>
  <c r="AV101" i="2"/>
  <c r="AW101" i="2"/>
  <c r="AX101" i="2"/>
  <c r="AY101" i="2"/>
  <c r="AZ101" i="2"/>
  <c r="BA101" i="2"/>
  <c r="BB101" i="2"/>
  <c r="BC101" i="2"/>
  <c r="BD101" i="2"/>
  <c r="BE101" i="2"/>
  <c r="BF101" i="2"/>
  <c r="BG101" i="2"/>
  <c r="BH101" i="2"/>
  <c r="BI101" i="2"/>
  <c r="BJ101" i="2"/>
  <c r="R102" i="2"/>
  <c r="S102" i="2"/>
  <c r="T102" i="2"/>
  <c r="U102" i="2"/>
  <c r="V102" i="2"/>
  <c r="W102" i="2"/>
  <c r="X102" i="2"/>
  <c r="Y102" i="2"/>
  <c r="Z102" i="2"/>
  <c r="AA102" i="2"/>
  <c r="AB102" i="2"/>
  <c r="AC102" i="2"/>
  <c r="AD102" i="2"/>
  <c r="AE102" i="2"/>
  <c r="AF102" i="2"/>
  <c r="AG102" i="2"/>
  <c r="AH102" i="2"/>
  <c r="AI102" i="2"/>
  <c r="AJ102" i="2"/>
  <c r="AK102" i="2"/>
  <c r="AL102" i="2"/>
  <c r="AM102" i="2"/>
  <c r="AN102" i="2"/>
  <c r="AO102" i="2"/>
  <c r="AP102" i="2"/>
  <c r="AQ102" i="2"/>
  <c r="AR102" i="2"/>
  <c r="AS102" i="2"/>
  <c r="AT102" i="2"/>
  <c r="AU102" i="2"/>
  <c r="AV102" i="2"/>
  <c r="AW102" i="2"/>
  <c r="AX102" i="2"/>
  <c r="AY102" i="2"/>
  <c r="AZ102" i="2"/>
  <c r="BA102" i="2"/>
  <c r="BB102" i="2"/>
  <c r="BC102" i="2"/>
  <c r="BD102" i="2"/>
  <c r="BE102" i="2"/>
  <c r="BF102" i="2"/>
  <c r="BG102" i="2"/>
  <c r="BH102" i="2"/>
  <c r="BI102" i="2"/>
  <c r="BJ102" i="2"/>
  <c r="R103" i="2"/>
  <c r="S103" i="2"/>
  <c r="T103" i="2"/>
  <c r="U103" i="2"/>
  <c r="V103" i="2"/>
  <c r="W103" i="2"/>
  <c r="X103" i="2"/>
  <c r="Y103" i="2"/>
  <c r="Z103" i="2"/>
  <c r="AA103" i="2"/>
  <c r="AB103" i="2"/>
  <c r="AC103" i="2"/>
  <c r="AD103" i="2"/>
  <c r="AE103" i="2"/>
  <c r="AF103" i="2"/>
  <c r="AG103" i="2"/>
  <c r="AH103" i="2"/>
  <c r="AI103" i="2"/>
  <c r="AJ103" i="2"/>
  <c r="AK103" i="2"/>
  <c r="AL103" i="2"/>
  <c r="AM103" i="2"/>
  <c r="AN103" i="2"/>
  <c r="AO103" i="2"/>
  <c r="AP103" i="2"/>
  <c r="AQ103" i="2"/>
  <c r="AR103" i="2"/>
  <c r="AS103" i="2"/>
  <c r="AT103" i="2"/>
  <c r="AU103" i="2"/>
  <c r="AV103" i="2"/>
  <c r="AW103" i="2"/>
  <c r="AX103" i="2"/>
  <c r="AY103" i="2"/>
  <c r="AZ103" i="2"/>
  <c r="BA103" i="2"/>
  <c r="BB103" i="2"/>
  <c r="BC103" i="2"/>
  <c r="BD103" i="2"/>
  <c r="BE103" i="2"/>
  <c r="BF103" i="2"/>
  <c r="BG103" i="2"/>
  <c r="BH103" i="2"/>
  <c r="BI103" i="2"/>
  <c r="BJ103" i="2"/>
  <c r="R104" i="2"/>
  <c r="S104" i="2"/>
  <c r="T104" i="2"/>
  <c r="U104" i="2"/>
  <c r="V104" i="2"/>
  <c r="W104" i="2"/>
  <c r="X104" i="2"/>
  <c r="Y104" i="2"/>
  <c r="Z104" i="2"/>
  <c r="AA104" i="2"/>
  <c r="AB104" i="2"/>
  <c r="AC104" i="2"/>
  <c r="AD104" i="2"/>
  <c r="AE104" i="2"/>
  <c r="AF104" i="2"/>
  <c r="AG104" i="2"/>
  <c r="AH104" i="2"/>
  <c r="AI104" i="2"/>
  <c r="AJ104" i="2"/>
  <c r="AK104" i="2"/>
  <c r="AL104" i="2"/>
  <c r="AM104" i="2"/>
  <c r="AN104" i="2"/>
  <c r="AO104" i="2"/>
  <c r="AP104" i="2"/>
  <c r="AQ104" i="2"/>
  <c r="AR104" i="2"/>
  <c r="AS104" i="2"/>
  <c r="AT104" i="2"/>
  <c r="AU104" i="2"/>
  <c r="AV104" i="2"/>
  <c r="AW104" i="2"/>
  <c r="AX104" i="2"/>
  <c r="AY104" i="2"/>
  <c r="AZ104" i="2"/>
  <c r="BA104" i="2"/>
  <c r="BB104" i="2"/>
  <c r="BC104" i="2"/>
  <c r="BD104" i="2"/>
  <c r="BE104" i="2"/>
  <c r="BF104" i="2"/>
  <c r="BG104" i="2"/>
  <c r="BH104" i="2"/>
  <c r="BI104" i="2"/>
  <c r="BJ104"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59" i="2"/>
  <c r="C5" i="2"/>
  <c r="C8" i="2"/>
  <c r="Q9" i="2"/>
  <c r="D12" i="7"/>
  <c r="BM53" i="2"/>
  <c r="J3" i="4"/>
  <c r="E5" i="4"/>
  <c r="E6" i="4"/>
  <c r="E7" i="4"/>
  <c r="E8" i="4"/>
  <c r="E9" i="4"/>
  <c r="E10" i="4"/>
  <c r="E4" i="4"/>
  <c r="E13" i="7" l="1"/>
  <c r="F13" i="7" s="1"/>
  <c r="G13" i="7" s="1"/>
  <c r="F3" i="7"/>
  <c r="C11" i="2"/>
  <c r="AJ53" i="3"/>
  <c r="AU60" i="3"/>
  <c r="X63" i="3"/>
  <c r="Y64" i="3"/>
  <c r="AG64" i="3"/>
  <c r="AO64" i="3"/>
  <c r="S65" i="3"/>
  <c r="AA65" i="3"/>
  <c r="AI65" i="3"/>
  <c r="AQ65" i="3"/>
  <c r="AP7" i="3"/>
  <c r="T12" i="3"/>
  <c r="X14" i="3"/>
  <c r="AB16" i="3"/>
  <c r="AF18" i="3"/>
  <c r="U20" i="3"/>
  <c r="AJ20" i="3"/>
  <c r="S21" i="3"/>
  <c r="AC21" i="3"/>
  <c r="AM21" i="3"/>
  <c r="T22" i="3"/>
  <c r="AB22" i="3"/>
  <c r="AJ22" i="3"/>
  <c r="AR22" i="3"/>
  <c r="V23" i="3"/>
  <c r="AD23" i="3"/>
  <c r="AL23" i="3"/>
  <c r="AT23" i="3"/>
  <c r="X24" i="3"/>
  <c r="AF24" i="3"/>
  <c r="AN24" i="3"/>
  <c r="T26" i="3"/>
  <c r="AB26" i="3"/>
  <c r="AJ26" i="3"/>
  <c r="AR26" i="3"/>
  <c r="V27" i="3"/>
  <c r="AD27" i="3"/>
  <c r="AL27" i="3"/>
  <c r="AT27" i="3"/>
  <c r="R28" i="3"/>
  <c r="W28" i="3"/>
  <c r="X28" i="3"/>
  <c r="Z28" i="3"/>
  <c r="AE28" i="3"/>
  <c r="AF28" i="3"/>
  <c r="AH28" i="3"/>
  <c r="AM28" i="3"/>
  <c r="AN28" i="3"/>
  <c r="AP28" i="3"/>
  <c r="AU28" i="3"/>
  <c r="R29" i="3"/>
  <c r="T29" i="3"/>
  <c r="Y29" i="3"/>
  <c r="Z29" i="3"/>
  <c r="AB29" i="3"/>
  <c r="AG29" i="3"/>
  <c r="AH29" i="3"/>
  <c r="AJ29" i="3"/>
  <c r="AO29" i="3"/>
  <c r="AP29" i="3"/>
  <c r="AR29" i="3"/>
  <c r="S30" i="3"/>
  <c r="T30" i="3"/>
  <c r="V30" i="3"/>
  <c r="AA30" i="3"/>
  <c r="AB30" i="3"/>
  <c r="AD30" i="3"/>
  <c r="AI30" i="3"/>
  <c r="AJ30" i="3"/>
  <c r="AL30" i="3"/>
  <c r="AQ30" i="3"/>
  <c r="AR30" i="3"/>
  <c r="AT30" i="3"/>
  <c r="V31" i="3"/>
  <c r="AD31" i="3"/>
  <c r="AL31" i="3"/>
  <c r="AT31" i="3"/>
  <c r="W32" i="3"/>
  <c r="Y32" i="3"/>
  <c r="AD32" i="3"/>
  <c r="AE32" i="3"/>
  <c r="AG32" i="3"/>
  <c r="AL32" i="3"/>
  <c r="AM32" i="3"/>
  <c r="AO32" i="3"/>
  <c r="AT32" i="3"/>
  <c r="AU32" i="3"/>
  <c r="S33" i="3"/>
  <c r="V33" i="3"/>
  <c r="AD33" i="3"/>
  <c r="AL33" i="3"/>
  <c r="AT33" i="3"/>
  <c r="Q13" i="3"/>
  <c r="Q14" i="3"/>
  <c r="Q15" i="3"/>
  <c r="Q21" i="3"/>
  <c r="Q22" i="3"/>
  <c r="Q23" i="3"/>
  <c r="Q29" i="3"/>
  <c r="Q32" i="3"/>
  <c r="E16" i="3"/>
  <c r="S64" i="3" s="1"/>
  <c r="E17" i="3"/>
  <c r="Y31" i="3" s="1"/>
  <c r="E18" i="3"/>
  <c r="V62" i="3" s="1"/>
  <c r="E19" i="3"/>
  <c r="W29" i="3" s="1"/>
  <c r="E20" i="3"/>
  <c r="W60" i="3" s="1"/>
  <c r="E21" i="3"/>
  <c r="U27" i="3" s="1"/>
  <c r="E22" i="3"/>
  <c r="U26" i="3" s="1"/>
  <c r="E23" i="3"/>
  <c r="Q57" i="3" s="1"/>
  <c r="E24" i="3"/>
  <c r="E25" i="3"/>
  <c r="Y23" i="3" s="1"/>
  <c r="E26" i="3"/>
  <c r="X22" i="3" s="1"/>
  <c r="E27" i="3"/>
  <c r="X21" i="3" s="1"/>
  <c r="E28" i="3"/>
  <c r="R20" i="3" s="1"/>
  <c r="E29" i="3"/>
  <c r="AF51" i="3" s="1"/>
  <c r="E30" i="3"/>
  <c r="AN18" i="3" s="1"/>
  <c r="E31" i="3"/>
  <c r="AL17" i="3" s="1"/>
  <c r="E32" i="3"/>
  <c r="E33" i="3"/>
  <c r="R15" i="3" s="1"/>
  <c r="E34" i="3"/>
  <c r="AF14" i="3" s="1"/>
  <c r="E35" i="3"/>
  <c r="AD13" i="3" s="1"/>
  <c r="E36" i="3"/>
  <c r="AB12" i="3" s="1"/>
  <c r="E37" i="3"/>
  <c r="AP11" i="3" s="1"/>
  <c r="E38" i="3"/>
  <c r="X10" i="3" s="1"/>
  <c r="E39" i="3"/>
  <c r="AT9" i="3" s="1"/>
  <c r="E40" i="3"/>
  <c r="E41" i="3"/>
  <c r="R7" i="3" s="1"/>
  <c r="E15" i="3"/>
  <c r="U65" i="3" s="1"/>
  <c r="R9" i="2"/>
  <c r="S9" i="2"/>
  <c r="T9" i="2"/>
  <c r="U9" i="2"/>
  <c r="V9" i="2"/>
  <c r="W9" i="2"/>
  <c r="X9" i="2"/>
  <c r="Y9" i="2"/>
  <c r="Z9" i="2"/>
  <c r="AA9" i="2"/>
  <c r="AB9" i="2"/>
  <c r="AC9" i="2"/>
  <c r="AD9" i="2"/>
  <c r="AE9" i="2"/>
  <c r="AF9" i="2"/>
  <c r="AG9" i="2"/>
  <c r="AH9" i="2"/>
  <c r="AI9" i="2"/>
  <c r="AJ9" i="2"/>
  <c r="AK9" i="2"/>
  <c r="AL9" i="2"/>
  <c r="AM9" i="2"/>
  <c r="AN9" i="2"/>
  <c r="AO9" i="2"/>
  <c r="AP9" i="2"/>
  <c r="AQ9" i="2"/>
  <c r="AR9" i="2"/>
  <c r="AS9" i="2"/>
  <c r="AT9" i="2"/>
  <c r="AU9" i="2"/>
  <c r="AV9" i="2"/>
  <c r="AW9" i="2"/>
  <c r="AX9" i="2"/>
  <c r="AY9" i="2"/>
  <c r="AZ9" i="2"/>
  <c r="BA9" i="2"/>
  <c r="BB9" i="2"/>
  <c r="BC9" i="2"/>
  <c r="BD9" i="2"/>
  <c r="BE9" i="2"/>
  <c r="BF9" i="2"/>
  <c r="BG9" i="2"/>
  <c r="BH9" i="2"/>
  <c r="BI9" i="2"/>
  <c r="BJ9" i="2"/>
  <c r="R10" i="2"/>
  <c r="S10" i="2"/>
  <c r="T10" i="2"/>
  <c r="U10" i="2"/>
  <c r="V10" i="2"/>
  <c r="W10" i="2"/>
  <c r="X10" i="2"/>
  <c r="Y10" i="2"/>
  <c r="Z10" i="2"/>
  <c r="AA10" i="2"/>
  <c r="AB10" i="2"/>
  <c r="AC10" i="2"/>
  <c r="AD10" i="2"/>
  <c r="AE10" i="2"/>
  <c r="AF10" i="2"/>
  <c r="AG10" i="2"/>
  <c r="AH10" i="2"/>
  <c r="AI10" i="2"/>
  <c r="AJ10" i="2"/>
  <c r="AK10" i="2"/>
  <c r="AL10" i="2"/>
  <c r="AM10" i="2"/>
  <c r="AN10" i="2"/>
  <c r="AO10" i="2"/>
  <c r="AP10" i="2"/>
  <c r="AQ10" i="2"/>
  <c r="AR10" i="2"/>
  <c r="AS10" i="2"/>
  <c r="AT10" i="2"/>
  <c r="AU10" i="2"/>
  <c r="AV10" i="2"/>
  <c r="AW10" i="2"/>
  <c r="AX10" i="2"/>
  <c r="AY10" i="2"/>
  <c r="AZ10" i="2"/>
  <c r="BA10" i="2"/>
  <c r="BB10" i="2"/>
  <c r="BC10" i="2"/>
  <c r="BD10" i="2"/>
  <c r="BE10" i="2"/>
  <c r="BF10" i="2"/>
  <c r="BG10" i="2"/>
  <c r="BH10" i="2"/>
  <c r="BI10" i="2"/>
  <c r="BJ10" i="2"/>
  <c r="R11" i="2"/>
  <c r="S11" i="2"/>
  <c r="T11" i="2"/>
  <c r="U11" i="2"/>
  <c r="V11" i="2"/>
  <c r="W11" i="2"/>
  <c r="X11" i="2"/>
  <c r="Y11" i="2"/>
  <c r="Z11" i="2"/>
  <c r="AA11" i="2"/>
  <c r="AB11" i="2"/>
  <c r="AC11" i="2"/>
  <c r="AD11" i="2"/>
  <c r="AE11" i="2"/>
  <c r="AF11" i="2"/>
  <c r="AG11" i="2"/>
  <c r="AH11" i="2"/>
  <c r="AI11" i="2"/>
  <c r="AJ11" i="2"/>
  <c r="AK11" i="2"/>
  <c r="AL11" i="2"/>
  <c r="AM11" i="2"/>
  <c r="AN11" i="2"/>
  <c r="AO11" i="2"/>
  <c r="AP11" i="2"/>
  <c r="AQ11" i="2"/>
  <c r="AR11" i="2"/>
  <c r="AS11" i="2"/>
  <c r="AT11" i="2"/>
  <c r="AU11" i="2"/>
  <c r="AV11" i="2"/>
  <c r="AW11" i="2"/>
  <c r="AX11" i="2"/>
  <c r="AY11" i="2"/>
  <c r="AZ11" i="2"/>
  <c r="BA11" i="2"/>
  <c r="BB11" i="2"/>
  <c r="BC11" i="2"/>
  <c r="BD11" i="2"/>
  <c r="BE11" i="2"/>
  <c r="BF11" i="2"/>
  <c r="BG11" i="2"/>
  <c r="BH11" i="2"/>
  <c r="BI11" i="2"/>
  <c r="BJ11" i="2"/>
  <c r="R12" i="2"/>
  <c r="S12" i="2"/>
  <c r="T12" i="2"/>
  <c r="U12" i="2"/>
  <c r="V12" i="2"/>
  <c r="W12" i="2"/>
  <c r="X12" i="2"/>
  <c r="Y12" i="2"/>
  <c r="Z12" i="2"/>
  <c r="AA12" i="2"/>
  <c r="AB12" i="2"/>
  <c r="AC12" i="2"/>
  <c r="AD12" i="2"/>
  <c r="AE12" i="2"/>
  <c r="AF12" i="2"/>
  <c r="AG12" i="2"/>
  <c r="AH12" i="2"/>
  <c r="AI12" i="2"/>
  <c r="AJ12" i="2"/>
  <c r="AK12" i="2"/>
  <c r="AL12" i="2"/>
  <c r="AM12" i="2"/>
  <c r="AN12" i="2"/>
  <c r="AO12" i="2"/>
  <c r="AP12" i="2"/>
  <c r="AQ12" i="2"/>
  <c r="AR12" i="2"/>
  <c r="AS12" i="2"/>
  <c r="AT12" i="2"/>
  <c r="AU12" i="2"/>
  <c r="AV12" i="2"/>
  <c r="AW12" i="2"/>
  <c r="AX12" i="2"/>
  <c r="AY12" i="2"/>
  <c r="AZ12" i="2"/>
  <c r="BA12" i="2"/>
  <c r="BB12" i="2"/>
  <c r="BC12" i="2"/>
  <c r="BD12" i="2"/>
  <c r="BE12" i="2"/>
  <c r="BF12" i="2"/>
  <c r="BG12" i="2"/>
  <c r="BH12" i="2"/>
  <c r="BI12" i="2"/>
  <c r="BJ12" i="2"/>
  <c r="R13" i="2"/>
  <c r="S13" i="2"/>
  <c r="T13" i="2"/>
  <c r="U13" i="2"/>
  <c r="V13" i="2"/>
  <c r="W13" i="2"/>
  <c r="X13" i="2"/>
  <c r="Y13" i="2"/>
  <c r="Z13" i="2"/>
  <c r="AA13" i="2"/>
  <c r="AB13" i="2"/>
  <c r="AC13" i="2"/>
  <c r="AD13" i="2"/>
  <c r="AE13" i="2"/>
  <c r="AF13" i="2"/>
  <c r="AG13" i="2"/>
  <c r="AH13" i="2"/>
  <c r="AI13" i="2"/>
  <c r="AJ13" i="2"/>
  <c r="AK13" i="2"/>
  <c r="AL13" i="2"/>
  <c r="AM13" i="2"/>
  <c r="AN13" i="2"/>
  <c r="AO13" i="2"/>
  <c r="AP13" i="2"/>
  <c r="AQ13" i="2"/>
  <c r="AR13" i="2"/>
  <c r="AS13" i="2"/>
  <c r="AT13" i="2"/>
  <c r="AU13" i="2"/>
  <c r="AV13" i="2"/>
  <c r="AW13" i="2"/>
  <c r="AX13" i="2"/>
  <c r="AY13" i="2"/>
  <c r="AZ13" i="2"/>
  <c r="BA13" i="2"/>
  <c r="BB13" i="2"/>
  <c r="BC13" i="2"/>
  <c r="BD13" i="2"/>
  <c r="BE13" i="2"/>
  <c r="BF13" i="2"/>
  <c r="BG13" i="2"/>
  <c r="BH13" i="2"/>
  <c r="BI13" i="2"/>
  <c r="BJ13" i="2"/>
  <c r="R14" i="2"/>
  <c r="S14" i="2"/>
  <c r="T14" i="2"/>
  <c r="U14" i="2"/>
  <c r="V14" i="2"/>
  <c r="W14" i="2"/>
  <c r="X14" i="2"/>
  <c r="Y14" i="2"/>
  <c r="Z14" i="2"/>
  <c r="AA14" i="2"/>
  <c r="AB14" i="2"/>
  <c r="AC14" i="2"/>
  <c r="AD14" i="2"/>
  <c r="AE14" i="2"/>
  <c r="AF14" i="2"/>
  <c r="AG14" i="2"/>
  <c r="AH14" i="2"/>
  <c r="AI14" i="2"/>
  <c r="AJ14" i="2"/>
  <c r="AK14" i="2"/>
  <c r="AL14" i="2"/>
  <c r="AM14" i="2"/>
  <c r="AN14" i="2"/>
  <c r="AO14" i="2"/>
  <c r="AP14" i="2"/>
  <c r="AQ14" i="2"/>
  <c r="AR14" i="2"/>
  <c r="AS14" i="2"/>
  <c r="AT14" i="2"/>
  <c r="AU14" i="2"/>
  <c r="AV14" i="2"/>
  <c r="AW14" i="2"/>
  <c r="AX14" i="2"/>
  <c r="AY14" i="2"/>
  <c r="AZ14" i="2"/>
  <c r="BA14" i="2"/>
  <c r="BB14" i="2"/>
  <c r="BC14" i="2"/>
  <c r="BD14" i="2"/>
  <c r="BE14" i="2"/>
  <c r="BF14" i="2"/>
  <c r="BG14" i="2"/>
  <c r="BH14" i="2"/>
  <c r="BI14" i="2"/>
  <c r="BJ14" i="2"/>
  <c r="R15" i="2"/>
  <c r="S15" i="2"/>
  <c r="T15" i="2"/>
  <c r="U15" i="2"/>
  <c r="V15" i="2"/>
  <c r="W15" i="2"/>
  <c r="X15" i="2"/>
  <c r="Y15" i="2"/>
  <c r="Z15" i="2"/>
  <c r="AA15" i="2"/>
  <c r="AB15" i="2"/>
  <c r="AC15" i="2"/>
  <c r="AD15" i="2"/>
  <c r="AE15" i="2"/>
  <c r="AF15" i="2"/>
  <c r="AG15" i="2"/>
  <c r="AH15" i="2"/>
  <c r="AI15" i="2"/>
  <c r="AJ15" i="2"/>
  <c r="AK15" i="2"/>
  <c r="AL15" i="2"/>
  <c r="AM15" i="2"/>
  <c r="AN15" i="2"/>
  <c r="AO15" i="2"/>
  <c r="AP15" i="2"/>
  <c r="AQ15" i="2"/>
  <c r="AR15" i="2"/>
  <c r="AS15" i="2"/>
  <c r="AT15" i="2"/>
  <c r="AU15" i="2"/>
  <c r="AV15" i="2"/>
  <c r="AW15" i="2"/>
  <c r="AX15" i="2"/>
  <c r="AY15" i="2"/>
  <c r="AZ15" i="2"/>
  <c r="BA15" i="2"/>
  <c r="BB15" i="2"/>
  <c r="BC15" i="2"/>
  <c r="BD15" i="2"/>
  <c r="BE15" i="2"/>
  <c r="BF15" i="2"/>
  <c r="BG15" i="2"/>
  <c r="BH15" i="2"/>
  <c r="BI15" i="2"/>
  <c r="BJ15" i="2"/>
  <c r="R16" i="2"/>
  <c r="S16" i="2"/>
  <c r="T16" i="2"/>
  <c r="U16" i="2"/>
  <c r="V16" i="2"/>
  <c r="W16" i="2"/>
  <c r="X16" i="2"/>
  <c r="Y16" i="2"/>
  <c r="Z16" i="2"/>
  <c r="AA16" i="2"/>
  <c r="AB16" i="2"/>
  <c r="AC16" i="2"/>
  <c r="AD16" i="2"/>
  <c r="AE16" i="2"/>
  <c r="AF16" i="2"/>
  <c r="AG16" i="2"/>
  <c r="AH16" i="2"/>
  <c r="AI16" i="2"/>
  <c r="AJ16" i="2"/>
  <c r="AK16" i="2"/>
  <c r="AL16" i="2"/>
  <c r="AM16" i="2"/>
  <c r="AN16" i="2"/>
  <c r="AO16" i="2"/>
  <c r="AP16" i="2"/>
  <c r="AQ16" i="2"/>
  <c r="AR16" i="2"/>
  <c r="AS16" i="2"/>
  <c r="AT16" i="2"/>
  <c r="AU16" i="2"/>
  <c r="AV16" i="2"/>
  <c r="AW16" i="2"/>
  <c r="AX16" i="2"/>
  <c r="AY16" i="2"/>
  <c r="AZ16" i="2"/>
  <c r="BA16" i="2"/>
  <c r="BB16" i="2"/>
  <c r="BC16" i="2"/>
  <c r="BD16" i="2"/>
  <c r="BE16" i="2"/>
  <c r="BF16" i="2"/>
  <c r="BG16" i="2"/>
  <c r="BH16" i="2"/>
  <c r="BI16" i="2"/>
  <c r="BJ16" i="2"/>
  <c r="R17" i="2"/>
  <c r="S17" i="2"/>
  <c r="T17" i="2"/>
  <c r="U17" i="2"/>
  <c r="V17" i="2"/>
  <c r="W17" i="2"/>
  <c r="X17" i="2"/>
  <c r="Y17" i="2"/>
  <c r="Z17" i="2"/>
  <c r="AA17" i="2"/>
  <c r="AB17" i="2"/>
  <c r="AC17" i="2"/>
  <c r="AD17" i="2"/>
  <c r="AE17" i="2"/>
  <c r="AF17" i="2"/>
  <c r="AG17" i="2"/>
  <c r="AH17" i="2"/>
  <c r="AI17" i="2"/>
  <c r="AJ17" i="2"/>
  <c r="AK17" i="2"/>
  <c r="AL17" i="2"/>
  <c r="AM17" i="2"/>
  <c r="AN17" i="2"/>
  <c r="AO17" i="2"/>
  <c r="AP17" i="2"/>
  <c r="AQ17" i="2"/>
  <c r="AR17" i="2"/>
  <c r="AS17" i="2"/>
  <c r="AT17" i="2"/>
  <c r="AU17" i="2"/>
  <c r="AV17" i="2"/>
  <c r="AW17" i="2"/>
  <c r="AX17" i="2"/>
  <c r="AY17" i="2"/>
  <c r="AZ17" i="2"/>
  <c r="BA17" i="2"/>
  <c r="BB17" i="2"/>
  <c r="BC17" i="2"/>
  <c r="BD17" i="2"/>
  <c r="BE17" i="2"/>
  <c r="BF17" i="2"/>
  <c r="BG17" i="2"/>
  <c r="BH17" i="2"/>
  <c r="BI17" i="2"/>
  <c r="BJ17" i="2"/>
  <c r="R18" i="2"/>
  <c r="S18" i="2"/>
  <c r="T18" i="2"/>
  <c r="U18" i="2"/>
  <c r="V18" i="2"/>
  <c r="W18" i="2"/>
  <c r="X18" i="2"/>
  <c r="Y18" i="2"/>
  <c r="Z18" i="2"/>
  <c r="AA18" i="2"/>
  <c r="AB18" i="2"/>
  <c r="AC18" i="2"/>
  <c r="AD18" i="2"/>
  <c r="AE18" i="2"/>
  <c r="AF18" i="2"/>
  <c r="AG18" i="2"/>
  <c r="AH18" i="2"/>
  <c r="AI18" i="2"/>
  <c r="AJ18" i="2"/>
  <c r="AK18" i="2"/>
  <c r="AL18" i="2"/>
  <c r="AM18" i="2"/>
  <c r="AN18" i="2"/>
  <c r="AO18" i="2"/>
  <c r="AP18" i="2"/>
  <c r="AQ18" i="2"/>
  <c r="AR18" i="2"/>
  <c r="AS18" i="2"/>
  <c r="AT18" i="2"/>
  <c r="AU18" i="2"/>
  <c r="AV18" i="2"/>
  <c r="AW18" i="2"/>
  <c r="AX18" i="2"/>
  <c r="AY18" i="2"/>
  <c r="AZ18" i="2"/>
  <c r="BA18" i="2"/>
  <c r="BB18" i="2"/>
  <c r="BC18" i="2"/>
  <c r="BD18" i="2"/>
  <c r="BE18" i="2"/>
  <c r="BF18" i="2"/>
  <c r="BG18" i="2"/>
  <c r="BH18" i="2"/>
  <c r="BI18" i="2"/>
  <c r="BJ18" i="2"/>
  <c r="R19" i="2"/>
  <c r="S19" i="2"/>
  <c r="T19" i="2"/>
  <c r="U19" i="2"/>
  <c r="V19" i="2"/>
  <c r="W19" i="2"/>
  <c r="X19" i="2"/>
  <c r="Y19" i="2"/>
  <c r="Z19" i="2"/>
  <c r="AA19" i="2"/>
  <c r="AB19" i="2"/>
  <c r="AC19" i="2"/>
  <c r="AD19" i="2"/>
  <c r="AE19" i="2"/>
  <c r="AF19" i="2"/>
  <c r="AG19" i="2"/>
  <c r="AH19" i="2"/>
  <c r="AI19" i="2"/>
  <c r="AJ19" i="2"/>
  <c r="AK19" i="2"/>
  <c r="AL19" i="2"/>
  <c r="AM19" i="2"/>
  <c r="AN19" i="2"/>
  <c r="AO19" i="2"/>
  <c r="AP19" i="2"/>
  <c r="AQ19" i="2"/>
  <c r="AR19" i="2"/>
  <c r="AS19" i="2"/>
  <c r="AT19" i="2"/>
  <c r="AU19" i="2"/>
  <c r="AV19" i="2"/>
  <c r="AW19" i="2"/>
  <c r="AX19" i="2"/>
  <c r="AY19" i="2"/>
  <c r="AZ19" i="2"/>
  <c r="BA19" i="2"/>
  <c r="BB19" i="2"/>
  <c r="BC19" i="2"/>
  <c r="BD19" i="2"/>
  <c r="BE19" i="2"/>
  <c r="BF19" i="2"/>
  <c r="BG19" i="2"/>
  <c r="BH19" i="2"/>
  <c r="BI19" i="2"/>
  <c r="BJ19" i="2"/>
  <c r="R20" i="2"/>
  <c r="S20" i="2"/>
  <c r="T20" i="2"/>
  <c r="U20" i="2"/>
  <c r="V20" i="2"/>
  <c r="W20" i="2"/>
  <c r="X20" i="2"/>
  <c r="Y20" i="2"/>
  <c r="Z20" i="2"/>
  <c r="AA20" i="2"/>
  <c r="AB20" i="2"/>
  <c r="AC20" i="2"/>
  <c r="AD20" i="2"/>
  <c r="AE20" i="2"/>
  <c r="AF20" i="2"/>
  <c r="AG20" i="2"/>
  <c r="AH20" i="2"/>
  <c r="AI20" i="2"/>
  <c r="AJ20" i="2"/>
  <c r="AK20" i="2"/>
  <c r="AL20" i="2"/>
  <c r="AM20" i="2"/>
  <c r="AN20" i="2"/>
  <c r="AO20" i="2"/>
  <c r="AP20" i="2"/>
  <c r="AQ20" i="2"/>
  <c r="AR20" i="2"/>
  <c r="AS20" i="2"/>
  <c r="AT20" i="2"/>
  <c r="AU20" i="2"/>
  <c r="AV20" i="2"/>
  <c r="AW20" i="2"/>
  <c r="AX20" i="2"/>
  <c r="AY20" i="2"/>
  <c r="AZ20" i="2"/>
  <c r="BA20" i="2"/>
  <c r="BB20" i="2"/>
  <c r="BC20" i="2"/>
  <c r="BD20" i="2"/>
  <c r="BE20" i="2"/>
  <c r="BF20" i="2"/>
  <c r="BG20" i="2"/>
  <c r="BH20" i="2"/>
  <c r="BI20" i="2"/>
  <c r="BJ20" i="2"/>
  <c r="R21" i="2"/>
  <c r="S21" i="2"/>
  <c r="T21" i="2"/>
  <c r="U21" i="2"/>
  <c r="V21" i="2"/>
  <c r="W21" i="2"/>
  <c r="X21" i="2"/>
  <c r="Y21" i="2"/>
  <c r="Z21" i="2"/>
  <c r="AA21" i="2"/>
  <c r="AB21" i="2"/>
  <c r="AC21" i="2"/>
  <c r="AD21" i="2"/>
  <c r="AE21" i="2"/>
  <c r="AF21" i="2"/>
  <c r="AG21" i="2"/>
  <c r="AH21" i="2"/>
  <c r="AI21" i="2"/>
  <c r="AJ21" i="2"/>
  <c r="AK21" i="2"/>
  <c r="AL21" i="2"/>
  <c r="AM21" i="2"/>
  <c r="AN21" i="2"/>
  <c r="AO21" i="2"/>
  <c r="AP21" i="2"/>
  <c r="AQ21" i="2"/>
  <c r="AR21" i="2"/>
  <c r="AS21" i="2"/>
  <c r="AT21" i="2"/>
  <c r="AU21" i="2"/>
  <c r="AV21" i="2"/>
  <c r="AW21" i="2"/>
  <c r="AX21" i="2"/>
  <c r="AY21" i="2"/>
  <c r="AZ21" i="2"/>
  <c r="BA21" i="2"/>
  <c r="BB21" i="2"/>
  <c r="BC21" i="2"/>
  <c r="BD21" i="2"/>
  <c r="BE21" i="2"/>
  <c r="BF21" i="2"/>
  <c r="BG21" i="2"/>
  <c r="BH21" i="2"/>
  <c r="BI21" i="2"/>
  <c r="BJ21" i="2"/>
  <c r="R22" i="2"/>
  <c r="S22" i="2"/>
  <c r="T22" i="2"/>
  <c r="U22" i="2"/>
  <c r="V22" i="2"/>
  <c r="W22" i="2"/>
  <c r="X22" i="2"/>
  <c r="Y22" i="2"/>
  <c r="Z22" i="2"/>
  <c r="AA22" i="2"/>
  <c r="AB22" i="2"/>
  <c r="AC22" i="2"/>
  <c r="AD22" i="2"/>
  <c r="AE22" i="2"/>
  <c r="AF22" i="2"/>
  <c r="AG22" i="2"/>
  <c r="AH22" i="2"/>
  <c r="AI22" i="2"/>
  <c r="AJ22" i="2"/>
  <c r="AK22" i="2"/>
  <c r="AL22" i="2"/>
  <c r="AM22" i="2"/>
  <c r="AN22" i="2"/>
  <c r="AO22" i="2"/>
  <c r="AP22" i="2"/>
  <c r="AQ22" i="2"/>
  <c r="AR22" i="2"/>
  <c r="AS22" i="2"/>
  <c r="AT22" i="2"/>
  <c r="AU22" i="2"/>
  <c r="AV22" i="2"/>
  <c r="AW22" i="2"/>
  <c r="AX22" i="2"/>
  <c r="AY22" i="2"/>
  <c r="AZ22" i="2"/>
  <c r="BA22" i="2"/>
  <c r="BB22" i="2"/>
  <c r="BC22" i="2"/>
  <c r="BD22" i="2"/>
  <c r="BE22" i="2"/>
  <c r="BF22" i="2"/>
  <c r="BG22" i="2"/>
  <c r="BH22" i="2"/>
  <c r="BI22" i="2"/>
  <c r="BJ22" i="2"/>
  <c r="R23" i="2"/>
  <c r="S23" i="2"/>
  <c r="T23" i="2"/>
  <c r="U23" i="2"/>
  <c r="V23" i="2"/>
  <c r="W23" i="2"/>
  <c r="X23" i="2"/>
  <c r="Y23" i="2"/>
  <c r="Z23" i="2"/>
  <c r="AA23" i="2"/>
  <c r="AB23" i="2"/>
  <c r="AC23" i="2"/>
  <c r="AD23" i="2"/>
  <c r="AE23" i="2"/>
  <c r="AF23" i="2"/>
  <c r="AG23" i="2"/>
  <c r="AH23" i="2"/>
  <c r="AI23" i="2"/>
  <c r="AJ23" i="2"/>
  <c r="AK23" i="2"/>
  <c r="AL23" i="2"/>
  <c r="AM23" i="2"/>
  <c r="AN23" i="2"/>
  <c r="AO23" i="2"/>
  <c r="AP23" i="2"/>
  <c r="AQ23" i="2"/>
  <c r="AR23" i="2"/>
  <c r="AS23" i="2"/>
  <c r="AT23" i="2"/>
  <c r="AU23" i="2"/>
  <c r="AV23" i="2"/>
  <c r="AW23" i="2"/>
  <c r="AX23" i="2"/>
  <c r="AY23" i="2"/>
  <c r="AZ23" i="2"/>
  <c r="BA23" i="2"/>
  <c r="BB23" i="2"/>
  <c r="BC23" i="2"/>
  <c r="BD23" i="2"/>
  <c r="BE23" i="2"/>
  <c r="BF23" i="2"/>
  <c r="BG23" i="2"/>
  <c r="BH23" i="2"/>
  <c r="BI23" i="2"/>
  <c r="BJ23" i="2"/>
  <c r="R24" i="2"/>
  <c r="S24" i="2"/>
  <c r="T24" i="2"/>
  <c r="U24" i="2"/>
  <c r="V24" i="2"/>
  <c r="W24" i="2"/>
  <c r="X24" i="2"/>
  <c r="Y24" i="2"/>
  <c r="Z24" i="2"/>
  <c r="AA24" i="2"/>
  <c r="AB24" i="2"/>
  <c r="AC24" i="2"/>
  <c r="AD24" i="2"/>
  <c r="AE24" i="2"/>
  <c r="AF24" i="2"/>
  <c r="AG24" i="2"/>
  <c r="AH24" i="2"/>
  <c r="AI24" i="2"/>
  <c r="AJ24" i="2"/>
  <c r="AK24" i="2"/>
  <c r="AL24" i="2"/>
  <c r="AM24" i="2"/>
  <c r="AN24" i="2"/>
  <c r="AO24" i="2"/>
  <c r="AP24" i="2"/>
  <c r="AQ24" i="2"/>
  <c r="AR24" i="2"/>
  <c r="AS24" i="2"/>
  <c r="AT24" i="2"/>
  <c r="AU24" i="2"/>
  <c r="AV24" i="2"/>
  <c r="AW24" i="2"/>
  <c r="AX24" i="2"/>
  <c r="AY24" i="2"/>
  <c r="AZ24" i="2"/>
  <c r="BA24" i="2"/>
  <c r="BB24" i="2"/>
  <c r="BC24" i="2"/>
  <c r="BD24" i="2"/>
  <c r="BE24" i="2"/>
  <c r="BF24" i="2"/>
  <c r="BG24" i="2"/>
  <c r="BH24" i="2"/>
  <c r="BI24" i="2"/>
  <c r="BJ24" i="2"/>
  <c r="R25" i="2"/>
  <c r="S25" i="2"/>
  <c r="T25" i="2"/>
  <c r="U25" i="2"/>
  <c r="V25" i="2"/>
  <c r="W25" i="2"/>
  <c r="X25" i="2"/>
  <c r="Y25" i="2"/>
  <c r="Z25" i="2"/>
  <c r="AA25" i="2"/>
  <c r="AB25" i="2"/>
  <c r="AC25" i="2"/>
  <c r="AD25" i="2"/>
  <c r="AE25" i="2"/>
  <c r="AF25" i="2"/>
  <c r="AG25" i="2"/>
  <c r="AH25" i="2"/>
  <c r="AI25" i="2"/>
  <c r="AJ25" i="2"/>
  <c r="AK25" i="2"/>
  <c r="AL25" i="2"/>
  <c r="AM25" i="2"/>
  <c r="AN25" i="2"/>
  <c r="AO25" i="2"/>
  <c r="AP25" i="2"/>
  <c r="AQ25" i="2"/>
  <c r="AR25" i="2"/>
  <c r="AS25" i="2"/>
  <c r="AT25" i="2"/>
  <c r="AU25" i="2"/>
  <c r="AV25" i="2"/>
  <c r="AW25" i="2"/>
  <c r="AX25" i="2"/>
  <c r="AY25" i="2"/>
  <c r="AZ25" i="2"/>
  <c r="BA25" i="2"/>
  <c r="BB25" i="2"/>
  <c r="BC25" i="2"/>
  <c r="BD25" i="2"/>
  <c r="BE25" i="2"/>
  <c r="BF25" i="2"/>
  <c r="BG25" i="2"/>
  <c r="BH25" i="2"/>
  <c r="BI25" i="2"/>
  <c r="BJ25" i="2"/>
  <c r="R26" i="2"/>
  <c r="S26" i="2"/>
  <c r="T26" i="2"/>
  <c r="U26" i="2"/>
  <c r="V26" i="2"/>
  <c r="W26" i="2"/>
  <c r="X26" i="2"/>
  <c r="Y26" i="2"/>
  <c r="Z26" i="2"/>
  <c r="AA26" i="2"/>
  <c r="AB26" i="2"/>
  <c r="AC26" i="2"/>
  <c r="AD26" i="2"/>
  <c r="AE26" i="2"/>
  <c r="AF26" i="2"/>
  <c r="AG26" i="2"/>
  <c r="AH26" i="2"/>
  <c r="AI26" i="2"/>
  <c r="AJ26" i="2"/>
  <c r="AK26" i="2"/>
  <c r="AL26" i="2"/>
  <c r="AM26" i="2"/>
  <c r="AN26" i="2"/>
  <c r="AO26" i="2"/>
  <c r="AP26" i="2"/>
  <c r="AQ26" i="2"/>
  <c r="AR26" i="2"/>
  <c r="AS26" i="2"/>
  <c r="AT26" i="2"/>
  <c r="AU26" i="2"/>
  <c r="AV26" i="2"/>
  <c r="AW26" i="2"/>
  <c r="AX26" i="2"/>
  <c r="AY26" i="2"/>
  <c r="AZ26" i="2"/>
  <c r="BA26" i="2"/>
  <c r="BB26" i="2"/>
  <c r="BC26" i="2"/>
  <c r="BD26" i="2"/>
  <c r="BE26" i="2"/>
  <c r="BF26" i="2"/>
  <c r="BG26" i="2"/>
  <c r="BH26" i="2"/>
  <c r="BI26" i="2"/>
  <c r="BJ26" i="2"/>
  <c r="R27" i="2"/>
  <c r="S27" i="2"/>
  <c r="T27" i="2"/>
  <c r="U27" i="2"/>
  <c r="V27" i="2"/>
  <c r="W27" i="2"/>
  <c r="X27" i="2"/>
  <c r="Y27" i="2"/>
  <c r="Z27" i="2"/>
  <c r="AA27" i="2"/>
  <c r="AB27" i="2"/>
  <c r="AC27" i="2"/>
  <c r="AD27" i="2"/>
  <c r="AE27" i="2"/>
  <c r="AF27" i="2"/>
  <c r="AG27" i="2"/>
  <c r="AH27" i="2"/>
  <c r="AI27" i="2"/>
  <c r="AJ27" i="2"/>
  <c r="AK27" i="2"/>
  <c r="AL27" i="2"/>
  <c r="AM27" i="2"/>
  <c r="AN27" i="2"/>
  <c r="AO27" i="2"/>
  <c r="AP27" i="2"/>
  <c r="AQ27" i="2"/>
  <c r="AR27" i="2"/>
  <c r="AS27" i="2"/>
  <c r="AT27" i="2"/>
  <c r="AU27" i="2"/>
  <c r="AV27" i="2"/>
  <c r="AW27" i="2"/>
  <c r="AX27" i="2"/>
  <c r="AY27" i="2"/>
  <c r="AZ27" i="2"/>
  <c r="BA27" i="2"/>
  <c r="BB27" i="2"/>
  <c r="BC27" i="2"/>
  <c r="BD27" i="2"/>
  <c r="BE27" i="2"/>
  <c r="BF27" i="2"/>
  <c r="BG27" i="2"/>
  <c r="BH27" i="2"/>
  <c r="BI27" i="2"/>
  <c r="BJ27" i="2"/>
  <c r="R28" i="2"/>
  <c r="S28" i="2"/>
  <c r="T28" i="2"/>
  <c r="U28" i="2"/>
  <c r="V28" i="2"/>
  <c r="W28" i="2"/>
  <c r="X28" i="2"/>
  <c r="Y28" i="2"/>
  <c r="Z28" i="2"/>
  <c r="AA28" i="2"/>
  <c r="AB28" i="2"/>
  <c r="AC28" i="2"/>
  <c r="AD28" i="2"/>
  <c r="AE28" i="2"/>
  <c r="AF28" i="2"/>
  <c r="AG28" i="2"/>
  <c r="AH28" i="2"/>
  <c r="AI28" i="2"/>
  <c r="AJ28" i="2"/>
  <c r="AK28" i="2"/>
  <c r="AL28" i="2"/>
  <c r="AM28" i="2"/>
  <c r="AN28" i="2"/>
  <c r="AO28" i="2"/>
  <c r="AP28" i="2"/>
  <c r="AQ28" i="2"/>
  <c r="AR28" i="2"/>
  <c r="AS28" i="2"/>
  <c r="AT28" i="2"/>
  <c r="AU28" i="2"/>
  <c r="AV28" i="2"/>
  <c r="AW28" i="2"/>
  <c r="AX28" i="2"/>
  <c r="AY28" i="2"/>
  <c r="AZ28" i="2"/>
  <c r="BA28" i="2"/>
  <c r="BB28" i="2"/>
  <c r="BC28" i="2"/>
  <c r="BD28" i="2"/>
  <c r="BE28" i="2"/>
  <c r="BF28" i="2"/>
  <c r="BG28" i="2"/>
  <c r="BH28" i="2"/>
  <c r="BI28" i="2"/>
  <c r="BJ28" i="2"/>
  <c r="R29" i="2"/>
  <c r="S29" i="2"/>
  <c r="T29" i="2"/>
  <c r="U29" i="2"/>
  <c r="V29" i="2"/>
  <c r="W29" i="2"/>
  <c r="X29" i="2"/>
  <c r="Y29" i="2"/>
  <c r="Z29" i="2"/>
  <c r="AA29" i="2"/>
  <c r="AB29" i="2"/>
  <c r="AC29" i="2"/>
  <c r="AD29" i="2"/>
  <c r="AE29" i="2"/>
  <c r="AF29" i="2"/>
  <c r="AG29" i="2"/>
  <c r="AH29" i="2"/>
  <c r="AI29" i="2"/>
  <c r="AJ29" i="2"/>
  <c r="AK29" i="2"/>
  <c r="AL29" i="2"/>
  <c r="AM29" i="2"/>
  <c r="AN29" i="2"/>
  <c r="AO29" i="2"/>
  <c r="AP29" i="2"/>
  <c r="AQ29" i="2"/>
  <c r="AR29" i="2"/>
  <c r="AS29" i="2"/>
  <c r="AT29" i="2"/>
  <c r="AU29" i="2"/>
  <c r="AV29" i="2"/>
  <c r="AW29" i="2"/>
  <c r="AX29" i="2"/>
  <c r="AY29" i="2"/>
  <c r="AZ29" i="2"/>
  <c r="BA29" i="2"/>
  <c r="BB29" i="2"/>
  <c r="BC29" i="2"/>
  <c r="BD29" i="2"/>
  <c r="BE29" i="2"/>
  <c r="BF29" i="2"/>
  <c r="BG29" i="2"/>
  <c r="BH29" i="2"/>
  <c r="BI29" i="2"/>
  <c r="BJ29" i="2"/>
  <c r="R30" i="2"/>
  <c r="S30" i="2"/>
  <c r="T30" i="2"/>
  <c r="U30" i="2"/>
  <c r="V30" i="2"/>
  <c r="W30" i="2"/>
  <c r="X30" i="2"/>
  <c r="Y30" i="2"/>
  <c r="Z30" i="2"/>
  <c r="AA30" i="2"/>
  <c r="AB30" i="2"/>
  <c r="AC30" i="2"/>
  <c r="AD30" i="2"/>
  <c r="AE30" i="2"/>
  <c r="AF30" i="2"/>
  <c r="AG30" i="2"/>
  <c r="AH30" i="2"/>
  <c r="AI30" i="2"/>
  <c r="AJ30" i="2"/>
  <c r="AK30" i="2"/>
  <c r="AL30" i="2"/>
  <c r="AM30" i="2"/>
  <c r="AN30" i="2"/>
  <c r="AO30" i="2"/>
  <c r="AP30" i="2"/>
  <c r="AQ30" i="2"/>
  <c r="AR30" i="2"/>
  <c r="AS30" i="2"/>
  <c r="AT30" i="2"/>
  <c r="AU30" i="2"/>
  <c r="AV30" i="2"/>
  <c r="AW30" i="2"/>
  <c r="AX30" i="2"/>
  <c r="AY30" i="2"/>
  <c r="AZ30" i="2"/>
  <c r="BA30" i="2"/>
  <c r="BB30" i="2"/>
  <c r="BC30" i="2"/>
  <c r="BD30" i="2"/>
  <c r="BE30" i="2"/>
  <c r="BF30" i="2"/>
  <c r="BG30" i="2"/>
  <c r="BH30" i="2"/>
  <c r="BI30" i="2"/>
  <c r="BJ30" i="2"/>
  <c r="R31" i="2"/>
  <c r="S31" i="2"/>
  <c r="T31" i="2"/>
  <c r="U31" i="2"/>
  <c r="V31" i="2"/>
  <c r="W31" i="2"/>
  <c r="X31" i="2"/>
  <c r="Y31" i="2"/>
  <c r="Z31" i="2"/>
  <c r="AA31" i="2"/>
  <c r="AB31" i="2"/>
  <c r="AC31" i="2"/>
  <c r="AD31" i="2"/>
  <c r="AE31" i="2"/>
  <c r="AF31" i="2"/>
  <c r="AG31" i="2"/>
  <c r="AH31" i="2"/>
  <c r="AI31" i="2"/>
  <c r="AJ31" i="2"/>
  <c r="AK31" i="2"/>
  <c r="AL31" i="2"/>
  <c r="AM31" i="2"/>
  <c r="AN31" i="2"/>
  <c r="AO31" i="2"/>
  <c r="AP31" i="2"/>
  <c r="AQ31" i="2"/>
  <c r="AR31" i="2"/>
  <c r="AS31" i="2"/>
  <c r="AT31" i="2"/>
  <c r="AU31" i="2"/>
  <c r="AV31" i="2"/>
  <c r="AW31" i="2"/>
  <c r="AX31" i="2"/>
  <c r="AY31" i="2"/>
  <c r="AZ31" i="2"/>
  <c r="BA31" i="2"/>
  <c r="BB31" i="2"/>
  <c r="BC31" i="2"/>
  <c r="BD31" i="2"/>
  <c r="BE31" i="2"/>
  <c r="BF31" i="2"/>
  <c r="BG31" i="2"/>
  <c r="BH31" i="2"/>
  <c r="BI31" i="2"/>
  <c r="BJ31" i="2"/>
  <c r="R32" i="2"/>
  <c r="S32" i="2"/>
  <c r="T32" i="2"/>
  <c r="U32" i="2"/>
  <c r="V32" i="2"/>
  <c r="W32" i="2"/>
  <c r="X32" i="2"/>
  <c r="Y32" i="2"/>
  <c r="Z32" i="2"/>
  <c r="AA32" i="2"/>
  <c r="AB32" i="2"/>
  <c r="AC32" i="2"/>
  <c r="AD32" i="2"/>
  <c r="AE32" i="2"/>
  <c r="AF32" i="2"/>
  <c r="AG32" i="2"/>
  <c r="AH32" i="2"/>
  <c r="AI32" i="2"/>
  <c r="AJ32" i="2"/>
  <c r="AK32" i="2"/>
  <c r="AL32" i="2"/>
  <c r="AM32" i="2"/>
  <c r="AN32" i="2"/>
  <c r="AO32" i="2"/>
  <c r="AP32" i="2"/>
  <c r="AQ32" i="2"/>
  <c r="AR32" i="2"/>
  <c r="AS32" i="2"/>
  <c r="AT32" i="2"/>
  <c r="AU32" i="2"/>
  <c r="AV32" i="2"/>
  <c r="AW32" i="2"/>
  <c r="AX32" i="2"/>
  <c r="AY32" i="2"/>
  <c r="AZ32" i="2"/>
  <c r="BA32" i="2"/>
  <c r="BB32" i="2"/>
  <c r="BC32" i="2"/>
  <c r="BD32" i="2"/>
  <c r="BE32" i="2"/>
  <c r="BF32" i="2"/>
  <c r="BG32" i="2"/>
  <c r="BH32" i="2"/>
  <c r="BI32" i="2"/>
  <c r="BJ32" i="2"/>
  <c r="R33" i="2"/>
  <c r="S33" i="2"/>
  <c r="T33" i="2"/>
  <c r="U33" i="2"/>
  <c r="V33" i="2"/>
  <c r="W33" i="2"/>
  <c r="X33" i="2"/>
  <c r="Y33" i="2"/>
  <c r="Z33" i="2"/>
  <c r="AA33" i="2"/>
  <c r="AB33" i="2"/>
  <c r="AC33" i="2"/>
  <c r="AD33" i="2"/>
  <c r="AE33" i="2"/>
  <c r="AF33" i="2"/>
  <c r="AG33" i="2"/>
  <c r="AH33" i="2"/>
  <c r="AI33" i="2"/>
  <c r="AJ33" i="2"/>
  <c r="AK33" i="2"/>
  <c r="AL33" i="2"/>
  <c r="AM33" i="2"/>
  <c r="AN33" i="2"/>
  <c r="AO33" i="2"/>
  <c r="AP33" i="2"/>
  <c r="AQ33" i="2"/>
  <c r="AR33" i="2"/>
  <c r="AS33" i="2"/>
  <c r="AT33" i="2"/>
  <c r="AU33" i="2"/>
  <c r="AV33" i="2"/>
  <c r="AW33" i="2"/>
  <c r="AX33" i="2"/>
  <c r="AY33" i="2"/>
  <c r="AZ33" i="2"/>
  <c r="BA33" i="2"/>
  <c r="BB33" i="2"/>
  <c r="BC33" i="2"/>
  <c r="BD33" i="2"/>
  <c r="BE33" i="2"/>
  <c r="BF33" i="2"/>
  <c r="BG33" i="2"/>
  <c r="BH33" i="2"/>
  <c r="BI33" i="2"/>
  <c r="BJ33" i="2"/>
  <c r="R34" i="2"/>
  <c r="S34" i="2"/>
  <c r="T34" i="2"/>
  <c r="U34" i="2"/>
  <c r="V34" i="2"/>
  <c r="W34" i="2"/>
  <c r="X34" i="2"/>
  <c r="Y34" i="2"/>
  <c r="Z34" i="2"/>
  <c r="AA34" i="2"/>
  <c r="AB34" i="2"/>
  <c r="AC34" i="2"/>
  <c r="AD34" i="2"/>
  <c r="AE34" i="2"/>
  <c r="AF34" i="2"/>
  <c r="AG34" i="2"/>
  <c r="AH34" i="2"/>
  <c r="AI34" i="2"/>
  <c r="AJ34" i="2"/>
  <c r="AK34" i="2"/>
  <c r="AL34" i="2"/>
  <c r="AM34" i="2"/>
  <c r="AN34" i="2"/>
  <c r="AO34" i="2"/>
  <c r="AP34" i="2"/>
  <c r="AQ34" i="2"/>
  <c r="AR34" i="2"/>
  <c r="AS34" i="2"/>
  <c r="AT34" i="2"/>
  <c r="AU34" i="2"/>
  <c r="AV34" i="2"/>
  <c r="AW34" i="2"/>
  <c r="AX34" i="2"/>
  <c r="AY34" i="2"/>
  <c r="AZ34" i="2"/>
  <c r="BA34" i="2"/>
  <c r="BB34" i="2"/>
  <c r="BC34" i="2"/>
  <c r="BD34" i="2"/>
  <c r="BE34" i="2"/>
  <c r="BF34" i="2"/>
  <c r="BG34" i="2"/>
  <c r="BH34" i="2"/>
  <c r="BI34" i="2"/>
  <c r="BJ34" i="2"/>
  <c r="R35" i="2"/>
  <c r="S35" i="2"/>
  <c r="T35" i="2"/>
  <c r="U35" i="2"/>
  <c r="V35" i="2"/>
  <c r="W35" i="2"/>
  <c r="X35" i="2"/>
  <c r="Y35" i="2"/>
  <c r="Z35" i="2"/>
  <c r="AA35" i="2"/>
  <c r="AB35" i="2"/>
  <c r="AC35" i="2"/>
  <c r="AD35" i="2"/>
  <c r="AE35" i="2"/>
  <c r="AF35" i="2"/>
  <c r="AG35" i="2"/>
  <c r="AH35" i="2"/>
  <c r="AI35" i="2"/>
  <c r="AJ35" i="2"/>
  <c r="AK35" i="2"/>
  <c r="AL35" i="2"/>
  <c r="AM35" i="2"/>
  <c r="AN35" i="2"/>
  <c r="AO35" i="2"/>
  <c r="AP35" i="2"/>
  <c r="AQ35" i="2"/>
  <c r="AR35" i="2"/>
  <c r="AS35" i="2"/>
  <c r="AT35" i="2"/>
  <c r="AU35" i="2"/>
  <c r="AV35" i="2"/>
  <c r="AW35" i="2"/>
  <c r="AX35" i="2"/>
  <c r="AY35" i="2"/>
  <c r="AZ35" i="2"/>
  <c r="BA35" i="2"/>
  <c r="BB35" i="2"/>
  <c r="BC35" i="2"/>
  <c r="BD35" i="2"/>
  <c r="BE35" i="2"/>
  <c r="BF35" i="2"/>
  <c r="BG35" i="2"/>
  <c r="BH35" i="2"/>
  <c r="BI35" i="2"/>
  <c r="BJ35" i="2"/>
  <c r="R36" i="2"/>
  <c r="S36" i="2"/>
  <c r="T36" i="2"/>
  <c r="U36" i="2"/>
  <c r="V36" i="2"/>
  <c r="W36" i="2"/>
  <c r="X36" i="2"/>
  <c r="Y36" i="2"/>
  <c r="Z36" i="2"/>
  <c r="AA36" i="2"/>
  <c r="AB36" i="2"/>
  <c r="AC36" i="2"/>
  <c r="AD36" i="2"/>
  <c r="AE36" i="2"/>
  <c r="AF36" i="2"/>
  <c r="AG36" i="2"/>
  <c r="AH36" i="2"/>
  <c r="AI36" i="2"/>
  <c r="AJ36" i="2"/>
  <c r="AK36" i="2"/>
  <c r="AL36" i="2"/>
  <c r="AM36" i="2"/>
  <c r="AN36" i="2"/>
  <c r="AO36" i="2"/>
  <c r="AP36" i="2"/>
  <c r="AQ36" i="2"/>
  <c r="AR36" i="2"/>
  <c r="AS36" i="2"/>
  <c r="AT36" i="2"/>
  <c r="AU36" i="2"/>
  <c r="AV36" i="2"/>
  <c r="AW36" i="2"/>
  <c r="AX36" i="2"/>
  <c r="AY36" i="2"/>
  <c r="AZ36" i="2"/>
  <c r="BA36" i="2"/>
  <c r="BB36" i="2"/>
  <c r="BC36" i="2"/>
  <c r="BD36" i="2"/>
  <c r="BE36" i="2"/>
  <c r="BF36" i="2"/>
  <c r="BG36" i="2"/>
  <c r="BH36" i="2"/>
  <c r="BI36" i="2"/>
  <c r="BJ36" i="2"/>
  <c r="R37" i="2"/>
  <c r="S37" i="2"/>
  <c r="T37" i="2"/>
  <c r="U37" i="2"/>
  <c r="V37" i="2"/>
  <c r="W37" i="2"/>
  <c r="X37" i="2"/>
  <c r="Y37" i="2"/>
  <c r="Z37" i="2"/>
  <c r="AA37" i="2"/>
  <c r="AB37" i="2"/>
  <c r="AC37" i="2"/>
  <c r="AD37" i="2"/>
  <c r="AE37" i="2"/>
  <c r="AF37" i="2"/>
  <c r="AG37" i="2"/>
  <c r="AH37" i="2"/>
  <c r="AI37" i="2"/>
  <c r="AJ37" i="2"/>
  <c r="AK37" i="2"/>
  <c r="AL37" i="2"/>
  <c r="AM37" i="2"/>
  <c r="AN37" i="2"/>
  <c r="AO37" i="2"/>
  <c r="AP37" i="2"/>
  <c r="AQ37" i="2"/>
  <c r="AR37" i="2"/>
  <c r="AS37" i="2"/>
  <c r="AT37" i="2"/>
  <c r="AU37" i="2"/>
  <c r="AV37" i="2"/>
  <c r="AW37" i="2"/>
  <c r="AX37" i="2"/>
  <c r="AY37" i="2"/>
  <c r="AZ37" i="2"/>
  <c r="BA37" i="2"/>
  <c r="BB37" i="2"/>
  <c r="BC37" i="2"/>
  <c r="BD37" i="2"/>
  <c r="BE37" i="2"/>
  <c r="BF37" i="2"/>
  <c r="BG37" i="2"/>
  <c r="BH37" i="2"/>
  <c r="BI37" i="2"/>
  <c r="BJ37" i="2"/>
  <c r="R38" i="2"/>
  <c r="S38" i="2"/>
  <c r="T38" i="2"/>
  <c r="U38" i="2"/>
  <c r="V38" i="2"/>
  <c r="W38" i="2"/>
  <c r="X38" i="2"/>
  <c r="Y38" i="2"/>
  <c r="Z38" i="2"/>
  <c r="AA38" i="2"/>
  <c r="AB38" i="2"/>
  <c r="AC38" i="2"/>
  <c r="AD38" i="2"/>
  <c r="AE38" i="2"/>
  <c r="AF38" i="2"/>
  <c r="AG38" i="2"/>
  <c r="AH38" i="2"/>
  <c r="AI38" i="2"/>
  <c r="AJ38" i="2"/>
  <c r="AK38" i="2"/>
  <c r="AL38" i="2"/>
  <c r="AM38" i="2"/>
  <c r="AN38" i="2"/>
  <c r="AO38" i="2"/>
  <c r="AP38" i="2"/>
  <c r="AQ38" i="2"/>
  <c r="AR38" i="2"/>
  <c r="AS38" i="2"/>
  <c r="AT38" i="2"/>
  <c r="AU38" i="2"/>
  <c r="AV38" i="2"/>
  <c r="AW38" i="2"/>
  <c r="AX38" i="2"/>
  <c r="AY38" i="2"/>
  <c r="AZ38" i="2"/>
  <c r="BA38" i="2"/>
  <c r="BB38" i="2"/>
  <c r="BC38" i="2"/>
  <c r="BD38" i="2"/>
  <c r="BE38" i="2"/>
  <c r="BF38" i="2"/>
  <c r="BG38" i="2"/>
  <c r="BH38" i="2"/>
  <c r="BI38" i="2"/>
  <c r="BJ38" i="2"/>
  <c r="R39" i="2"/>
  <c r="S39" i="2"/>
  <c r="T39" i="2"/>
  <c r="U39" i="2"/>
  <c r="V39" i="2"/>
  <c r="W39" i="2"/>
  <c r="X39" i="2"/>
  <c r="Y39" i="2"/>
  <c r="Z39" i="2"/>
  <c r="AA39" i="2"/>
  <c r="AB39" i="2"/>
  <c r="AC39" i="2"/>
  <c r="AD39" i="2"/>
  <c r="AE39" i="2"/>
  <c r="AF39" i="2"/>
  <c r="AG39" i="2"/>
  <c r="AH39" i="2"/>
  <c r="AI39" i="2"/>
  <c r="AJ39" i="2"/>
  <c r="AK39" i="2"/>
  <c r="AL39" i="2"/>
  <c r="AM39" i="2"/>
  <c r="AN39" i="2"/>
  <c r="AO39" i="2"/>
  <c r="AP39" i="2"/>
  <c r="AQ39" i="2"/>
  <c r="AR39" i="2"/>
  <c r="AS39" i="2"/>
  <c r="AT39" i="2"/>
  <c r="AU39" i="2"/>
  <c r="AV39" i="2"/>
  <c r="AW39" i="2"/>
  <c r="AX39" i="2"/>
  <c r="AY39" i="2"/>
  <c r="AZ39" i="2"/>
  <c r="BA39" i="2"/>
  <c r="BB39" i="2"/>
  <c r="BC39" i="2"/>
  <c r="BD39" i="2"/>
  <c r="BE39" i="2"/>
  <c r="BF39" i="2"/>
  <c r="BG39" i="2"/>
  <c r="BH39" i="2"/>
  <c r="BI39" i="2"/>
  <c r="BJ39" i="2"/>
  <c r="R40" i="2"/>
  <c r="S40" i="2"/>
  <c r="T40" i="2"/>
  <c r="U40" i="2"/>
  <c r="V40" i="2"/>
  <c r="W40" i="2"/>
  <c r="X40" i="2"/>
  <c r="Y40" i="2"/>
  <c r="Z40" i="2"/>
  <c r="AA40" i="2"/>
  <c r="AB40" i="2"/>
  <c r="AC40" i="2"/>
  <c r="AD40" i="2"/>
  <c r="AE40" i="2"/>
  <c r="AF40" i="2"/>
  <c r="AG40" i="2"/>
  <c r="AH40" i="2"/>
  <c r="AI40" i="2"/>
  <c r="AJ40" i="2"/>
  <c r="AK40" i="2"/>
  <c r="AL40" i="2"/>
  <c r="AM40" i="2"/>
  <c r="AN40" i="2"/>
  <c r="AO40" i="2"/>
  <c r="AP40" i="2"/>
  <c r="AQ40" i="2"/>
  <c r="AR40" i="2"/>
  <c r="AS40" i="2"/>
  <c r="AT40" i="2"/>
  <c r="AU40" i="2"/>
  <c r="AV40" i="2"/>
  <c r="AW40" i="2"/>
  <c r="AX40" i="2"/>
  <c r="AY40" i="2"/>
  <c r="AZ40" i="2"/>
  <c r="BA40" i="2"/>
  <c r="BB40" i="2"/>
  <c r="BC40" i="2"/>
  <c r="BD40" i="2"/>
  <c r="BE40" i="2"/>
  <c r="BF40" i="2"/>
  <c r="BG40" i="2"/>
  <c r="BH40" i="2"/>
  <c r="BI40" i="2"/>
  <c r="BJ40" i="2"/>
  <c r="R41" i="2"/>
  <c r="S41" i="2"/>
  <c r="T41" i="2"/>
  <c r="U41" i="2"/>
  <c r="V41" i="2"/>
  <c r="W41" i="2"/>
  <c r="X41" i="2"/>
  <c r="Y41" i="2"/>
  <c r="Z41" i="2"/>
  <c r="AA41" i="2"/>
  <c r="AB41" i="2"/>
  <c r="AC41" i="2"/>
  <c r="AD41" i="2"/>
  <c r="AE41" i="2"/>
  <c r="AF41" i="2"/>
  <c r="AG41" i="2"/>
  <c r="AH41" i="2"/>
  <c r="AI41" i="2"/>
  <c r="AJ41" i="2"/>
  <c r="AK41" i="2"/>
  <c r="AL41" i="2"/>
  <c r="AM41" i="2"/>
  <c r="AN41" i="2"/>
  <c r="AO41" i="2"/>
  <c r="AP41" i="2"/>
  <c r="AQ41" i="2"/>
  <c r="AR41" i="2"/>
  <c r="AS41" i="2"/>
  <c r="AT41" i="2"/>
  <c r="AU41" i="2"/>
  <c r="AV41" i="2"/>
  <c r="AW41" i="2"/>
  <c r="AX41" i="2"/>
  <c r="AY41" i="2"/>
  <c r="AZ41" i="2"/>
  <c r="BA41" i="2"/>
  <c r="BB41" i="2"/>
  <c r="BC41" i="2"/>
  <c r="BD41" i="2"/>
  <c r="BE41" i="2"/>
  <c r="BF41" i="2"/>
  <c r="BG41" i="2"/>
  <c r="BH41" i="2"/>
  <c r="BI41" i="2"/>
  <c r="BJ41" i="2"/>
  <c r="R42" i="2"/>
  <c r="S42" i="2"/>
  <c r="T42" i="2"/>
  <c r="U42" i="2"/>
  <c r="V42" i="2"/>
  <c r="W42" i="2"/>
  <c r="X42" i="2"/>
  <c r="Y42" i="2"/>
  <c r="Z42" i="2"/>
  <c r="AA42" i="2"/>
  <c r="AB42" i="2"/>
  <c r="AC42" i="2"/>
  <c r="AD42" i="2"/>
  <c r="AE42" i="2"/>
  <c r="AF42" i="2"/>
  <c r="AG42" i="2"/>
  <c r="AH42" i="2"/>
  <c r="AI42" i="2"/>
  <c r="AJ42" i="2"/>
  <c r="AK42" i="2"/>
  <c r="AL42" i="2"/>
  <c r="AM42" i="2"/>
  <c r="AN42" i="2"/>
  <c r="AO42" i="2"/>
  <c r="AP42" i="2"/>
  <c r="AQ42" i="2"/>
  <c r="AR42" i="2"/>
  <c r="AS42" i="2"/>
  <c r="AT42" i="2"/>
  <c r="AU42" i="2"/>
  <c r="AV42" i="2"/>
  <c r="AW42" i="2"/>
  <c r="AX42" i="2"/>
  <c r="AY42" i="2"/>
  <c r="AZ42" i="2"/>
  <c r="BA42" i="2"/>
  <c r="BB42" i="2"/>
  <c r="BC42" i="2"/>
  <c r="BD42" i="2"/>
  <c r="BE42" i="2"/>
  <c r="BF42" i="2"/>
  <c r="BG42" i="2"/>
  <c r="BH42" i="2"/>
  <c r="BI42" i="2"/>
  <c r="BJ42" i="2"/>
  <c r="R43" i="2"/>
  <c r="S43" i="2"/>
  <c r="T43" i="2"/>
  <c r="U43" i="2"/>
  <c r="V43" i="2"/>
  <c r="W43" i="2"/>
  <c r="X43" i="2"/>
  <c r="Y43" i="2"/>
  <c r="Z43" i="2"/>
  <c r="AA43" i="2"/>
  <c r="AB43" i="2"/>
  <c r="AC43" i="2"/>
  <c r="AD43" i="2"/>
  <c r="AE43" i="2"/>
  <c r="AF43" i="2"/>
  <c r="AG43" i="2"/>
  <c r="AH43" i="2"/>
  <c r="AI43" i="2"/>
  <c r="AJ43" i="2"/>
  <c r="AK43" i="2"/>
  <c r="AL43" i="2"/>
  <c r="AM43" i="2"/>
  <c r="AN43" i="2"/>
  <c r="AO43" i="2"/>
  <c r="AP43" i="2"/>
  <c r="AQ43" i="2"/>
  <c r="AR43" i="2"/>
  <c r="AS43" i="2"/>
  <c r="AT43" i="2"/>
  <c r="AU43" i="2"/>
  <c r="AV43" i="2"/>
  <c r="AW43" i="2"/>
  <c r="AX43" i="2"/>
  <c r="AY43" i="2"/>
  <c r="AZ43" i="2"/>
  <c r="BA43" i="2"/>
  <c r="BB43" i="2"/>
  <c r="BC43" i="2"/>
  <c r="BD43" i="2"/>
  <c r="BE43" i="2"/>
  <c r="BF43" i="2"/>
  <c r="BG43" i="2"/>
  <c r="BH43" i="2"/>
  <c r="BI43" i="2"/>
  <c r="BJ43" i="2"/>
  <c r="R44" i="2"/>
  <c r="S44" i="2"/>
  <c r="T44" i="2"/>
  <c r="U44" i="2"/>
  <c r="V44" i="2"/>
  <c r="W44" i="2"/>
  <c r="X44" i="2"/>
  <c r="Y44" i="2"/>
  <c r="Z44" i="2"/>
  <c r="AA44" i="2"/>
  <c r="AB44" i="2"/>
  <c r="AC44" i="2"/>
  <c r="AD44" i="2"/>
  <c r="AE44" i="2"/>
  <c r="AF44" i="2"/>
  <c r="AG44" i="2"/>
  <c r="AH44" i="2"/>
  <c r="AI44" i="2"/>
  <c r="AJ44" i="2"/>
  <c r="AK44" i="2"/>
  <c r="AL44" i="2"/>
  <c r="AM44" i="2"/>
  <c r="AN44" i="2"/>
  <c r="AO44" i="2"/>
  <c r="AP44" i="2"/>
  <c r="AQ44" i="2"/>
  <c r="AR44" i="2"/>
  <c r="AS44" i="2"/>
  <c r="AT44" i="2"/>
  <c r="AU44" i="2"/>
  <c r="AV44" i="2"/>
  <c r="AW44" i="2"/>
  <c r="AX44" i="2"/>
  <c r="AY44" i="2"/>
  <c r="AZ44" i="2"/>
  <c r="BA44" i="2"/>
  <c r="BB44" i="2"/>
  <c r="BC44" i="2"/>
  <c r="BD44" i="2"/>
  <c r="BE44" i="2"/>
  <c r="BF44" i="2"/>
  <c r="BG44" i="2"/>
  <c r="BH44" i="2"/>
  <c r="BI44" i="2"/>
  <c r="BJ44" i="2"/>
  <c r="R45" i="2"/>
  <c r="S45" i="2"/>
  <c r="T45" i="2"/>
  <c r="U45" i="2"/>
  <c r="V45" i="2"/>
  <c r="W45" i="2"/>
  <c r="X45" i="2"/>
  <c r="Y45" i="2"/>
  <c r="Z45" i="2"/>
  <c r="AA45" i="2"/>
  <c r="AB45" i="2"/>
  <c r="AC45" i="2"/>
  <c r="AD45" i="2"/>
  <c r="AE45" i="2"/>
  <c r="AF45" i="2"/>
  <c r="AG45" i="2"/>
  <c r="AH45" i="2"/>
  <c r="AI45" i="2"/>
  <c r="AJ45" i="2"/>
  <c r="AK45" i="2"/>
  <c r="AL45" i="2"/>
  <c r="AM45" i="2"/>
  <c r="AN45" i="2"/>
  <c r="AO45" i="2"/>
  <c r="AP45" i="2"/>
  <c r="AQ45" i="2"/>
  <c r="AR45" i="2"/>
  <c r="AS45" i="2"/>
  <c r="AT45" i="2"/>
  <c r="AU45" i="2"/>
  <c r="AV45" i="2"/>
  <c r="AW45" i="2"/>
  <c r="AX45" i="2"/>
  <c r="AY45" i="2"/>
  <c r="AZ45" i="2"/>
  <c r="BA45" i="2"/>
  <c r="BB45" i="2"/>
  <c r="BC45" i="2"/>
  <c r="BD45" i="2"/>
  <c r="BE45" i="2"/>
  <c r="BF45" i="2"/>
  <c r="BG45" i="2"/>
  <c r="BH45" i="2"/>
  <c r="BI45" i="2"/>
  <c r="BJ45"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AT46" i="2"/>
  <c r="AU46" i="2"/>
  <c r="AV46" i="2"/>
  <c r="AW46" i="2"/>
  <c r="AX46" i="2"/>
  <c r="AY46" i="2"/>
  <c r="AZ46" i="2"/>
  <c r="BA46" i="2"/>
  <c r="BB46" i="2"/>
  <c r="BC46" i="2"/>
  <c r="BD46" i="2"/>
  <c r="BE46" i="2"/>
  <c r="BF46" i="2"/>
  <c r="BG46" i="2"/>
  <c r="BH46" i="2"/>
  <c r="BI46" i="2"/>
  <c r="BJ46"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AT47" i="2"/>
  <c r="AU47" i="2"/>
  <c r="AV47" i="2"/>
  <c r="AW47" i="2"/>
  <c r="AX47" i="2"/>
  <c r="AY47" i="2"/>
  <c r="AZ47" i="2"/>
  <c r="BA47" i="2"/>
  <c r="BB47" i="2"/>
  <c r="BC47" i="2"/>
  <c r="BD47" i="2"/>
  <c r="BE47" i="2"/>
  <c r="BF47" i="2"/>
  <c r="BG47" i="2"/>
  <c r="BH47" i="2"/>
  <c r="BI47" i="2"/>
  <c r="BJ47" i="2"/>
  <c r="R48" i="2"/>
  <c r="S48" i="2"/>
  <c r="T48" i="2"/>
  <c r="U48" i="2"/>
  <c r="V48" i="2"/>
  <c r="W48" i="2"/>
  <c r="X48" i="2"/>
  <c r="Y48" i="2"/>
  <c r="Z48" i="2"/>
  <c r="AA48" i="2"/>
  <c r="AB48" i="2"/>
  <c r="AC48" i="2"/>
  <c r="AD48" i="2"/>
  <c r="AE48" i="2"/>
  <c r="AF48" i="2"/>
  <c r="AG48" i="2"/>
  <c r="AH48" i="2"/>
  <c r="AI48" i="2"/>
  <c r="AJ48" i="2"/>
  <c r="AK48" i="2"/>
  <c r="AL48" i="2"/>
  <c r="AM48" i="2"/>
  <c r="AN48" i="2"/>
  <c r="AO48" i="2"/>
  <c r="AP48" i="2"/>
  <c r="AQ48" i="2"/>
  <c r="AR48" i="2"/>
  <c r="AS48" i="2"/>
  <c r="AT48" i="2"/>
  <c r="AU48" i="2"/>
  <c r="AV48" i="2"/>
  <c r="AW48" i="2"/>
  <c r="AX48" i="2"/>
  <c r="AY48" i="2"/>
  <c r="AZ48" i="2"/>
  <c r="BA48" i="2"/>
  <c r="BB48" i="2"/>
  <c r="BC48" i="2"/>
  <c r="BD48" i="2"/>
  <c r="BE48" i="2"/>
  <c r="BF48" i="2"/>
  <c r="BG48" i="2"/>
  <c r="BH48" i="2"/>
  <c r="BI48" i="2"/>
  <c r="BJ48" i="2"/>
  <c r="R49" i="2"/>
  <c r="S49" i="2"/>
  <c r="T49" i="2"/>
  <c r="U49" i="2"/>
  <c r="V49" i="2"/>
  <c r="W49" i="2"/>
  <c r="X49" i="2"/>
  <c r="Y49" i="2"/>
  <c r="Z49" i="2"/>
  <c r="AA49" i="2"/>
  <c r="AB49" i="2"/>
  <c r="AC49" i="2"/>
  <c r="AD49" i="2"/>
  <c r="AE49" i="2"/>
  <c r="AF49" i="2"/>
  <c r="AG49" i="2"/>
  <c r="AH49" i="2"/>
  <c r="AI49" i="2"/>
  <c r="AJ49" i="2"/>
  <c r="AK49" i="2"/>
  <c r="AL49" i="2"/>
  <c r="AM49" i="2"/>
  <c r="AN49" i="2"/>
  <c r="AO49" i="2"/>
  <c r="AP49" i="2"/>
  <c r="AQ49" i="2"/>
  <c r="AR49" i="2"/>
  <c r="AS49" i="2"/>
  <c r="AT49" i="2"/>
  <c r="AU49" i="2"/>
  <c r="AV49" i="2"/>
  <c r="AW49" i="2"/>
  <c r="AX49" i="2"/>
  <c r="AY49" i="2"/>
  <c r="AZ49" i="2"/>
  <c r="BA49" i="2"/>
  <c r="BB49" i="2"/>
  <c r="BC49" i="2"/>
  <c r="BD49" i="2"/>
  <c r="BE49" i="2"/>
  <c r="BF49" i="2"/>
  <c r="BG49" i="2"/>
  <c r="BH49" i="2"/>
  <c r="BI49" i="2"/>
  <c r="BJ49"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AT50" i="2"/>
  <c r="AU50" i="2"/>
  <c r="AV50" i="2"/>
  <c r="AW50" i="2"/>
  <c r="AX50" i="2"/>
  <c r="AY50" i="2"/>
  <c r="AZ50" i="2"/>
  <c r="BA50" i="2"/>
  <c r="BB50" i="2"/>
  <c r="BC50" i="2"/>
  <c r="BD50" i="2"/>
  <c r="BE50" i="2"/>
  <c r="BF50" i="2"/>
  <c r="BG50" i="2"/>
  <c r="BH50" i="2"/>
  <c r="BI50" i="2"/>
  <c r="BJ50"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AT51" i="2"/>
  <c r="AU51" i="2"/>
  <c r="AV51" i="2"/>
  <c r="AW51" i="2"/>
  <c r="AX51" i="2"/>
  <c r="AY51" i="2"/>
  <c r="AZ51" i="2"/>
  <c r="BA51" i="2"/>
  <c r="BB51" i="2"/>
  <c r="BC51" i="2"/>
  <c r="BD51" i="2"/>
  <c r="BE51" i="2"/>
  <c r="BF51" i="2"/>
  <c r="BG51" i="2"/>
  <c r="BH51" i="2"/>
  <c r="BI51" i="2"/>
  <c r="BJ51" i="2"/>
  <c r="R52" i="2"/>
  <c r="S52" i="2"/>
  <c r="T52" i="2"/>
  <c r="U52" i="2"/>
  <c r="V52" i="2"/>
  <c r="W52" i="2"/>
  <c r="X52" i="2"/>
  <c r="Y52" i="2"/>
  <c r="Z52" i="2"/>
  <c r="AA52" i="2"/>
  <c r="AB52" i="2"/>
  <c r="AC52" i="2"/>
  <c r="AD52" i="2"/>
  <c r="AE52" i="2"/>
  <c r="AF52" i="2"/>
  <c r="AG52" i="2"/>
  <c r="AH52" i="2"/>
  <c r="AI52" i="2"/>
  <c r="AJ52" i="2"/>
  <c r="AK52" i="2"/>
  <c r="AL52" i="2"/>
  <c r="AM52" i="2"/>
  <c r="AN52" i="2"/>
  <c r="AO52" i="2"/>
  <c r="AP52" i="2"/>
  <c r="AQ52" i="2"/>
  <c r="AR52" i="2"/>
  <c r="AS52" i="2"/>
  <c r="AT52" i="2"/>
  <c r="AU52" i="2"/>
  <c r="AV52" i="2"/>
  <c r="AW52" i="2"/>
  <c r="AX52" i="2"/>
  <c r="AY52" i="2"/>
  <c r="AZ52" i="2"/>
  <c r="BA52" i="2"/>
  <c r="BB52" i="2"/>
  <c r="BC52" i="2"/>
  <c r="BD52" i="2"/>
  <c r="BE52" i="2"/>
  <c r="BF52" i="2"/>
  <c r="BG52" i="2"/>
  <c r="BH52" i="2"/>
  <c r="BI52" i="2"/>
  <c r="BJ52" i="2"/>
  <c r="R53" i="2"/>
  <c r="S53" i="2"/>
  <c r="T53" i="2"/>
  <c r="U53" i="2"/>
  <c r="V53" i="2"/>
  <c r="W53" i="2"/>
  <c r="X53" i="2"/>
  <c r="Y53" i="2"/>
  <c r="Z53" i="2"/>
  <c r="AA53" i="2"/>
  <c r="AB53" i="2"/>
  <c r="AC53" i="2"/>
  <c r="AD53" i="2"/>
  <c r="AE53" i="2"/>
  <c r="AF53" i="2"/>
  <c r="AG53" i="2"/>
  <c r="AH53" i="2"/>
  <c r="AI53" i="2"/>
  <c r="AJ53" i="2"/>
  <c r="AK53" i="2"/>
  <c r="AL53" i="2"/>
  <c r="AM53" i="2"/>
  <c r="AN53" i="2"/>
  <c r="AO53" i="2"/>
  <c r="AP53" i="2"/>
  <c r="AQ53" i="2"/>
  <c r="AR53" i="2"/>
  <c r="AS53" i="2"/>
  <c r="AT53" i="2"/>
  <c r="AU53" i="2"/>
  <c r="AV53" i="2"/>
  <c r="AW53" i="2"/>
  <c r="AX53" i="2"/>
  <c r="AY53" i="2"/>
  <c r="AZ53" i="2"/>
  <c r="BA53" i="2"/>
  <c r="BB53" i="2"/>
  <c r="BC53" i="2"/>
  <c r="BD53" i="2"/>
  <c r="BE53" i="2"/>
  <c r="BF53" i="2"/>
  <c r="BG53" i="2"/>
  <c r="BH53" i="2"/>
  <c r="BI53" i="2"/>
  <c r="BJ53" i="2"/>
  <c r="R54" i="2"/>
  <c r="S54" i="2"/>
  <c r="T54" i="2"/>
  <c r="U54" i="2"/>
  <c r="V54" i="2"/>
  <c r="W54" i="2"/>
  <c r="X54" i="2"/>
  <c r="Y54" i="2"/>
  <c r="Z54" i="2"/>
  <c r="AA54" i="2"/>
  <c r="AB54" i="2"/>
  <c r="AC54" i="2"/>
  <c r="AD54" i="2"/>
  <c r="AE54" i="2"/>
  <c r="AF54" i="2"/>
  <c r="AG54" i="2"/>
  <c r="AH54" i="2"/>
  <c r="AI54" i="2"/>
  <c r="AJ54" i="2"/>
  <c r="AK54" i="2"/>
  <c r="AL54" i="2"/>
  <c r="AM54" i="2"/>
  <c r="AN54" i="2"/>
  <c r="AO54" i="2"/>
  <c r="AP54" i="2"/>
  <c r="AQ54" i="2"/>
  <c r="AR54" i="2"/>
  <c r="AS54" i="2"/>
  <c r="AT54" i="2"/>
  <c r="AU54" i="2"/>
  <c r="AV54" i="2"/>
  <c r="AW54" i="2"/>
  <c r="AX54" i="2"/>
  <c r="AY54" i="2"/>
  <c r="AZ54" i="2"/>
  <c r="BA54" i="2"/>
  <c r="BB54" i="2"/>
  <c r="BC54" i="2"/>
  <c r="BD54" i="2"/>
  <c r="BE54" i="2"/>
  <c r="BF54" i="2"/>
  <c r="BG54" i="2"/>
  <c r="BH54" i="2"/>
  <c r="BI54" i="2"/>
  <c r="BJ54"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15" i="2"/>
  <c r="I6" i="28"/>
  <c r="J6" i="28" s="1"/>
  <c r="G95" i="28" a="1"/>
  <c r="G95" i="28" s="1"/>
  <c r="G8" i="28" a="1"/>
  <c r="G8" i="28" s="1"/>
  <c r="G9" i="28" a="1"/>
  <c r="G9" i="28" s="1"/>
  <c r="G10" i="28" a="1"/>
  <c r="G10" i="28" s="1"/>
  <c r="G11" i="28" a="1"/>
  <c r="G11" i="28" s="1"/>
  <c r="G12" i="28" a="1"/>
  <c r="G12" i="28" s="1"/>
  <c r="G13" i="28" a="1"/>
  <c r="G13" i="28" s="1"/>
  <c r="G14" i="28" a="1"/>
  <c r="G14" i="28" s="1"/>
  <c r="G15" i="28" a="1"/>
  <c r="G15" i="28" s="1"/>
  <c r="G16" i="28" a="1"/>
  <c r="G16" i="28" s="1"/>
  <c r="G17" i="28" a="1"/>
  <c r="G17" i="28" s="1"/>
  <c r="G18" i="28" a="1"/>
  <c r="G18" i="28" s="1"/>
  <c r="G19" i="28" a="1"/>
  <c r="G19" i="28" s="1"/>
  <c r="G20" i="28" a="1"/>
  <c r="G20" i="28" s="1"/>
  <c r="G21" i="28" a="1"/>
  <c r="G21" i="28" s="1"/>
  <c r="G22" i="28" a="1"/>
  <c r="G22" i="28" s="1"/>
  <c r="G23" i="28" a="1"/>
  <c r="G23" i="28" s="1"/>
  <c r="G24" i="28" a="1"/>
  <c r="G24" i="28" s="1"/>
  <c r="G25" i="28" a="1"/>
  <c r="G25" i="28" s="1"/>
  <c r="G26" i="28" a="1"/>
  <c r="G26" i="28" s="1"/>
  <c r="G27" i="28" a="1"/>
  <c r="G27" i="28" s="1"/>
  <c r="G28" i="28" a="1"/>
  <c r="G28" i="28" s="1"/>
  <c r="G29" i="28" a="1"/>
  <c r="G29" i="28" s="1"/>
  <c r="G30" i="28" a="1"/>
  <c r="G30" i="28" s="1"/>
  <c r="G31" i="28" a="1"/>
  <c r="G31" i="28" s="1"/>
  <c r="G32" i="28" a="1"/>
  <c r="G32" i="28" s="1"/>
  <c r="G33" i="28" a="1"/>
  <c r="G33" i="28" s="1"/>
  <c r="G34" i="28" a="1"/>
  <c r="G34" i="28" s="1"/>
  <c r="G35" i="28" a="1"/>
  <c r="G35" i="28" s="1"/>
  <c r="G36" i="28" a="1"/>
  <c r="G36" i="28" s="1"/>
  <c r="G37" i="28" a="1"/>
  <c r="G37" i="28" s="1"/>
  <c r="G38" i="28" a="1"/>
  <c r="G38" i="28" s="1"/>
  <c r="G39" i="28" a="1"/>
  <c r="G39" i="28" s="1"/>
  <c r="G40" i="28" a="1"/>
  <c r="G40" i="28" s="1"/>
  <c r="G41" i="28" a="1"/>
  <c r="G41" i="28" s="1"/>
  <c r="G42" i="28" a="1"/>
  <c r="G42" i="28" s="1"/>
  <c r="G43" i="28" a="1"/>
  <c r="G43" i="28" s="1"/>
  <c r="G44" i="28" a="1"/>
  <c r="G44" i="28" s="1"/>
  <c r="G45" i="28" a="1"/>
  <c r="G45" i="28" s="1"/>
  <c r="G46" i="28" a="1"/>
  <c r="G46" i="28" s="1"/>
  <c r="G47" i="28" a="1"/>
  <c r="G47" i="28" s="1"/>
  <c r="G48" i="28" a="1"/>
  <c r="G48" i="28" s="1"/>
  <c r="G49" i="28" a="1"/>
  <c r="G49" i="28" s="1"/>
  <c r="G50" i="28" a="1"/>
  <c r="G50" i="28" s="1"/>
  <c r="G51" i="28" a="1"/>
  <c r="G51" i="28" s="1"/>
  <c r="G52" i="28" a="1"/>
  <c r="G52" i="28" s="1"/>
  <c r="G53" i="28" a="1"/>
  <c r="G53" i="28" s="1"/>
  <c r="G54" i="28" a="1"/>
  <c r="G54" i="28" s="1"/>
  <c r="G55" i="28" a="1"/>
  <c r="G55" i="28" s="1"/>
  <c r="G56" i="28" a="1"/>
  <c r="G56" i="28" s="1"/>
  <c r="G57" i="28" a="1"/>
  <c r="G57" i="28" s="1"/>
  <c r="G58" i="28" a="1"/>
  <c r="G58" i="28" s="1"/>
  <c r="G59" i="28" a="1"/>
  <c r="G59" i="28" s="1"/>
  <c r="G60" i="28" a="1"/>
  <c r="G60" i="28" s="1"/>
  <c r="G61" i="28" a="1"/>
  <c r="G61" i="28" s="1"/>
  <c r="G62" i="28" a="1"/>
  <c r="G62" i="28" s="1"/>
  <c r="G63" i="28" a="1"/>
  <c r="G63" i="28" s="1"/>
  <c r="G64" i="28" a="1"/>
  <c r="G64" i="28" s="1"/>
  <c r="G65" i="28" a="1"/>
  <c r="G65" i="28" s="1"/>
  <c r="G66" i="28" a="1"/>
  <c r="G66" i="28" s="1"/>
  <c r="G67" i="28" a="1"/>
  <c r="G67" i="28" s="1"/>
  <c r="G68" i="28" a="1"/>
  <c r="G68" i="28" s="1"/>
  <c r="G69" i="28" a="1"/>
  <c r="G69" i="28" s="1"/>
  <c r="G70" i="28" a="1"/>
  <c r="G70" i="28" s="1"/>
  <c r="G71" i="28" a="1"/>
  <c r="G71" i="28" s="1"/>
  <c r="G72" i="28" a="1"/>
  <c r="G72" i="28" s="1"/>
  <c r="G73" i="28" a="1"/>
  <c r="G73" i="28" s="1"/>
  <c r="G74" i="28" a="1"/>
  <c r="G74" i="28" s="1"/>
  <c r="G75" i="28" a="1"/>
  <c r="G75" i="28" s="1"/>
  <c r="G76" i="28" a="1"/>
  <c r="G76" i="28" s="1"/>
  <c r="G77" i="28" a="1"/>
  <c r="G77" i="28" s="1"/>
  <c r="G78" i="28" a="1"/>
  <c r="G78" i="28" s="1"/>
  <c r="G79" i="28" a="1"/>
  <c r="G79" i="28" s="1"/>
  <c r="G80" i="28" a="1"/>
  <c r="G80" i="28" s="1"/>
  <c r="G81" i="28" a="1"/>
  <c r="G81" i="28" s="1"/>
  <c r="G82" i="28" a="1"/>
  <c r="G82" i="28" s="1"/>
  <c r="G83" i="28" a="1"/>
  <c r="G83" i="28" s="1"/>
  <c r="G84" i="28" a="1"/>
  <c r="G84" i="28" s="1"/>
  <c r="G85" i="28" a="1"/>
  <c r="G85" i="28" s="1"/>
  <c r="G86" i="28" a="1"/>
  <c r="G86" i="28" s="1"/>
  <c r="G87" i="28" a="1"/>
  <c r="G87" i="28" s="1"/>
  <c r="G88" i="28" a="1"/>
  <c r="G88" i="28" s="1"/>
  <c r="G89" i="28" a="1"/>
  <c r="G89" i="28" s="1"/>
  <c r="G90" i="28" a="1"/>
  <c r="G90" i="28" s="1"/>
  <c r="G91" i="28" a="1"/>
  <c r="G91" i="28" s="1"/>
  <c r="G92" i="28" a="1"/>
  <c r="G92" i="28" s="1"/>
  <c r="G93" i="28" a="1"/>
  <c r="G93" i="28" s="1"/>
  <c r="G94" i="28" a="1"/>
  <c r="G94" i="28" s="1"/>
  <c r="G7" i="28" a="1"/>
  <c r="G7" i="28" s="1"/>
  <c r="G6" i="28" a="1"/>
  <c r="G6" i="28" s="1"/>
  <c r="I15" i="28"/>
  <c r="I14" i="28"/>
  <c r="I13" i="28"/>
  <c r="I12" i="28"/>
  <c r="I11" i="28"/>
  <c r="I10" i="28"/>
  <c r="I9" i="28"/>
  <c r="I8" i="28"/>
  <c r="I7" i="28"/>
  <c r="D95"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7" i="28"/>
  <c r="D6" i="28"/>
  <c r="AX35" i="3"/>
  <c r="AX36" i="3"/>
  <c r="AZ32" i="3"/>
  <c r="AZ31" i="3"/>
  <c r="AZ30" i="3"/>
  <c r="AZ29" i="3"/>
  <c r="AZ28" i="3"/>
  <c r="AZ27" i="3"/>
  <c r="AZ26" i="3"/>
  <c r="AZ25" i="3"/>
  <c r="AZ24" i="3"/>
  <c r="AZ23" i="3"/>
  <c r="AZ22" i="3"/>
  <c r="AZ21" i="3"/>
  <c r="AZ20" i="3"/>
  <c r="AZ19" i="3"/>
  <c r="AZ18" i="3"/>
  <c r="AZ17" i="3"/>
  <c r="AZ16" i="3"/>
  <c r="AZ15" i="3"/>
  <c r="AZ14" i="3"/>
  <c r="AZ13" i="3"/>
  <c r="AZ12" i="3"/>
  <c r="AZ11" i="3"/>
  <c r="AZ10" i="3"/>
  <c r="AZ9" i="3"/>
  <c r="AZ8" i="3"/>
  <c r="AZ7" i="3"/>
  <c r="AX8" i="3"/>
  <c r="AX9" i="3"/>
  <c r="AX10" i="3"/>
  <c r="AX11" i="3"/>
  <c r="AX12" i="3"/>
  <c r="AX13" i="3"/>
  <c r="AX14" i="3"/>
  <c r="AX15" i="3"/>
  <c r="AX16" i="3"/>
  <c r="AX17" i="3"/>
  <c r="AX18" i="3"/>
  <c r="AX19" i="3"/>
  <c r="AX20" i="3"/>
  <c r="AX21" i="3"/>
  <c r="AX22" i="3"/>
  <c r="AX23" i="3"/>
  <c r="AX24" i="3"/>
  <c r="AX25" i="3"/>
  <c r="AX26" i="3"/>
  <c r="AX27" i="3"/>
  <c r="AX28" i="3"/>
  <c r="AX29" i="3"/>
  <c r="AX30" i="3"/>
  <c r="AX31" i="3"/>
  <c r="AX32" i="3"/>
  <c r="AX33" i="3"/>
  <c r="AX34" i="3"/>
  <c r="AX7" i="3"/>
  <c r="BO53"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M10" i="2"/>
  <c r="BM11" i="2"/>
  <c r="BM12" i="2"/>
  <c r="BM13" i="2"/>
  <c r="BM14" i="2"/>
  <c r="BM15" i="2"/>
  <c r="BM16" i="2"/>
  <c r="BM17" i="2"/>
  <c r="BM18" i="2"/>
  <c r="BM19" i="2"/>
  <c r="BM20" i="2"/>
  <c r="BM21" i="2"/>
  <c r="BM22" i="2"/>
  <c r="BM23" i="2"/>
  <c r="BM24" i="2"/>
  <c r="BM25" i="2"/>
  <c r="BM26" i="2"/>
  <c r="BM27" i="2"/>
  <c r="BM28" i="2"/>
  <c r="BM29" i="2"/>
  <c r="BM30" i="2"/>
  <c r="BM31" i="2"/>
  <c r="BM32" i="2"/>
  <c r="BM33" i="2"/>
  <c r="BM34" i="2"/>
  <c r="BM35" i="2"/>
  <c r="BM36" i="2"/>
  <c r="BM37" i="2"/>
  <c r="BM38" i="2"/>
  <c r="BM39" i="2"/>
  <c r="BM40" i="2"/>
  <c r="BM41" i="2"/>
  <c r="BM42" i="2"/>
  <c r="BM43" i="2"/>
  <c r="BM44" i="2"/>
  <c r="BM45" i="2"/>
  <c r="BM46" i="2"/>
  <c r="BM47" i="2"/>
  <c r="BM48" i="2"/>
  <c r="BM49" i="2"/>
  <c r="BM50" i="2"/>
  <c r="BM51" i="2"/>
  <c r="BM52" i="2"/>
  <c r="BO9" i="2"/>
  <c r="BM9" i="2"/>
  <c r="L4" i="6"/>
  <c r="D16" i="6" s="1"/>
  <c r="J2" i="4"/>
  <c r="K4" i="6" s="1"/>
  <c r="D15" i="6" s="1"/>
  <c r="J4" i="4"/>
  <c r="M4" i="6" s="1"/>
  <c r="S40" i="3" l="1"/>
  <c r="AA40" i="3"/>
  <c r="AI40" i="3"/>
  <c r="AQ40" i="3"/>
  <c r="T40" i="3"/>
  <c r="AB40" i="3"/>
  <c r="AJ40" i="3"/>
  <c r="AR40" i="3"/>
  <c r="U40" i="3"/>
  <c r="AC40" i="3"/>
  <c r="AK40" i="3"/>
  <c r="AS40" i="3"/>
  <c r="V40" i="3"/>
  <c r="AD40" i="3"/>
  <c r="AL40" i="3"/>
  <c r="AT40" i="3"/>
  <c r="W40" i="3"/>
  <c r="AE40" i="3"/>
  <c r="AM40" i="3"/>
  <c r="AU40" i="3"/>
  <c r="X40" i="3"/>
  <c r="AF40" i="3"/>
  <c r="AN40" i="3"/>
  <c r="Y40" i="3"/>
  <c r="AG40" i="3"/>
  <c r="AO40" i="3"/>
  <c r="V8" i="3"/>
  <c r="AD8" i="3"/>
  <c r="AL8" i="3"/>
  <c r="AT8" i="3"/>
  <c r="W8" i="3"/>
  <c r="AE8" i="3"/>
  <c r="AM8" i="3"/>
  <c r="AU8" i="3"/>
  <c r="X8" i="3"/>
  <c r="AF8" i="3"/>
  <c r="AN8" i="3"/>
  <c r="R40" i="3"/>
  <c r="Y8" i="3"/>
  <c r="AG8" i="3"/>
  <c r="AO8" i="3"/>
  <c r="Z40" i="3"/>
  <c r="R8" i="3"/>
  <c r="Z8" i="3"/>
  <c r="AH8" i="3"/>
  <c r="AP8" i="3"/>
  <c r="AH40" i="3"/>
  <c r="Q40" i="3"/>
  <c r="S8" i="3"/>
  <c r="AA8" i="3"/>
  <c r="AI8" i="3"/>
  <c r="AQ8" i="3"/>
  <c r="U8" i="3"/>
  <c r="AC8" i="3"/>
  <c r="AK8" i="3"/>
  <c r="AS8" i="3"/>
  <c r="S48" i="3"/>
  <c r="AA48" i="3"/>
  <c r="AI48" i="3"/>
  <c r="AQ48" i="3"/>
  <c r="T48" i="3"/>
  <c r="AB48" i="3"/>
  <c r="AJ48" i="3"/>
  <c r="AR48" i="3"/>
  <c r="U48" i="3"/>
  <c r="AC48" i="3"/>
  <c r="AK48" i="3"/>
  <c r="AS48" i="3"/>
  <c r="V48" i="3"/>
  <c r="AD48" i="3"/>
  <c r="AL48" i="3"/>
  <c r="AT48" i="3"/>
  <c r="W48" i="3"/>
  <c r="AE48" i="3"/>
  <c r="AM48" i="3"/>
  <c r="AU48" i="3"/>
  <c r="X48" i="3"/>
  <c r="AF48" i="3"/>
  <c r="AN48" i="3"/>
  <c r="Y48" i="3"/>
  <c r="AG48" i="3"/>
  <c r="AO48" i="3"/>
  <c r="V16" i="3"/>
  <c r="AD16" i="3"/>
  <c r="AL16" i="3"/>
  <c r="AT16" i="3"/>
  <c r="R48" i="3"/>
  <c r="W16" i="3"/>
  <c r="AE16" i="3"/>
  <c r="AM16" i="3"/>
  <c r="AU16" i="3"/>
  <c r="Z48" i="3"/>
  <c r="X16" i="3"/>
  <c r="AF16" i="3"/>
  <c r="AN16" i="3"/>
  <c r="AH48" i="3"/>
  <c r="Y16" i="3"/>
  <c r="AG16" i="3"/>
  <c r="AO16" i="3"/>
  <c r="AP48" i="3"/>
  <c r="R16" i="3"/>
  <c r="Z16" i="3"/>
  <c r="AH16" i="3"/>
  <c r="AP16" i="3"/>
  <c r="Q48" i="3"/>
  <c r="S16" i="3"/>
  <c r="AA16" i="3"/>
  <c r="AI16" i="3"/>
  <c r="AQ16" i="3"/>
  <c r="U16" i="3"/>
  <c r="AC16" i="3"/>
  <c r="AK16" i="3"/>
  <c r="AS16" i="3"/>
  <c r="S56" i="3"/>
  <c r="AA56" i="3"/>
  <c r="AI56" i="3"/>
  <c r="AQ56" i="3"/>
  <c r="T56" i="3"/>
  <c r="AB56" i="3"/>
  <c r="AJ56" i="3"/>
  <c r="AR56" i="3"/>
  <c r="U56" i="3"/>
  <c r="AC56" i="3"/>
  <c r="AK56" i="3"/>
  <c r="AS56" i="3"/>
  <c r="V56" i="3"/>
  <c r="AD56" i="3"/>
  <c r="AL56" i="3"/>
  <c r="AT56" i="3"/>
  <c r="W56" i="3"/>
  <c r="AE56" i="3"/>
  <c r="AM56" i="3"/>
  <c r="AU56" i="3"/>
  <c r="X56" i="3"/>
  <c r="AF56" i="3"/>
  <c r="AN56" i="3"/>
  <c r="Y56" i="3"/>
  <c r="Z56" i="3"/>
  <c r="AG56" i="3"/>
  <c r="AH56" i="3"/>
  <c r="AO56" i="3"/>
  <c r="AP56" i="3"/>
  <c r="Q56" i="3"/>
  <c r="R56" i="3"/>
  <c r="Q24" i="3"/>
  <c r="Q16" i="3"/>
  <c r="Q8" i="3"/>
  <c r="AU31" i="3"/>
  <c r="AM31" i="3"/>
  <c r="AE31" i="3"/>
  <c r="W31" i="3"/>
  <c r="AS30" i="3"/>
  <c r="AK30" i="3"/>
  <c r="AC30" i="3"/>
  <c r="U30" i="3"/>
  <c r="AQ29" i="3"/>
  <c r="AI29" i="3"/>
  <c r="AA29" i="3"/>
  <c r="S29" i="3"/>
  <c r="AO28" i="3"/>
  <c r="AG28" i="3"/>
  <c r="Y28" i="3"/>
  <c r="AU27" i="3"/>
  <c r="AM27" i="3"/>
  <c r="AE27" i="3"/>
  <c r="W27" i="3"/>
  <c r="AS26" i="3"/>
  <c r="AK26" i="3"/>
  <c r="AC26" i="3"/>
  <c r="AQ25" i="3"/>
  <c r="AI25" i="3"/>
  <c r="AA25" i="3"/>
  <c r="S25" i="3"/>
  <c r="AO24" i="3"/>
  <c r="AG24" i="3"/>
  <c r="Y24" i="3"/>
  <c r="AU23" i="3"/>
  <c r="AM23" i="3"/>
  <c r="AE23" i="3"/>
  <c r="W23" i="3"/>
  <c r="AS22" i="3"/>
  <c r="AK22" i="3"/>
  <c r="AC22" i="3"/>
  <c r="U22" i="3"/>
  <c r="AN21" i="3"/>
  <c r="AD21" i="3"/>
  <c r="T21" i="3"/>
  <c r="AK20" i="3"/>
  <c r="Y20" i="3"/>
  <c r="AJ16" i="3"/>
  <c r="T8" i="3"/>
  <c r="AF63" i="3"/>
  <c r="AA61" i="3"/>
  <c r="AS54" i="3"/>
  <c r="W42" i="3"/>
  <c r="AE42" i="3"/>
  <c r="AM42" i="3"/>
  <c r="AU42" i="3"/>
  <c r="X42" i="3"/>
  <c r="AF42" i="3"/>
  <c r="AN42" i="3"/>
  <c r="Y42" i="3"/>
  <c r="AG42" i="3"/>
  <c r="AO42" i="3"/>
  <c r="R42" i="3"/>
  <c r="Z42" i="3"/>
  <c r="AH42" i="3"/>
  <c r="AP42" i="3"/>
  <c r="S42" i="3"/>
  <c r="AA42" i="3"/>
  <c r="AI42" i="3"/>
  <c r="AQ42" i="3"/>
  <c r="T42" i="3"/>
  <c r="AB42" i="3"/>
  <c r="AJ42" i="3"/>
  <c r="AR42" i="3"/>
  <c r="U42" i="3"/>
  <c r="AC42" i="3"/>
  <c r="AK42" i="3"/>
  <c r="AS42" i="3"/>
  <c r="R10" i="3"/>
  <c r="Z10" i="3"/>
  <c r="AH10" i="3"/>
  <c r="AP10" i="3"/>
  <c r="S10" i="3"/>
  <c r="AA10" i="3"/>
  <c r="AI10" i="3"/>
  <c r="AQ10" i="3"/>
  <c r="T10" i="3"/>
  <c r="AB10" i="3"/>
  <c r="AJ10" i="3"/>
  <c r="AR10" i="3"/>
  <c r="V42" i="3"/>
  <c r="U10" i="3"/>
  <c r="AC10" i="3"/>
  <c r="AK10" i="3"/>
  <c r="AS10" i="3"/>
  <c r="AD42" i="3"/>
  <c r="V10" i="3"/>
  <c r="AD10" i="3"/>
  <c r="AL10" i="3"/>
  <c r="AT10" i="3"/>
  <c r="AL42" i="3"/>
  <c r="W10" i="3"/>
  <c r="AE10" i="3"/>
  <c r="AM10" i="3"/>
  <c r="AU10" i="3"/>
  <c r="Q42" i="3"/>
  <c r="Y10" i="3"/>
  <c r="AG10" i="3"/>
  <c r="AO10" i="3"/>
  <c r="W50" i="3"/>
  <c r="AE50" i="3"/>
  <c r="AM50" i="3"/>
  <c r="AU50" i="3"/>
  <c r="X50" i="3"/>
  <c r="AF50" i="3"/>
  <c r="AN50" i="3"/>
  <c r="Y50" i="3"/>
  <c r="AG50" i="3"/>
  <c r="AO50" i="3"/>
  <c r="R50" i="3"/>
  <c r="Z50" i="3"/>
  <c r="AH50" i="3"/>
  <c r="AP50" i="3"/>
  <c r="S50" i="3"/>
  <c r="AA50" i="3"/>
  <c r="AI50" i="3"/>
  <c r="AQ50" i="3"/>
  <c r="T50" i="3"/>
  <c r="AB50" i="3"/>
  <c r="AJ50" i="3"/>
  <c r="AR50" i="3"/>
  <c r="U50" i="3"/>
  <c r="AC50" i="3"/>
  <c r="AK50" i="3"/>
  <c r="AS50" i="3"/>
  <c r="R18" i="3"/>
  <c r="Z18" i="3"/>
  <c r="AH18" i="3"/>
  <c r="AP18" i="3"/>
  <c r="V50" i="3"/>
  <c r="S18" i="3"/>
  <c r="AA18" i="3"/>
  <c r="AI18" i="3"/>
  <c r="AQ18" i="3"/>
  <c r="AD50" i="3"/>
  <c r="T18" i="3"/>
  <c r="AB18" i="3"/>
  <c r="AJ18" i="3"/>
  <c r="AR18" i="3"/>
  <c r="AL50" i="3"/>
  <c r="U18" i="3"/>
  <c r="AC18" i="3"/>
  <c r="AK18" i="3"/>
  <c r="AS18" i="3"/>
  <c r="AT50" i="3"/>
  <c r="V18" i="3"/>
  <c r="AD18" i="3"/>
  <c r="AL18" i="3"/>
  <c r="AT18" i="3"/>
  <c r="W18" i="3"/>
  <c r="AE18" i="3"/>
  <c r="AM18" i="3"/>
  <c r="AU18" i="3"/>
  <c r="Q50" i="3"/>
  <c r="Y18" i="3"/>
  <c r="AG18" i="3"/>
  <c r="AO18" i="3"/>
  <c r="W58" i="3"/>
  <c r="AE58" i="3"/>
  <c r="AM58" i="3"/>
  <c r="AU58" i="3"/>
  <c r="X58" i="3"/>
  <c r="AF58" i="3"/>
  <c r="AN58" i="3"/>
  <c r="Y58" i="3"/>
  <c r="AG58" i="3"/>
  <c r="AO58" i="3"/>
  <c r="R58" i="3"/>
  <c r="Z58" i="3"/>
  <c r="AH58" i="3"/>
  <c r="AP58" i="3"/>
  <c r="S58" i="3"/>
  <c r="AA58" i="3"/>
  <c r="AI58" i="3"/>
  <c r="AQ58" i="3"/>
  <c r="T58" i="3"/>
  <c r="AB58" i="3"/>
  <c r="AJ58" i="3"/>
  <c r="AR58" i="3"/>
  <c r="AC58" i="3"/>
  <c r="AD58" i="3"/>
  <c r="AK58" i="3"/>
  <c r="AL58" i="3"/>
  <c r="AS58" i="3"/>
  <c r="AT58" i="3"/>
  <c r="V58" i="3"/>
  <c r="Q58" i="3"/>
  <c r="Q31" i="3"/>
  <c r="AS31" i="3"/>
  <c r="AK31" i="3"/>
  <c r="AC31" i="3"/>
  <c r="U31" i="3"/>
  <c r="AS27" i="3"/>
  <c r="AK27" i="3"/>
  <c r="AC27" i="3"/>
  <c r="AQ26" i="3"/>
  <c r="AI26" i="3"/>
  <c r="AA26" i="3"/>
  <c r="S26" i="3"/>
  <c r="AO25" i="3"/>
  <c r="AG25" i="3"/>
  <c r="Y25" i="3"/>
  <c r="AU24" i="3"/>
  <c r="AM24" i="3"/>
  <c r="AE24" i="3"/>
  <c r="W24" i="3"/>
  <c r="AS23" i="3"/>
  <c r="AK23" i="3"/>
  <c r="AC23" i="3"/>
  <c r="U23" i="3"/>
  <c r="AQ22" i="3"/>
  <c r="AI22" i="3"/>
  <c r="AA22" i="3"/>
  <c r="R22" i="3"/>
  <c r="AL21" i="3"/>
  <c r="AB21" i="3"/>
  <c r="AT20" i="3"/>
  <c r="AH20" i="3"/>
  <c r="T20" i="3"/>
  <c r="X18" i="3"/>
  <c r="T16" i="3"/>
  <c r="AT13" i="3"/>
  <c r="AL9" i="3"/>
  <c r="AH7" i="3"/>
  <c r="AT62" i="3"/>
  <c r="AI60" i="3"/>
  <c r="Y43" i="3"/>
  <c r="AG43" i="3"/>
  <c r="AO43" i="3"/>
  <c r="R43" i="3"/>
  <c r="Z43" i="3"/>
  <c r="AH43" i="3"/>
  <c r="AP43" i="3"/>
  <c r="S43" i="3"/>
  <c r="AA43" i="3"/>
  <c r="AI43" i="3"/>
  <c r="AQ43" i="3"/>
  <c r="T43" i="3"/>
  <c r="AB43" i="3"/>
  <c r="AJ43" i="3"/>
  <c r="AR43" i="3"/>
  <c r="U43" i="3"/>
  <c r="AC43" i="3"/>
  <c r="AK43" i="3"/>
  <c r="AS43" i="3"/>
  <c r="V43" i="3"/>
  <c r="AD43" i="3"/>
  <c r="AL43" i="3"/>
  <c r="AT43" i="3"/>
  <c r="W43" i="3"/>
  <c r="AE43" i="3"/>
  <c r="AM43" i="3"/>
  <c r="AU43" i="3"/>
  <c r="AF43" i="3"/>
  <c r="Q43" i="3"/>
  <c r="T11" i="3"/>
  <c r="AB11" i="3"/>
  <c r="AJ11" i="3"/>
  <c r="AR11" i="3"/>
  <c r="AN43" i="3"/>
  <c r="U11" i="3"/>
  <c r="AC11" i="3"/>
  <c r="AK11" i="3"/>
  <c r="AS11" i="3"/>
  <c r="V11" i="3"/>
  <c r="AD11" i="3"/>
  <c r="AL11" i="3"/>
  <c r="AT11" i="3"/>
  <c r="W11" i="3"/>
  <c r="AE11" i="3"/>
  <c r="AM11" i="3"/>
  <c r="AU11" i="3"/>
  <c r="X11" i="3"/>
  <c r="AF11" i="3"/>
  <c r="AN11" i="3"/>
  <c r="Y11" i="3"/>
  <c r="AG11" i="3"/>
  <c r="AO11" i="3"/>
  <c r="X43" i="3"/>
  <c r="S11" i="3"/>
  <c r="AA11" i="3"/>
  <c r="AI11" i="3"/>
  <c r="AQ11" i="3"/>
  <c r="Y51" i="3"/>
  <c r="AG51" i="3"/>
  <c r="AO51" i="3"/>
  <c r="R51" i="3"/>
  <c r="Z51" i="3"/>
  <c r="AH51" i="3"/>
  <c r="AP51" i="3"/>
  <c r="S51" i="3"/>
  <c r="AA51" i="3"/>
  <c r="AI51" i="3"/>
  <c r="AQ51" i="3"/>
  <c r="T51" i="3"/>
  <c r="AB51" i="3"/>
  <c r="AJ51" i="3"/>
  <c r="AR51" i="3"/>
  <c r="U51" i="3"/>
  <c r="AC51" i="3"/>
  <c r="AK51" i="3"/>
  <c r="AS51" i="3"/>
  <c r="V51" i="3"/>
  <c r="AD51" i="3"/>
  <c r="AL51" i="3"/>
  <c r="AT51" i="3"/>
  <c r="W51" i="3"/>
  <c r="AE51" i="3"/>
  <c r="AM51" i="3"/>
  <c r="AU51" i="3"/>
  <c r="Q51" i="3"/>
  <c r="T19" i="3"/>
  <c r="AB19" i="3"/>
  <c r="AJ19" i="3"/>
  <c r="AR19" i="3"/>
  <c r="U19" i="3"/>
  <c r="AC19" i="3"/>
  <c r="AK19" i="3"/>
  <c r="AS19" i="3"/>
  <c r="V19" i="3"/>
  <c r="AD19" i="3"/>
  <c r="AL19" i="3"/>
  <c r="AT19" i="3"/>
  <c r="W19" i="3"/>
  <c r="AE19" i="3"/>
  <c r="AM19" i="3"/>
  <c r="AU19" i="3"/>
  <c r="X19" i="3"/>
  <c r="AF19" i="3"/>
  <c r="AN19" i="3"/>
  <c r="X51" i="3"/>
  <c r="Y19" i="3"/>
  <c r="AG19" i="3"/>
  <c r="AO19" i="3"/>
  <c r="AN51" i="3"/>
  <c r="S19" i="3"/>
  <c r="AA19" i="3"/>
  <c r="AI19" i="3"/>
  <c r="AQ19" i="3"/>
  <c r="Y59" i="3"/>
  <c r="AG59" i="3"/>
  <c r="AO59" i="3"/>
  <c r="R59" i="3"/>
  <c r="Z59" i="3"/>
  <c r="AH59" i="3"/>
  <c r="AP59" i="3"/>
  <c r="S59" i="3"/>
  <c r="AA59" i="3"/>
  <c r="AI59" i="3"/>
  <c r="AQ59" i="3"/>
  <c r="T59" i="3"/>
  <c r="AB59" i="3"/>
  <c r="AJ59" i="3"/>
  <c r="AR59" i="3"/>
  <c r="U59" i="3"/>
  <c r="AC59" i="3"/>
  <c r="AK59" i="3"/>
  <c r="AS59" i="3"/>
  <c r="V59" i="3"/>
  <c r="AD59" i="3"/>
  <c r="AL59" i="3"/>
  <c r="AT59" i="3"/>
  <c r="AE59" i="3"/>
  <c r="Q59" i="3"/>
  <c r="AF59" i="3"/>
  <c r="AM59" i="3"/>
  <c r="AN59" i="3"/>
  <c r="AU59" i="3"/>
  <c r="X59" i="3"/>
  <c r="AR31" i="3"/>
  <c r="AJ31" i="3"/>
  <c r="AB31" i="3"/>
  <c r="T31" i="3"/>
  <c r="AP30" i="3"/>
  <c r="AH30" i="3"/>
  <c r="Z30" i="3"/>
  <c r="R30" i="3"/>
  <c r="AN29" i="3"/>
  <c r="AF29" i="3"/>
  <c r="X29" i="3"/>
  <c r="AT28" i="3"/>
  <c r="AL28" i="3"/>
  <c r="AD28" i="3"/>
  <c r="V28" i="3"/>
  <c r="AR27" i="3"/>
  <c r="AJ27" i="3"/>
  <c r="AB27" i="3"/>
  <c r="T27" i="3"/>
  <c r="AP26" i="3"/>
  <c r="AH26" i="3"/>
  <c r="Z26" i="3"/>
  <c r="R26" i="3"/>
  <c r="AN25" i="3"/>
  <c r="AF25" i="3"/>
  <c r="X25" i="3"/>
  <c r="AT24" i="3"/>
  <c r="AL24" i="3"/>
  <c r="AD24" i="3"/>
  <c r="V24" i="3"/>
  <c r="AR23" i="3"/>
  <c r="AJ23" i="3"/>
  <c r="AB23" i="3"/>
  <c r="T23" i="3"/>
  <c r="AP22" i="3"/>
  <c r="AH22" i="3"/>
  <c r="Z22" i="3"/>
  <c r="AU21" i="3"/>
  <c r="AK21" i="3"/>
  <c r="AA21" i="3"/>
  <c r="AS20" i="3"/>
  <c r="AG20" i="3"/>
  <c r="AT17" i="3"/>
  <c r="AP15" i="3"/>
  <c r="AL13" i="3"/>
  <c r="AH11" i="3"/>
  <c r="AD9" i="3"/>
  <c r="Z7" i="3"/>
  <c r="AL62" i="3"/>
  <c r="AB49" i="3"/>
  <c r="S44" i="3"/>
  <c r="AA44" i="3"/>
  <c r="AI44" i="3"/>
  <c r="AQ44" i="3"/>
  <c r="T44" i="3"/>
  <c r="AB44" i="3"/>
  <c r="AJ44" i="3"/>
  <c r="AR44" i="3"/>
  <c r="U44" i="3"/>
  <c r="AC44" i="3"/>
  <c r="AK44" i="3"/>
  <c r="AS44" i="3"/>
  <c r="V44" i="3"/>
  <c r="AD44" i="3"/>
  <c r="AL44" i="3"/>
  <c r="AT44" i="3"/>
  <c r="W44" i="3"/>
  <c r="AE44" i="3"/>
  <c r="AM44" i="3"/>
  <c r="AU44" i="3"/>
  <c r="X44" i="3"/>
  <c r="AF44" i="3"/>
  <c r="AN44" i="3"/>
  <c r="Y44" i="3"/>
  <c r="AG44" i="3"/>
  <c r="AO44" i="3"/>
  <c r="V12" i="3"/>
  <c r="AD12" i="3"/>
  <c r="AL12" i="3"/>
  <c r="AT12" i="3"/>
  <c r="Q44" i="3"/>
  <c r="W12" i="3"/>
  <c r="AE12" i="3"/>
  <c r="AM12" i="3"/>
  <c r="AU12" i="3"/>
  <c r="R44" i="3"/>
  <c r="X12" i="3"/>
  <c r="AF12" i="3"/>
  <c r="AN12" i="3"/>
  <c r="Z44" i="3"/>
  <c r="Y12" i="3"/>
  <c r="AG12" i="3"/>
  <c r="AO12" i="3"/>
  <c r="AH44" i="3"/>
  <c r="R12" i="3"/>
  <c r="Z12" i="3"/>
  <c r="AH12" i="3"/>
  <c r="AP12" i="3"/>
  <c r="AP44" i="3"/>
  <c r="S12" i="3"/>
  <c r="AA12" i="3"/>
  <c r="AI12" i="3"/>
  <c r="AQ12" i="3"/>
  <c r="U12" i="3"/>
  <c r="AC12" i="3"/>
  <c r="AK12" i="3"/>
  <c r="AS12" i="3"/>
  <c r="S52" i="3"/>
  <c r="AA52" i="3"/>
  <c r="AI52" i="3"/>
  <c r="AQ52" i="3"/>
  <c r="T52" i="3"/>
  <c r="AB52" i="3"/>
  <c r="AJ52" i="3"/>
  <c r="AR52" i="3"/>
  <c r="U52" i="3"/>
  <c r="AC52" i="3"/>
  <c r="AK52" i="3"/>
  <c r="AS52" i="3"/>
  <c r="V52" i="3"/>
  <c r="AD52" i="3"/>
  <c r="AL52" i="3"/>
  <c r="AT52" i="3"/>
  <c r="W52" i="3"/>
  <c r="AE52" i="3"/>
  <c r="AM52" i="3"/>
  <c r="AU52" i="3"/>
  <c r="X52" i="3"/>
  <c r="AF52" i="3"/>
  <c r="AN52" i="3"/>
  <c r="Y52" i="3"/>
  <c r="AG52" i="3"/>
  <c r="AO52" i="3"/>
  <c r="R52" i="3"/>
  <c r="V20" i="3"/>
  <c r="Z52" i="3"/>
  <c r="Q52" i="3"/>
  <c r="W20" i="3"/>
  <c r="AE20" i="3"/>
  <c r="AM20" i="3"/>
  <c r="AU20" i="3"/>
  <c r="AH52" i="3"/>
  <c r="X20" i="3"/>
  <c r="AF20" i="3"/>
  <c r="AN20" i="3"/>
  <c r="AP52" i="3"/>
  <c r="S20" i="3"/>
  <c r="AA20" i="3"/>
  <c r="AI20" i="3"/>
  <c r="AQ20" i="3"/>
  <c r="S60" i="3"/>
  <c r="AA60" i="3"/>
  <c r="T60" i="3"/>
  <c r="AB60" i="3"/>
  <c r="AJ60" i="3"/>
  <c r="AR60" i="3"/>
  <c r="U60" i="3"/>
  <c r="AC60" i="3"/>
  <c r="V60" i="3"/>
  <c r="AD60" i="3"/>
  <c r="AL60" i="3"/>
  <c r="AT60" i="3"/>
  <c r="Y60" i="3"/>
  <c r="AM60" i="3"/>
  <c r="Z60" i="3"/>
  <c r="AN60" i="3"/>
  <c r="Q60" i="3"/>
  <c r="AE60" i="3"/>
  <c r="AO60" i="3"/>
  <c r="AF60" i="3"/>
  <c r="AP60" i="3"/>
  <c r="AG60" i="3"/>
  <c r="AQ60" i="3"/>
  <c r="R60" i="3"/>
  <c r="AH60" i="3"/>
  <c r="AS60" i="3"/>
  <c r="X60" i="3"/>
  <c r="AK60" i="3"/>
  <c r="Q28" i="3"/>
  <c r="Q20" i="3"/>
  <c r="Q12" i="3"/>
  <c r="AQ31" i="3"/>
  <c r="AI31" i="3"/>
  <c r="AA31" i="3"/>
  <c r="S31" i="3"/>
  <c r="AO30" i="3"/>
  <c r="AG30" i="3"/>
  <c r="Y30" i="3"/>
  <c r="AU29" i="3"/>
  <c r="AM29" i="3"/>
  <c r="AE29" i="3"/>
  <c r="AS28" i="3"/>
  <c r="AK28" i="3"/>
  <c r="AC28" i="3"/>
  <c r="U28" i="3"/>
  <c r="AQ27" i="3"/>
  <c r="AI27" i="3"/>
  <c r="AA27" i="3"/>
  <c r="S27" i="3"/>
  <c r="AO26" i="3"/>
  <c r="AG26" i="3"/>
  <c r="Y26" i="3"/>
  <c r="AU25" i="3"/>
  <c r="AM25" i="3"/>
  <c r="AE25" i="3"/>
  <c r="W25" i="3"/>
  <c r="AS24" i="3"/>
  <c r="AK24" i="3"/>
  <c r="AC24" i="3"/>
  <c r="U24" i="3"/>
  <c r="AQ23" i="3"/>
  <c r="AI23" i="3"/>
  <c r="AA23" i="3"/>
  <c r="S23" i="3"/>
  <c r="AO22" i="3"/>
  <c r="AG22" i="3"/>
  <c r="Y22" i="3"/>
  <c r="AT21" i="3"/>
  <c r="AJ21" i="3"/>
  <c r="AR20" i="3"/>
  <c r="AD20" i="3"/>
  <c r="AP19" i="3"/>
  <c r="AH15" i="3"/>
  <c r="Z11" i="3"/>
  <c r="V9" i="3"/>
  <c r="AD62" i="3"/>
  <c r="W59" i="3"/>
  <c r="X47" i="3"/>
  <c r="U49" i="3"/>
  <c r="AC49" i="3"/>
  <c r="AK49" i="3"/>
  <c r="AS49" i="3"/>
  <c r="V49" i="3"/>
  <c r="AD49" i="3"/>
  <c r="AL49" i="3"/>
  <c r="AT49" i="3"/>
  <c r="W49" i="3"/>
  <c r="AE49" i="3"/>
  <c r="AM49" i="3"/>
  <c r="AU49" i="3"/>
  <c r="X49" i="3"/>
  <c r="AF49" i="3"/>
  <c r="AN49" i="3"/>
  <c r="Y49" i="3"/>
  <c r="AG49" i="3"/>
  <c r="AO49" i="3"/>
  <c r="R49" i="3"/>
  <c r="Z49" i="3"/>
  <c r="AH49" i="3"/>
  <c r="AP49" i="3"/>
  <c r="S49" i="3"/>
  <c r="AA49" i="3"/>
  <c r="AI49" i="3"/>
  <c r="AQ49" i="3"/>
  <c r="AR49" i="3"/>
  <c r="X17" i="3"/>
  <c r="AF17" i="3"/>
  <c r="AN17" i="3"/>
  <c r="Y17" i="3"/>
  <c r="AG17" i="3"/>
  <c r="AO17" i="3"/>
  <c r="R17" i="3"/>
  <c r="Z17" i="3"/>
  <c r="AH17" i="3"/>
  <c r="AP17" i="3"/>
  <c r="S17" i="3"/>
  <c r="AA17" i="3"/>
  <c r="AI17" i="3"/>
  <c r="AQ17" i="3"/>
  <c r="T17" i="3"/>
  <c r="AB17" i="3"/>
  <c r="AJ17" i="3"/>
  <c r="AR17" i="3"/>
  <c r="T49" i="3"/>
  <c r="U17" i="3"/>
  <c r="AC17" i="3"/>
  <c r="AK17" i="3"/>
  <c r="AS17" i="3"/>
  <c r="AJ49" i="3"/>
  <c r="W17" i="3"/>
  <c r="AE17" i="3"/>
  <c r="AM17" i="3"/>
  <c r="AU17" i="3"/>
  <c r="AP25" i="3"/>
  <c r="Z25" i="3"/>
  <c r="U45" i="3"/>
  <c r="AC45" i="3"/>
  <c r="AK45" i="3"/>
  <c r="AS45" i="3"/>
  <c r="V45" i="3"/>
  <c r="AD45" i="3"/>
  <c r="AL45" i="3"/>
  <c r="AT45" i="3"/>
  <c r="W45" i="3"/>
  <c r="AE45" i="3"/>
  <c r="AM45" i="3"/>
  <c r="AU45" i="3"/>
  <c r="X45" i="3"/>
  <c r="AF45" i="3"/>
  <c r="AN45" i="3"/>
  <c r="Y45" i="3"/>
  <c r="AG45" i="3"/>
  <c r="AO45" i="3"/>
  <c r="R45" i="3"/>
  <c r="Z45" i="3"/>
  <c r="AH45" i="3"/>
  <c r="AP45" i="3"/>
  <c r="S45" i="3"/>
  <c r="AA45" i="3"/>
  <c r="AI45" i="3"/>
  <c r="AQ45" i="3"/>
  <c r="AJ45" i="3"/>
  <c r="X13" i="3"/>
  <c r="AF13" i="3"/>
  <c r="AN13" i="3"/>
  <c r="AR45" i="3"/>
  <c r="Y13" i="3"/>
  <c r="AG13" i="3"/>
  <c r="AO13" i="3"/>
  <c r="Q45" i="3"/>
  <c r="R13" i="3"/>
  <c r="Z13" i="3"/>
  <c r="AH13" i="3"/>
  <c r="AP13" i="3"/>
  <c r="S13" i="3"/>
  <c r="AA13" i="3"/>
  <c r="AI13" i="3"/>
  <c r="AQ13" i="3"/>
  <c r="T13" i="3"/>
  <c r="AB13" i="3"/>
  <c r="AJ13" i="3"/>
  <c r="AR13" i="3"/>
  <c r="U13" i="3"/>
  <c r="AC13" i="3"/>
  <c r="AK13" i="3"/>
  <c r="AS13" i="3"/>
  <c r="AB45" i="3"/>
  <c r="W13" i="3"/>
  <c r="AE13" i="3"/>
  <c r="AM13" i="3"/>
  <c r="AU13" i="3"/>
  <c r="U53" i="3"/>
  <c r="AC53" i="3"/>
  <c r="AK53" i="3"/>
  <c r="AS53" i="3"/>
  <c r="V53" i="3"/>
  <c r="AD53" i="3"/>
  <c r="AL53" i="3"/>
  <c r="AT53" i="3"/>
  <c r="W53" i="3"/>
  <c r="AE53" i="3"/>
  <c r="AM53" i="3"/>
  <c r="AU53" i="3"/>
  <c r="X53" i="3"/>
  <c r="AF53" i="3"/>
  <c r="AN53" i="3"/>
  <c r="Y53" i="3"/>
  <c r="AG53" i="3"/>
  <c r="AO53" i="3"/>
  <c r="R53" i="3"/>
  <c r="Z53" i="3"/>
  <c r="AH53" i="3"/>
  <c r="AP53" i="3"/>
  <c r="S53" i="3"/>
  <c r="AA53" i="3"/>
  <c r="AI53" i="3"/>
  <c r="AQ53" i="3"/>
  <c r="Y21" i="3"/>
  <c r="AG21" i="3"/>
  <c r="AO21" i="3"/>
  <c r="Q53" i="3"/>
  <c r="R21" i="3"/>
  <c r="Z21" i="3"/>
  <c r="AH21" i="3"/>
  <c r="AP21" i="3"/>
  <c r="T53" i="3"/>
  <c r="AB53" i="3"/>
  <c r="AR53" i="3"/>
  <c r="V61" i="3"/>
  <c r="AD61" i="3"/>
  <c r="X61" i="3"/>
  <c r="S61" i="3"/>
  <c r="AC61" i="3"/>
  <c r="AL61" i="3"/>
  <c r="AT61" i="3"/>
  <c r="T61" i="3"/>
  <c r="AE61" i="3"/>
  <c r="AM61" i="3"/>
  <c r="AU61" i="3"/>
  <c r="U61" i="3"/>
  <c r="AF61" i="3"/>
  <c r="AN61" i="3"/>
  <c r="Q61" i="3"/>
  <c r="W61" i="3"/>
  <c r="AG61" i="3"/>
  <c r="AO61" i="3"/>
  <c r="Y61" i="3"/>
  <c r="AH61" i="3"/>
  <c r="AP61" i="3"/>
  <c r="Z61" i="3"/>
  <c r="AI61" i="3"/>
  <c r="AQ61" i="3"/>
  <c r="R61" i="3"/>
  <c r="AB61" i="3"/>
  <c r="AK61" i="3"/>
  <c r="AS61" i="3"/>
  <c r="Q27" i="3"/>
  <c r="Q19" i="3"/>
  <c r="Q11" i="3"/>
  <c r="AP31" i="3"/>
  <c r="AH31" i="3"/>
  <c r="Z31" i="3"/>
  <c r="R31" i="3"/>
  <c r="AN30" i="3"/>
  <c r="AF30" i="3"/>
  <c r="X30" i="3"/>
  <c r="AT29" i="3"/>
  <c r="AL29" i="3"/>
  <c r="AD29" i="3"/>
  <c r="V29" i="3"/>
  <c r="AR28" i="3"/>
  <c r="AJ28" i="3"/>
  <c r="AB28" i="3"/>
  <c r="T28" i="3"/>
  <c r="AP27" i="3"/>
  <c r="AH27" i="3"/>
  <c r="Z27" i="3"/>
  <c r="R27" i="3"/>
  <c r="AN26" i="3"/>
  <c r="AF26" i="3"/>
  <c r="X26" i="3"/>
  <c r="AT25" i="3"/>
  <c r="AL25" i="3"/>
  <c r="AD25" i="3"/>
  <c r="V25" i="3"/>
  <c r="AR24" i="3"/>
  <c r="AJ24" i="3"/>
  <c r="AB24" i="3"/>
  <c r="T24" i="3"/>
  <c r="AP23" i="3"/>
  <c r="AH23" i="3"/>
  <c r="Z23" i="3"/>
  <c r="R23" i="3"/>
  <c r="AN22" i="3"/>
  <c r="AF22" i="3"/>
  <c r="AS21" i="3"/>
  <c r="AI21" i="3"/>
  <c r="W21" i="3"/>
  <c r="AP20" i="3"/>
  <c r="AC20" i="3"/>
  <c r="AH19" i="3"/>
  <c r="AD17" i="3"/>
  <c r="Z15" i="3"/>
  <c r="V13" i="3"/>
  <c r="R11" i="3"/>
  <c r="AR8" i="3"/>
  <c r="U58" i="3"/>
  <c r="T45" i="3"/>
  <c r="U41" i="3"/>
  <c r="AC41" i="3"/>
  <c r="AK41" i="3"/>
  <c r="AS41" i="3"/>
  <c r="V41" i="3"/>
  <c r="AD41" i="3"/>
  <c r="AL41" i="3"/>
  <c r="AT41" i="3"/>
  <c r="W41" i="3"/>
  <c r="AE41" i="3"/>
  <c r="AM41" i="3"/>
  <c r="AU41" i="3"/>
  <c r="X41" i="3"/>
  <c r="AF41" i="3"/>
  <c r="AN41" i="3"/>
  <c r="Y41" i="3"/>
  <c r="AG41" i="3"/>
  <c r="AO41" i="3"/>
  <c r="R41" i="3"/>
  <c r="Z41" i="3"/>
  <c r="AH41" i="3"/>
  <c r="AP41" i="3"/>
  <c r="S41" i="3"/>
  <c r="AA41" i="3"/>
  <c r="AI41" i="3"/>
  <c r="AQ41" i="3"/>
  <c r="AB41" i="3"/>
  <c r="X9" i="3"/>
  <c r="AF9" i="3"/>
  <c r="AN9" i="3"/>
  <c r="AJ41" i="3"/>
  <c r="Y9" i="3"/>
  <c r="AG9" i="3"/>
  <c r="AO9" i="3"/>
  <c r="AR41" i="3"/>
  <c r="R9" i="3"/>
  <c r="Z9" i="3"/>
  <c r="AH9" i="3"/>
  <c r="AP9" i="3"/>
  <c r="S9" i="3"/>
  <c r="AA9" i="3"/>
  <c r="AI9" i="3"/>
  <c r="AQ9" i="3"/>
  <c r="T9" i="3"/>
  <c r="AB9" i="3"/>
  <c r="AJ9" i="3"/>
  <c r="AR9" i="3"/>
  <c r="U9" i="3"/>
  <c r="AC9" i="3"/>
  <c r="AK9" i="3"/>
  <c r="AS9" i="3"/>
  <c r="T41" i="3"/>
  <c r="W9" i="3"/>
  <c r="AE9" i="3"/>
  <c r="AM9" i="3"/>
  <c r="AU9" i="3"/>
  <c r="U57" i="3"/>
  <c r="AC57" i="3"/>
  <c r="AK57" i="3"/>
  <c r="AS57" i="3"/>
  <c r="V57" i="3"/>
  <c r="AD57" i="3"/>
  <c r="AL57" i="3"/>
  <c r="AT57" i="3"/>
  <c r="W57" i="3"/>
  <c r="AE57" i="3"/>
  <c r="AM57" i="3"/>
  <c r="AU57" i="3"/>
  <c r="X57" i="3"/>
  <c r="AF57" i="3"/>
  <c r="AN57" i="3"/>
  <c r="Y57" i="3"/>
  <c r="AG57" i="3"/>
  <c r="AO57" i="3"/>
  <c r="R57" i="3"/>
  <c r="Z57" i="3"/>
  <c r="AH57" i="3"/>
  <c r="AP57" i="3"/>
  <c r="AA57" i="3"/>
  <c r="AB57" i="3"/>
  <c r="AI57" i="3"/>
  <c r="AJ57" i="3"/>
  <c r="AQ57" i="3"/>
  <c r="AR57" i="3"/>
  <c r="T57" i="3"/>
  <c r="R25" i="3"/>
  <c r="W46" i="3"/>
  <c r="AE46" i="3"/>
  <c r="AM46" i="3"/>
  <c r="AU46" i="3"/>
  <c r="X46" i="3"/>
  <c r="AF46" i="3"/>
  <c r="AN46" i="3"/>
  <c r="Y46" i="3"/>
  <c r="AG46" i="3"/>
  <c r="AO46" i="3"/>
  <c r="R46" i="3"/>
  <c r="Z46" i="3"/>
  <c r="AH46" i="3"/>
  <c r="AP46" i="3"/>
  <c r="S46" i="3"/>
  <c r="AA46" i="3"/>
  <c r="AI46" i="3"/>
  <c r="AQ46" i="3"/>
  <c r="T46" i="3"/>
  <c r="AB46" i="3"/>
  <c r="AJ46" i="3"/>
  <c r="AR46" i="3"/>
  <c r="U46" i="3"/>
  <c r="AC46" i="3"/>
  <c r="AK46" i="3"/>
  <c r="AS46" i="3"/>
  <c r="R14" i="3"/>
  <c r="Z14" i="3"/>
  <c r="AH14" i="3"/>
  <c r="AP14" i="3"/>
  <c r="S14" i="3"/>
  <c r="AA14" i="3"/>
  <c r="AI14" i="3"/>
  <c r="AQ14" i="3"/>
  <c r="V46" i="3"/>
  <c r="T14" i="3"/>
  <c r="AB14" i="3"/>
  <c r="AJ14" i="3"/>
  <c r="AR14" i="3"/>
  <c r="AD46" i="3"/>
  <c r="Q46" i="3"/>
  <c r="U14" i="3"/>
  <c r="AC14" i="3"/>
  <c r="AK14" i="3"/>
  <c r="AS14" i="3"/>
  <c r="AL46" i="3"/>
  <c r="V14" i="3"/>
  <c r="AD14" i="3"/>
  <c r="AL14" i="3"/>
  <c r="AT14" i="3"/>
  <c r="AT46" i="3"/>
  <c r="W14" i="3"/>
  <c r="AE14" i="3"/>
  <c r="AM14" i="3"/>
  <c r="AU14" i="3"/>
  <c r="Y14" i="3"/>
  <c r="AG14" i="3"/>
  <c r="AO14" i="3"/>
  <c r="W54" i="3"/>
  <c r="AE54" i="3"/>
  <c r="AM54" i="3"/>
  <c r="AU54" i="3"/>
  <c r="X54" i="3"/>
  <c r="AF54" i="3"/>
  <c r="AN54" i="3"/>
  <c r="Y54" i="3"/>
  <c r="AG54" i="3"/>
  <c r="AO54" i="3"/>
  <c r="R54" i="3"/>
  <c r="Z54" i="3"/>
  <c r="AH54" i="3"/>
  <c r="AP54" i="3"/>
  <c r="S54" i="3"/>
  <c r="AA54" i="3"/>
  <c r="AI54" i="3"/>
  <c r="AQ54" i="3"/>
  <c r="T54" i="3"/>
  <c r="AB54" i="3"/>
  <c r="AJ54" i="3"/>
  <c r="AR54" i="3"/>
  <c r="U54" i="3"/>
  <c r="V54" i="3"/>
  <c r="S22" i="3"/>
  <c r="AC54" i="3"/>
  <c r="AD54" i="3"/>
  <c r="Q54" i="3"/>
  <c r="AK54" i="3"/>
  <c r="AL54" i="3"/>
  <c r="AT54" i="3"/>
  <c r="Q30" i="3"/>
  <c r="X62" i="3"/>
  <c r="AF62" i="3"/>
  <c r="AN62" i="3"/>
  <c r="Y62" i="3"/>
  <c r="AG62" i="3"/>
  <c r="AO62" i="3"/>
  <c r="R62" i="3"/>
  <c r="Z62" i="3"/>
  <c r="AH62" i="3"/>
  <c r="AP62" i="3"/>
  <c r="S62" i="3"/>
  <c r="AA62" i="3"/>
  <c r="AI62" i="3"/>
  <c r="AQ62" i="3"/>
  <c r="Q62" i="3"/>
  <c r="T62" i="3"/>
  <c r="AB62" i="3"/>
  <c r="AJ62" i="3"/>
  <c r="AR62" i="3"/>
  <c r="U62" i="3"/>
  <c r="AC62" i="3"/>
  <c r="AK62" i="3"/>
  <c r="AS62" i="3"/>
  <c r="W62" i="3"/>
  <c r="AE62" i="3"/>
  <c r="AM62" i="3"/>
  <c r="AU62" i="3"/>
  <c r="Q26" i="3"/>
  <c r="Q18" i="3"/>
  <c r="Q10" i="3"/>
  <c r="AO31" i="3"/>
  <c r="AG31" i="3"/>
  <c r="AU30" i="3"/>
  <c r="AM30" i="3"/>
  <c r="AE30" i="3"/>
  <c r="W30" i="3"/>
  <c r="AS29" i="3"/>
  <c r="AK29" i="3"/>
  <c r="AC29" i="3"/>
  <c r="U29" i="3"/>
  <c r="AQ28" i="3"/>
  <c r="AI28" i="3"/>
  <c r="AA28" i="3"/>
  <c r="S28" i="3"/>
  <c r="AO27" i="3"/>
  <c r="AG27" i="3"/>
  <c r="Y27" i="3"/>
  <c r="AU26" i="3"/>
  <c r="AM26" i="3"/>
  <c r="AE26" i="3"/>
  <c r="W26" i="3"/>
  <c r="AS25" i="3"/>
  <c r="AK25" i="3"/>
  <c r="AC25" i="3"/>
  <c r="U25" i="3"/>
  <c r="AQ24" i="3"/>
  <c r="AI24" i="3"/>
  <c r="AA24" i="3"/>
  <c r="S24" i="3"/>
  <c r="AO23" i="3"/>
  <c r="AG23" i="3"/>
  <c r="AU22" i="3"/>
  <c r="AM22" i="3"/>
  <c r="AE22" i="3"/>
  <c r="W22" i="3"/>
  <c r="AR21" i="3"/>
  <c r="AF21" i="3"/>
  <c r="V21" i="3"/>
  <c r="AO20" i="3"/>
  <c r="AB20" i="3"/>
  <c r="Z19" i="3"/>
  <c r="V17" i="3"/>
  <c r="AR12" i="3"/>
  <c r="AN10" i="3"/>
  <c r="AJ8" i="3"/>
  <c r="Q49" i="3"/>
  <c r="AR61" i="3"/>
  <c r="S57" i="3"/>
  <c r="AT42" i="3"/>
  <c r="AH25" i="3"/>
  <c r="Q7" i="3"/>
  <c r="Y39" i="3"/>
  <c r="AG39" i="3"/>
  <c r="AO39" i="3"/>
  <c r="R39" i="3"/>
  <c r="Z39" i="3"/>
  <c r="AH39" i="3"/>
  <c r="AP39" i="3"/>
  <c r="S39" i="3"/>
  <c r="AA39" i="3"/>
  <c r="AI39" i="3"/>
  <c r="AQ39" i="3"/>
  <c r="T39" i="3"/>
  <c r="AB39" i="3"/>
  <c r="AJ39" i="3"/>
  <c r="AR39" i="3"/>
  <c r="U39" i="3"/>
  <c r="AC39" i="3"/>
  <c r="AK39" i="3"/>
  <c r="AS39" i="3"/>
  <c r="V39" i="3"/>
  <c r="AD39" i="3"/>
  <c r="AL39" i="3"/>
  <c r="AT39" i="3"/>
  <c r="W39" i="3"/>
  <c r="AE39" i="3"/>
  <c r="AM39" i="3"/>
  <c r="AU39" i="3"/>
  <c r="X39" i="3"/>
  <c r="T7" i="3"/>
  <c r="AB7" i="3"/>
  <c r="AJ7" i="3"/>
  <c r="AR7" i="3"/>
  <c r="AF39" i="3"/>
  <c r="U7" i="3"/>
  <c r="AC7" i="3"/>
  <c r="AK7" i="3"/>
  <c r="AS7" i="3"/>
  <c r="AN39" i="3"/>
  <c r="V7" i="3"/>
  <c r="AD7" i="3"/>
  <c r="AL7" i="3"/>
  <c r="AT7" i="3"/>
  <c r="W7" i="3"/>
  <c r="AE7" i="3"/>
  <c r="AM7" i="3"/>
  <c r="AU7" i="3"/>
  <c r="X7" i="3"/>
  <c r="AF7" i="3"/>
  <c r="AN7" i="3"/>
  <c r="Q39" i="3"/>
  <c r="Y7" i="3"/>
  <c r="AG7" i="3"/>
  <c r="AO7" i="3"/>
  <c r="S7" i="3"/>
  <c r="AA7" i="3"/>
  <c r="AI7" i="3"/>
  <c r="AQ7" i="3"/>
  <c r="Y47" i="3"/>
  <c r="AG47" i="3"/>
  <c r="AO47" i="3"/>
  <c r="R47" i="3"/>
  <c r="Z47" i="3"/>
  <c r="AH47" i="3"/>
  <c r="AP47" i="3"/>
  <c r="S47" i="3"/>
  <c r="AA47" i="3"/>
  <c r="AI47" i="3"/>
  <c r="AQ47" i="3"/>
  <c r="T47" i="3"/>
  <c r="AB47" i="3"/>
  <c r="AJ47" i="3"/>
  <c r="AR47" i="3"/>
  <c r="U47" i="3"/>
  <c r="AC47" i="3"/>
  <c r="AK47" i="3"/>
  <c r="AS47" i="3"/>
  <c r="V47" i="3"/>
  <c r="AD47" i="3"/>
  <c r="AL47" i="3"/>
  <c r="AT47" i="3"/>
  <c r="W47" i="3"/>
  <c r="AE47" i="3"/>
  <c r="AM47" i="3"/>
  <c r="AU47" i="3"/>
  <c r="AN47" i="3"/>
  <c r="T15" i="3"/>
  <c r="AB15" i="3"/>
  <c r="AJ15" i="3"/>
  <c r="AR15" i="3"/>
  <c r="U15" i="3"/>
  <c r="AC15" i="3"/>
  <c r="AK15" i="3"/>
  <c r="AS15" i="3"/>
  <c r="V15" i="3"/>
  <c r="AD15" i="3"/>
  <c r="AL15" i="3"/>
  <c r="AT15" i="3"/>
  <c r="W15" i="3"/>
  <c r="AE15" i="3"/>
  <c r="AM15" i="3"/>
  <c r="AU15" i="3"/>
  <c r="Q47" i="3"/>
  <c r="X15" i="3"/>
  <c r="AF15" i="3"/>
  <c r="AN15" i="3"/>
  <c r="Y15" i="3"/>
  <c r="AG15" i="3"/>
  <c r="AO15" i="3"/>
  <c r="AF47" i="3"/>
  <c r="S15" i="3"/>
  <c r="AA15" i="3"/>
  <c r="AI15" i="3"/>
  <c r="AQ15" i="3"/>
  <c r="Y55" i="3"/>
  <c r="AG55" i="3"/>
  <c r="AO55" i="3"/>
  <c r="R55" i="3"/>
  <c r="Z55" i="3"/>
  <c r="AH55" i="3"/>
  <c r="AP55" i="3"/>
  <c r="S55" i="3"/>
  <c r="AA55" i="3"/>
  <c r="AI55" i="3"/>
  <c r="AQ55" i="3"/>
  <c r="T55" i="3"/>
  <c r="AB55" i="3"/>
  <c r="AJ55" i="3"/>
  <c r="AR55" i="3"/>
  <c r="U55" i="3"/>
  <c r="AC55" i="3"/>
  <c r="AK55" i="3"/>
  <c r="AS55" i="3"/>
  <c r="V55" i="3"/>
  <c r="AD55" i="3"/>
  <c r="AL55" i="3"/>
  <c r="AT55" i="3"/>
  <c r="W55" i="3"/>
  <c r="X55" i="3"/>
  <c r="AE55" i="3"/>
  <c r="AF55" i="3"/>
  <c r="AM55" i="3"/>
  <c r="Q55" i="3"/>
  <c r="AN55" i="3"/>
  <c r="R63" i="3"/>
  <c r="Z63" i="3"/>
  <c r="AH63" i="3"/>
  <c r="AP63" i="3"/>
  <c r="S63" i="3"/>
  <c r="AA63" i="3"/>
  <c r="AI63" i="3"/>
  <c r="AQ63" i="3"/>
  <c r="T63" i="3"/>
  <c r="AB63" i="3"/>
  <c r="AJ63" i="3"/>
  <c r="AR63" i="3"/>
  <c r="U63" i="3"/>
  <c r="AC63" i="3"/>
  <c r="AK63" i="3"/>
  <c r="AS63" i="3"/>
  <c r="V63" i="3"/>
  <c r="AD63" i="3"/>
  <c r="AL63" i="3"/>
  <c r="AT63" i="3"/>
  <c r="Q63" i="3"/>
  <c r="W63" i="3"/>
  <c r="AE63" i="3"/>
  <c r="AM63" i="3"/>
  <c r="AU63" i="3"/>
  <c r="Y63" i="3"/>
  <c r="AG63" i="3"/>
  <c r="AO63" i="3"/>
  <c r="Q25" i="3"/>
  <c r="Q17" i="3"/>
  <c r="Q9" i="3"/>
  <c r="AN31" i="3"/>
  <c r="AF31" i="3"/>
  <c r="X31" i="3"/>
  <c r="AN27" i="3"/>
  <c r="AF27" i="3"/>
  <c r="X27" i="3"/>
  <c r="AT26" i="3"/>
  <c r="AL26" i="3"/>
  <c r="AD26" i="3"/>
  <c r="V26" i="3"/>
  <c r="AR25" i="3"/>
  <c r="AJ25" i="3"/>
  <c r="AB25" i="3"/>
  <c r="T25" i="3"/>
  <c r="AP24" i="3"/>
  <c r="AH24" i="3"/>
  <c r="Z24" i="3"/>
  <c r="R24" i="3"/>
  <c r="AN23" i="3"/>
  <c r="AF23" i="3"/>
  <c r="X23" i="3"/>
  <c r="AT22" i="3"/>
  <c r="AL22" i="3"/>
  <c r="AD22" i="3"/>
  <c r="V22" i="3"/>
  <c r="AQ21" i="3"/>
  <c r="AE21" i="3"/>
  <c r="U21" i="3"/>
  <c r="AL20" i="3"/>
  <c r="Z20" i="3"/>
  <c r="R19" i="3"/>
  <c r="AR16" i="3"/>
  <c r="AN14" i="3"/>
  <c r="AJ12" i="3"/>
  <c r="AF10" i="3"/>
  <c r="AB8" i="3"/>
  <c r="Q41" i="3"/>
  <c r="AN63" i="3"/>
  <c r="AJ61" i="3"/>
  <c r="AU55" i="3"/>
  <c r="AP40" i="3"/>
  <c r="AN32" i="3"/>
  <c r="AF32" i="3"/>
  <c r="X32" i="3"/>
  <c r="AP64" i="3"/>
  <c r="AH64" i="3"/>
  <c r="Z64" i="3"/>
  <c r="R64" i="3"/>
  <c r="V32" i="3"/>
  <c r="AN64" i="3"/>
  <c r="AF64" i="3"/>
  <c r="X64" i="3"/>
  <c r="AS32" i="3"/>
  <c r="AK32" i="3"/>
  <c r="AC32" i="3"/>
  <c r="U32" i="3"/>
  <c r="AU64" i="3"/>
  <c r="AM64" i="3"/>
  <c r="AE64" i="3"/>
  <c r="W64" i="3"/>
  <c r="AR32" i="3"/>
  <c r="AJ32" i="3"/>
  <c r="AB32" i="3"/>
  <c r="T32" i="3"/>
  <c r="AT64" i="3"/>
  <c r="AL64" i="3"/>
  <c r="AD64" i="3"/>
  <c r="V64" i="3"/>
  <c r="AQ32" i="3"/>
  <c r="AI32" i="3"/>
  <c r="AA32" i="3"/>
  <c r="S32" i="3"/>
  <c r="AS64" i="3"/>
  <c r="AK64" i="3"/>
  <c r="AC64" i="3"/>
  <c r="U64" i="3"/>
  <c r="AP32" i="3"/>
  <c r="AH32" i="3"/>
  <c r="Z32" i="3"/>
  <c r="R32" i="3"/>
  <c r="Q64" i="3"/>
  <c r="AR64" i="3"/>
  <c r="AJ64" i="3"/>
  <c r="AB64" i="3"/>
  <c r="T64" i="3"/>
  <c r="AQ64" i="3"/>
  <c r="AI64" i="3"/>
  <c r="AA64" i="3"/>
  <c r="AU33" i="3"/>
  <c r="AM33" i="3"/>
  <c r="AE33" i="3"/>
  <c r="W33" i="3"/>
  <c r="AR65" i="3"/>
  <c r="AJ65" i="3"/>
  <c r="AB65" i="3"/>
  <c r="T65" i="3"/>
  <c r="AS33" i="3"/>
  <c r="AK33" i="3"/>
  <c r="AC33" i="3"/>
  <c r="U33" i="3"/>
  <c r="AP65" i="3"/>
  <c r="AH65" i="3"/>
  <c r="Z65" i="3"/>
  <c r="R65" i="3"/>
  <c r="AR33" i="3"/>
  <c r="AJ33" i="3"/>
  <c r="AB33" i="3"/>
  <c r="T33" i="3"/>
  <c r="Q65" i="3"/>
  <c r="AO65" i="3"/>
  <c r="AG65" i="3"/>
  <c r="Y65" i="3"/>
  <c r="AN65" i="3"/>
  <c r="AF65" i="3"/>
  <c r="X65" i="3"/>
  <c r="AQ33" i="3"/>
  <c r="AI33" i="3"/>
  <c r="AA33" i="3"/>
  <c r="AP33" i="3"/>
  <c r="AH33" i="3"/>
  <c r="Z33" i="3"/>
  <c r="R33" i="3"/>
  <c r="AU65" i="3"/>
  <c r="AM65" i="3"/>
  <c r="AE65" i="3"/>
  <c r="W65" i="3"/>
  <c r="AO33" i="3"/>
  <c r="AG33" i="3"/>
  <c r="Y33" i="3"/>
  <c r="AT65" i="3"/>
  <c r="AL65" i="3"/>
  <c r="AD65" i="3"/>
  <c r="V65" i="3"/>
  <c r="Q33" i="3"/>
  <c r="AN33" i="3"/>
  <c r="AF33" i="3"/>
  <c r="X33" i="3"/>
  <c r="AS65" i="3"/>
  <c r="AK65" i="3"/>
  <c r="AC65" i="3"/>
  <c r="H4" i="2"/>
  <c r="H5" i="2"/>
  <c r="I5" i="2" s="1"/>
  <c r="H3" i="2"/>
  <c r="I3" i="2" s="1"/>
  <c r="H2" i="2"/>
  <c r="I2" i="2" s="1"/>
  <c r="H5" i="3"/>
  <c r="I5" i="3" s="1"/>
  <c r="H4" i="3"/>
  <c r="H2" i="3"/>
  <c r="I2" i="3" s="1"/>
  <c r="H3" i="3"/>
  <c r="I3" i="3" s="1"/>
  <c r="D17" i="6"/>
  <c r="I4" i="2" l="1"/>
  <c r="E4" i="6" s="1"/>
  <c r="D9" i="6" s="1"/>
  <c r="C4" i="6"/>
  <c r="D7" i="6" s="1"/>
  <c r="D4" i="6"/>
  <c r="D8" i="6" s="1"/>
  <c r="J3" i="2"/>
  <c r="I4" i="3"/>
  <c r="F4" i="6"/>
  <c r="D10" i="6"/>
  <c r="G4" i="6"/>
  <c r="D11" i="6" s="1"/>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J4" i="6" l="1"/>
  <c r="D14" i="6" s="1"/>
  <c r="I4" i="6"/>
  <c r="D13" i="6" s="1"/>
  <c r="H4" i="6"/>
  <c r="D12" i="6" l="1"/>
  <c r="M15" i="9" l="1"/>
  <c r="M16" i="9" l="1"/>
  <c r="M13" i="9"/>
  <c r="M12" i="9"/>
  <c r="M4" i="9"/>
  <c r="M8" i="9"/>
  <c r="M6" i="9"/>
  <c r="M7" i="9"/>
  <c r="M3" i="9"/>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94" i="8"/>
  <c r="E9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3" i="8"/>
  <c r="M18" i="9" l="1"/>
  <c r="E15" i="6"/>
  <c r="J10" i="28"/>
  <c r="J7" i="28"/>
  <c r="J13" i="28"/>
  <c r="E16" i="6"/>
  <c r="J12" i="28"/>
  <c r="J9" i="28"/>
  <c r="J15" i="28"/>
  <c r="J11" i="28"/>
  <c r="J8" i="28"/>
  <c r="K4" i="4"/>
  <c r="J14" i="28"/>
  <c r="E8" i="6"/>
  <c r="E9" i="6"/>
  <c r="J5" i="3"/>
  <c r="E7" i="6"/>
  <c r="E17" i="6"/>
  <c r="J3" i="3"/>
  <c r="E10" i="6"/>
  <c r="J4" i="3"/>
  <c r="E11" i="6"/>
  <c r="E13" i="6"/>
  <c r="E14" i="6"/>
  <c r="E12" i="6"/>
  <c r="J2" i="2"/>
  <c r="J4" i="2"/>
  <c r="M9" i="9"/>
  <c r="K2" i="4"/>
  <c r="K3" i="4"/>
  <c r="J2" i="3"/>
  <c r="J5" i="2"/>
  <c r="G15" i="4"/>
  <c r="G16" i="4"/>
  <c r="G17" i="4"/>
  <c r="G18" i="4"/>
  <c r="G19" i="4"/>
  <c r="G5" i="4"/>
  <c r="G6" i="4"/>
  <c r="G7" i="4"/>
  <c r="G8" i="4"/>
  <c r="G9" i="4"/>
  <c r="G10" i="4"/>
  <c r="G11" i="4"/>
  <c r="G12" i="4"/>
  <c r="G13" i="4"/>
  <c r="G14" i="4"/>
  <c r="G4" i="4"/>
  <c r="C5" i="4"/>
  <c r="C6" i="4"/>
  <c r="C7" i="4"/>
  <c r="C8" i="4"/>
  <c r="C9" i="4"/>
  <c r="C10" i="4"/>
  <c r="C11" i="4"/>
  <c r="C12" i="4"/>
  <c r="C13" i="4"/>
  <c r="C14" i="4"/>
  <c r="C4" i="4"/>
  <c r="E26" i="4" l="1"/>
  <c r="C6" i="2" l="1" a="1"/>
  <c r="C6" i="2" s="1"/>
  <c r="C6" i="3" a="1"/>
  <c r="C6" i="3" s="1"/>
  <c r="F9" i="7"/>
  <c r="G3" i="7"/>
  <c r="G6"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tc={214E6E02-10C9-43F9-A581-14FD86E6C6AE}</author>
    <author>tc={8CC71747-02E4-4172-AAD1-8E818B4259EA}</author>
    <author>tc={56AC42B5-7101-4808-8862-0A3248F04DC1}</author>
  </authors>
  <commentList>
    <comment ref="C4" authorId="0" shapeId="0" xr:uid="{214E6E02-10C9-43F9-A581-14FD86E6C6AE}">
      <text>
        <t>[Comentario encadenado]
Su versión de Excel le permite leer este comentario encadenado; sin embargo, las ediciones que se apliquen se quitarán si el archivo se abre en una versión más reciente de Excel. Más información: https://go.microsoft.com/fwlink/?linkid=870924
Comentario:
    Probabilidad total máxima:
Temas parte A: 44-45
Temas parte B: 44-45
Probabilidad total: 100%
Probabilidad por número de temas: 1,11%-1,14%
Nivel de eficiencia: 83,42%-85,32%</t>
      </text>
    </comment>
    <comment ref="C7" authorId="1" shapeId="0" xr:uid="{8CC71747-02E4-4172-AAD1-8E818B4259EA}">
      <text>
        <t>[Comentario encadenado]
Su versión de Excel le permite leer este comentario encadenado; sin embargo, las ediciones que se apliquen se quitarán si el archivo se abre en una versión más reciente de Excel. Más información: https://go.microsoft.com/fwlink/?linkid=870924
Comentario:
    Probabilidad máxima por número de temas:
Temas parte A: 30
Temas parte B: 30
Probabilidad total: 79,91%
Probabilidad por número de temas: 1,33%
Nivel de eficiencia: 100%</t>
      </text>
    </comment>
    <comment ref="C10" authorId="2" shapeId="0" xr:uid="{56AC42B5-7101-4808-8862-0A3248F04DC1}">
      <text>
        <t>[Comentario encadenado]
Su versión de Excel le permite leer este comentario encadenado; sin embargo, las ediciones que se apliquen se quitarán si el archivo se abre en una versión más reciente de Excel. Más información: https://go.microsoft.com/fwlink/?linkid=870924
Comentario:
    Nivel de eficiencia máximo:
Temas parte A: 30
Temas parte B: 30
Probabilidad total: 79,91%
Probabilidad por número de temas: 1,33%
Nivel de eficiencia: 100%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tc={E2DD54F1-948B-4636-AF7A-A13F0C601439}</author>
    <author>tc={C004DA3A-6E96-4110-ACF9-A87CFD2BCD08}</author>
    <author>tc={8BD075D9-5F76-481F-8AB1-C7B521AC35A1}</author>
  </authors>
  <commentList>
    <comment ref="C4" authorId="0" shapeId="0" xr:uid="{E2DD54F1-948B-4636-AF7A-A13F0C601439}">
      <text>
        <t>[Comentario encadenado]
Su versión de Excel le permite leer este comentario encadenado; sin embargo, las ediciones que se apliquen se quitarán si el archivo se abre en una versión más reciente de Excel. Más información: https://go.microsoft.com/fwlink/?linkid=870924
Comentario:
    Probabilidad total máxima:
Temas parte A: 29-30
Temas parte B: 25-26
Probabilidad total: 100%
Probabilidad por número de temas: 1,79%-1,85%
Nivel de eficiencia: 82,76%-85,82%</t>
      </text>
    </comment>
    <comment ref="C7" authorId="1" shapeId="0" xr:uid="{C004DA3A-6E96-4110-ACF9-A87CFD2BCD08}">
      <text>
        <t>[Comentario encadenado]
Su versión de Excel le permite leer este comentario encadenado; sin embargo, las ediciones que se apliquen se quitarán si el archivo se abre en una versión más reciente de Excel. Más información: https://go.microsoft.com/fwlink/?linkid=870924
Comentario:
    Probabilidad máxima por número de temas:
Temas parte A: 19
Temas parte B: 17
Probabilidad total: 77,68%
Probabilidad por número de temas: 2,16%
Nivel de eficiencia: 100%</t>
      </text>
    </comment>
    <comment ref="C10" authorId="2" shapeId="0" xr:uid="{8BD075D9-5F76-481F-8AB1-C7B521AC35A1}">
      <text>
        <t>[Comentario encadenado]
Su versión de Excel le permite leer este comentario encadenado; sin embargo, las ediciones que se apliquen se quitarán si el archivo se abre en una versión más reciente de Excel. Más información: https://go.microsoft.com/fwlink/?linkid=870924
Comentario:
    Nivel de eficiencia máximo:
Temas parte A: 19
Temas parte B: 17
Probabilidad total: 77,68%
Probabilidad por número de temas: 2,16%
Nivel de eficiencia: 100%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tc={C6EA8E62-4BD8-444F-A99E-4C80A663BDB3}</author>
    <author>tc={547644D9-17C1-497E-9F80-307F8789800F}</author>
    <author>tc={A185BAC8-F516-40C3-880C-00FB067DEBA2}</author>
  </authors>
  <commentList>
    <comment ref="E13" authorId="0" shapeId="0" xr:uid="{C6EA8E62-4BD8-444F-A99E-4C80A663BDB3}">
      <text>
        <t>[Comentario encadenado]
Su versión de Excel le permite leer este comentario encadenado; sin embargo, las ediciones que se apliquen se quitarán si el archivo se abre en una versión más reciente de Excel. Más información: https://go.microsoft.com/fwlink/?linkid=870924
Comentario:
    A nivel global, este porcentaje se maximiza (de la manera más eficiente posible) para:
   Tercer ejercicio:
     Parte A: 44 temas
     Parte B: 44 temas
   Cuarto ejercicio:
     Parte A: 29 temas
     Parte B: 25 temas
   Quinto ejercicio:
     Parte A: 10 temas
     Parte B: 6 temas
     Parte C: 0 temas
Probabilidad total: 100%
Probabilidad por tema estudiado: 0,6329%</t>
      </text>
    </comment>
    <comment ref="F13" authorId="1" shapeId="0" xr:uid="{547644D9-17C1-497E-9F80-307F8789800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A nivel global, este porcentaje se maximiza para:
   Tercer ejercicio:
     Parte A: 38 temas
     Parte B: 38 temas
   Cuarto ejercicio:
     Parte A: 26 temas
     Parte B: 23 temas
   Quinto ejercicio:
     Parte A: 10 temas
     Parte B: 6 temas
     Parte C: 0 temas
Probabilidad total: 93,61%
Probabilidad por tema estudiado: 0,6639%
</t>
      </text>
    </comment>
    <comment ref="G13" authorId="2" shapeId="0" xr:uid="{A185BAC8-F516-40C3-880C-00FB067DEBA2}">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A nivel global, en caso de buscar la máxima eficiencia ejercicio por ejercicio:
   Tercer ejercicio:
     Parte A: 30 temas
     Parte B: 30 temas
   Cuarto ejercicio:
     Parte A: 19 temas
     Parte B: 17 temas
   Quinto ejercicio:
     Parte A: 10 temas
     Parte B: 6 temas
     Parte C: 0 temas
Probabilidad total: 62,08%
Probabilidad por tema estudiado: 0,5543%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<sst xmlns="http://schemas.openxmlformats.org/spreadsheetml/2006/main" count="1271" uniqueCount="346">
  <si>
    <t>Posibilidades de que te salga un tema que te sepas dependiendo del número de ellos que te sabes</t>
  </si>
  <si>
    <t>Parte A</t>
  </si>
  <si>
    <t>Posibilidades</t>
  </si>
  <si>
    <t>Parte B</t>
  </si>
  <si>
    <t>Temas que sabes</t>
  </si>
  <si>
    <t>Parte C</t>
  </si>
  <si>
    <t>Temas que te sabes parte A</t>
  </si>
  <si>
    <t>Temas que te sabes parte B</t>
  </si>
  <si>
    <t>* Se elige una bola de cada parte y hay que redactar dos de los tres temas, por lo que lo más eficiente será estudiar dos partes completas.</t>
  </si>
  <si>
    <t>Temas parte A</t>
  </si>
  <si>
    <t>Temas parte B</t>
  </si>
  <si>
    <t>Probabilidad total</t>
  </si>
  <si>
    <t>Simulador de sorteo</t>
  </si>
  <si>
    <t>Tema parte A</t>
  </si>
  <si>
    <t>Tema parte B</t>
  </si>
  <si>
    <t>Tercer ejercicio</t>
  </si>
  <si>
    <t>Quinto ejercicio</t>
  </si>
  <si>
    <t>Simulador de sorteos</t>
  </si>
  <si>
    <t>Cuarto ejercicio</t>
  </si>
  <si>
    <t>Temas que sé</t>
  </si>
  <si>
    <t>Tercer ejercicio. Parte A</t>
  </si>
  <si>
    <t>Tercer ejercicio. Parte B</t>
  </si>
  <si>
    <t>Posibilidades de aprobar el Tercer ejercicio</t>
  </si>
  <si>
    <t>Cuarto ejercicio. Parte B</t>
  </si>
  <si>
    <t>Cuarto ejercicio. Parte A</t>
  </si>
  <si>
    <t>Posibilidades de aprobar el Cuarto ejercicio</t>
  </si>
  <si>
    <t>Posibilidades de aprobar el Quinto ejercicio</t>
  </si>
  <si>
    <t>Quinto ejercicio. Parte A</t>
  </si>
  <si>
    <t>Quinto ejercicio. Parte C</t>
  </si>
  <si>
    <t>Quinto ejercicio. Parte B</t>
  </si>
  <si>
    <t>Probabilidad total de aprobar pasando el test, la coyuntura y los idiomas</t>
  </si>
  <si>
    <t>Listado de temas</t>
  </si>
  <si>
    <t>Ejercicio</t>
  </si>
  <si>
    <t>Parte</t>
  </si>
  <si>
    <t>Número</t>
  </si>
  <si>
    <t>Tema</t>
  </si>
  <si>
    <t>A</t>
  </si>
  <si>
    <t>Nombre del tema</t>
  </si>
  <si>
    <t>B</t>
  </si>
  <si>
    <t>C</t>
  </si>
  <si>
    <t>Los regímenes de comercio exterior.</t>
  </si>
  <si>
    <t>Los instrumentos de defensa comercial.</t>
  </si>
  <si>
    <t>La regulación de las inversiones extranjeras en España y de las españolas en el exterior.</t>
  </si>
  <si>
    <t>Formas de penetración e implantación en los mercados. El estudio de los mercados exteriores y la prospección.</t>
  </si>
  <si>
    <t>Las políticas logísticas y financieras de la empresa exportadora. Los medios de pago en el comercio internacional.</t>
  </si>
  <si>
    <t>El cuadro jurídico de las operaciones de comercio exterior: el contrato de venta internacional y la resolución de litigios.</t>
  </si>
  <si>
    <t>La oferta internacional: el producto y el precio. La comunicación en el comercio internacional.</t>
  </si>
  <si>
    <t>Los canales de distribución y las redes de venta.</t>
  </si>
  <si>
    <t>Organización territorial del Estado. Las Comunidades Autónomas: constitución, competencias, Estatutos de autonomía. El sistema institucional de las Comunidades Autónomas. La Administración Local.</t>
  </si>
  <si>
    <t>El Gobierno, su Presidente y el Consejo de Ministros. La Ley de Régimen Jurídico del Sector Público. Objeto y ámbito de aplicación. Principios generales. Organización y funcionamiento de la Administración General del Estado. Organización Central. Órganos Superiores y Directivos. Los Ministerios y su estructura interna. La Organización territorial de la Administración General del Estado. Las Delegaciones y Subdelegaciones del Gobierno.</t>
  </si>
  <si>
    <t>El servicio público: concepto y clases. Forma de gestión de los servicios públicos. Examen especial de la gestión directa. La gestión indirecta: modalidades. La concesión. Régimen jurídico.</t>
  </si>
  <si>
    <t>Los contratos del sector público: concepto y clases. Estudio de sus elementos. Su cumplimiento. La revisión de precios y otras alteraciones contractuales. Incumplimiento de los contratos.</t>
  </si>
  <si>
    <t>La jurisdicción contencioso-administrativa. Extensión y límites. Las partes del procedimiento. La sentencia. Recursos.</t>
  </si>
  <si>
    <t>Los recursos administrativos.</t>
  </si>
  <si>
    <t>El acto administrativo: concepto, clases y elementos. Su motivación y notificación. Eficacia y validez de los actos administrativos. Revisión, anulación y revocación.</t>
  </si>
  <si>
    <t>El reglamento. La potestad reglamentaria. Los reglamentos ilegales. Actos administrativos generales, circulares e instrucciones.</t>
  </si>
  <si>
    <t>La imposición indirecta en España: el IVA y los impuestos especiales.</t>
  </si>
  <si>
    <t>La imposición patrimonial en España: el impuesto sobre el patrimonio, el impuesto sobre sucesiones y donaciones, el impuesto sobre transmisiones patrimoniales y actos jurídicos documentados, y el impuesto sobre bienes inmuebles.</t>
  </si>
  <si>
    <t>La empresa pública. Razones de su existencia. La política de privatizaciones. Comparaciones internacionales.</t>
  </si>
  <si>
    <t>La imposición indirecta: teoría y comparaciones internacionales.</t>
  </si>
  <si>
    <t>La imposición directa: teoría y comparaciones internacionales.</t>
  </si>
  <si>
    <t>Imposición y oferta. Efectos incentivo de los impuestos.</t>
  </si>
  <si>
    <t>Traslación e incidencia de los impuestos en mercados competitivos y monopolistas. Enfoques de equilibrio parcial y general.</t>
  </si>
  <si>
    <t>Ingresos públicos. Elementos definidores y clases de impuestos. Principios impositivos.</t>
  </si>
  <si>
    <t>Economía de las regiones españolas: especialización regional, convergencia real y política de desarrollo regional.</t>
  </si>
  <si>
    <t>Mercado de trabajo en España. Características, funcionamiento y problemas. Las políticas de empleo.</t>
  </si>
  <si>
    <t>Estructura y política del sector de los transportes y telecomunicaciones en España.</t>
  </si>
  <si>
    <t>Los economistas clásicos y Marx.</t>
  </si>
  <si>
    <t>Los economistas neoclásicos.</t>
  </si>
  <si>
    <t>Economía de la información y teoría de la agencia: selección adversa y riesgo moral.</t>
  </si>
  <si>
    <t>La teoría del equilibrio general.</t>
  </si>
  <si>
    <t>Economía del bienestar (III). Las funciones de bienestar social. Teoría de la elección colectiva. El teorema de la imposibilidad de Arrow y desarrollos posteriores.</t>
  </si>
  <si>
    <t>Análisis de las tablas «input-output».</t>
  </si>
  <si>
    <t>Teorías de la demanda de dinero. Implicaciones de política económica.</t>
  </si>
  <si>
    <t>La información financiera de las empresas: estados de situación y de circulación. Métodos de análisis económico y financiero de la empresa.</t>
  </si>
  <si>
    <t>La empresa y las decisiones de inversión. Diferentes criterios de valoración de proyectos. Rentabilidad, riesgo y coste del capital.</t>
  </si>
  <si>
    <t>La empresa y las decisiones de financiación: Financiación propia frente a financiación ajena. Política de dividendos y estructura del capital.</t>
  </si>
  <si>
    <t>Análisis del crecimiento de la empresa. Métodos de valoración de empresas. Especial referencia a los procesos de fusión, adquisición y alianzas estratégicas.</t>
  </si>
  <si>
    <t>La política comercial (I). Instrumentos y efectos. Barreras arancelarias y no arancelarias. Otros instrumentos tradicionales.</t>
  </si>
  <si>
    <t>Comercio internacional y crecimiento económico. Especial referencia a los efectos del comercio sobre el crecimiento.</t>
  </si>
  <si>
    <t>Teoría de la integración económica.</t>
  </si>
  <si>
    <t>Balanza de pagos: concepto, medición e interpretación.</t>
  </si>
  <si>
    <t>Mecanismos de ajuste de la balanza de pagos. Especial referencia al enfoque intertemporal de balanza de pagos. Análisis de sostenibilidad del déficit y de la deuda exterior.</t>
  </si>
  <si>
    <t>Mercado de divisas. Operaciones e instrumentos.</t>
  </si>
  <si>
    <t>Teorías de la determinación del tipo de cambio.</t>
  </si>
  <si>
    <t>Teoría de la integración monetaria.</t>
  </si>
  <si>
    <t>Análisis comparado de los distintos regímenes cambiarios. Intervención y regulación en los mercados de cambio.</t>
  </si>
  <si>
    <t>La política comercial de la Unión Europea.</t>
  </si>
  <si>
    <t>Las relaciones económicas exteriores de la Unión Europea. La política de cooperación al desarrollo de la Unión Europea.</t>
  </si>
  <si>
    <t>Análisis de los instrumentos financieros de renta variable. Análisis fundamental. Teoría de la elección de cartera. El modelo de valoración de activos de capital (CAPM). La teoría de valoración de activos por arbitraje (APT). Análisis técnico.</t>
  </si>
  <si>
    <t>Las finanzas de la Unión Europea y el presupuesto comunitario. El marco financiero plurianual actual.</t>
  </si>
  <si>
    <t>La política agrícola de la Unión Europea. Problemas económicos y procesos de reforma. La política pesquera común.</t>
  </si>
  <si>
    <t>La OMC. Los acuerdos distintos de los de mercancías.</t>
  </si>
  <si>
    <t>La OMC. Antecedentes y Organización actual. El GATT y los Acuerdos sobre el comercio de mercancías. Situación actual.</t>
  </si>
  <si>
    <t>Análisis de los instrumentos y de los mercados de derivados.</t>
  </si>
  <si>
    <t>La financiación exterior del desarrollo económico. El problema de la deuda externa. La ayuda al desarrollo.</t>
  </si>
  <si>
    <t>Análisis de los instrumentos financieros de renta fija. Determinación del precio y rendimiento de los bonos. La estructura temporal de los tipos de interés. Valoración del riesgo y del rendimiento de los bonos: duración y convexidad.</t>
  </si>
  <si>
    <t>Sábado</t>
  </si>
  <si>
    <t>Domingo</t>
  </si>
  <si>
    <t>Lunes</t>
  </si>
  <si>
    <t>Martes</t>
  </si>
  <si>
    <t>Miércoles</t>
  </si>
  <si>
    <t>Jueves</t>
  </si>
  <si>
    <t>Viernes</t>
  </si>
  <si>
    <t>Hora</t>
  </si>
  <si>
    <t>Dormir</t>
  </si>
  <si>
    <t>Desayuno</t>
  </si>
  <si>
    <t>Estudiar</t>
  </si>
  <si>
    <t>Descanso</t>
  </si>
  <si>
    <t>Idioma</t>
  </si>
  <si>
    <t>Cena</t>
  </si>
  <si>
    <t>Comida</t>
  </si>
  <si>
    <t>Estadísticas del horario</t>
  </si>
  <si>
    <t>Horas dormir/día</t>
  </si>
  <si>
    <t>Horas estudiar/día</t>
  </si>
  <si>
    <t>Horas comer/día</t>
  </si>
  <si>
    <t>Horas idioma/día</t>
  </si>
  <si>
    <t>Horas descanso/día</t>
  </si>
  <si>
    <t>Horas ejercicio/día</t>
  </si>
  <si>
    <t>TOTAL</t>
  </si>
  <si>
    <t>Categoría</t>
  </si>
  <si>
    <t>Total general</t>
  </si>
  <si>
    <t>Mixto</t>
  </si>
  <si>
    <t>Microeconomía</t>
  </si>
  <si>
    <t>Macroeconomía</t>
  </si>
  <si>
    <t>% de aprobar el ejercicio por tema estudiado</t>
  </si>
  <si>
    <t>Temas parte C</t>
  </si>
  <si>
    <t>Probabilidad por número de temas</t>
  </si>
  <si>
    <t>Nivel de eficiencia</t>
  </si>
  <si>
    <t>Probabilidad de aprobar por tema estudiado</t>
  </si>
  <si>
    <t>Eficiencia en el ejercicio</t>
  </si>
  <si>
    <t>Estadísticas del horario sin tener en cuenta el día de descanso</t>
  </si>
  <si>
    <t>Etiquetas de fila</t>
  </si>
  <si>
    <t>Pensamiento económico</t>
  </si>
  <si>
    <t>Demanda Agregada y Oferta Agregada</t>
  </si>
  <si>
    <t>Modelo neoclásico básico</t>
  </si>
  <si>
    <t>Información y poder de mercado</t>
  </si>
  <si>
    <t>Economía del Bienestar e Intervención del Sector Público</t>
  </si>
  <si>
    <t>Contabilidad Nacional</t>
  </si>
  <si>
    <t>Ciclo económico y políticas de demanda</t>
  </si>
  <si>
    <t>Crecimiento económico</t>
  </si>
  <si>
    <t>Historia económica</t>
  </si>
  <si>
    <t>Organismos internacionales</t>
  </si>
  <si>
    <t>Unión Europea</t>
  </si>
  <si>
    <t>Economía abierta</t>
  </si>
  <si>
    <t>Economía financiera y corporativa</t>
  </si>
  <si>
    <t>Comercio Internacional</t>
  </si>
  <si>
    <t>3.A.7</t>
  </si>
  <si>
    <t>3.A.6</t>
  </si>
  <si>
    <t>3.A.8</t>
  </si>
  <si>
    <t>3.A.9</t>
  </si>
  <si>
    <t>3.A.10</t>
  </si>
  <si>
    <t>3.B.5</t>
  </si>
  <si>
    <t>3.B.6</t>
  </si>
  <si>
    <t>3.B.7</t>
  </si>
  <si>
    <t>3.B.8</t>
  </si>
  <si>
    <t>3.B.9</t>
  </si>
  <si>
    <t>3.B.10</t>
  </si>
  <si>
    <t>3.A.14</t>
  </si>
  <si>
    <t>3.A.21</t>
  </si>
  <si>
    <t>3.A.13</t>
  </si>
  <si>
    <t>3.A.15</t>
  </si>
  <si>
    <t>3.A.16</t>
  </si>
  <si>
    <t>3.A.17</t>
  </si>
  <si>
    <t>3.B.21</t>
  </si>
  <si>
    <t>3.B.22</t>
  </si>
  <si>
    <t>3.B.34</t>
  </si>
  <si>
    <t>3.B.35</t>
  </si>
  <si>
    <t>3.A.42</t>
  </si>
  <si>
    <t>3.A.43</t>
  </si>
  <si>
    <t>3.A.44</t>
  </si>
  <si>
    <t>Cuenta de Nombre del tema</t>
  </si>
  <si>
    <t>3.B.3</t>
  </si>
  <si>
    <t>3.B.2</t>
  </si>
  <si>
    <t>3.B.4</t>
  </si>
  <si>
    <t>3.A.22</t>
  </si>
  <si>
    <t>3.A.23</t>
  </si>
  <si>
    <t>3.A.12</t>
  </si>
  <si>
    <t>Probabilidades</t>
  </si>
  <si>
    <t>Organización del estudio</t>
  </si>
  <si>
    <t>Preparación de la oposición a TCEE</t>
  </si>
  <si>
    <t>Temario</t>
  </si>
  <si>
    <t>Víctor Gutiérrez Marcos ©</t>
  </si>
  <si>
    <t>-</t>
  </si>
  <si>
    <t>Sorteo de temas predefinidos</t>
  </si>
  <si>
    <t>Temas a incluir en el sorteo:</t>
  </si>
  <si>
    <t>RESULTADO</t>
  </si>
  <si>
    <t>Sorteos</t>
  </si>
  <si>
    <t>#</t>
  </si>
  <si>
    <t>Cuántos temas obtener como resultado</t>
  </si>
  <si>
    <t>Economía política</t>
  </si>
  <si>
    <t>Economía española</t>
  </si>
  <si>
    <t>Sector primario</t>
  </si>
  <si>
    <t>Sector extractivo y energía</t>
  </si>
  <si>
    <t>Política medioambiental</t>
  </si>
  <si>
    <t>Servicios</t>
  </si>
  <si>
    <t>Construcción</t>
  </si>
  <si>
    <t>Políticas de liberalización</t>
  </si>
  <si>
    <t>Mercado de trabajo</t>
  </si>
  <si>
    <t>Política regional</t>
  </si>
  <si>
    <t>Sector financiero y política monetaria</t>
  </si>
  <si>
    <t>Sector exterior</t>
  </si>
  <si>
    <t>Gastos y presupuestos</t>
  </si>
  <si>
    <t>Política fiscal y estabilización</t>
  </si>
  <si>
    <t>Inversión pública</t>
  </si>
  <si>
    <t>Impuestos</t>
  </si>
  <si>
    <t>Federalismo fiscal y haciendas territoriales</t>
  </si>
  <si>
    <t>Empresas públicas</t>
  </si>
  <si>
    <t>Contabilidad pública y fuentes estadísticas</t>
  </si>
  <si>
    <t>Fuentes estadísticas</t>
  </si>
  <si>
    <t>Economía del sector público</t>
  </si>
  <si>
    <t>La política comercial (II). La política comercial estratégica. La política de promoción exterior: justificación, instrumentos y objetivos.</t>
  </si>
  <si>
    <t xml:space="preserve">Buscar título del tema: </t>
  </si>
  <si>
    <t>#A</t>
  </si>
  <si>
    <t>#B</t>
  </si>
  <si>
    <t>Objeto y métodos de la ciencia económica. Cuestiones y debates actuales, con especial referencia a la economía conductual.</t>
  </si>
  <si>
    <t>El pensamiento económico de Keynes. Referencia a la economía post-keynesiana y el desequilibrio.</t>
  </si>
  <si>
    <t>La síntesis neoclásica. El monetarismo.</t>
  </si>
  <si>
    <t>La nueva macroeconomía clásica. La hipótesis de las expectativas racionales; la crítica de Lucas; el surgimiento de los modelos dinámicos estocásticos de equilibrio general.</t>
  </si>
  <si>
    <t>La nueva economía keynesiana. Primera y segunda generación.</t>
  </si>
  <si>
    <t>Teoría de la demanda del consumidor (I). Axiomas sobre las preferencias, función de utilidad y función de demanda marshalliana. La teoría de la preferencia revelada. Precios hedónicos.</t>
  </si>
  <si>
    <t>Teoría de la demanda del consumidor (II). Dualidad e integrabilidad de las preferencias. Sistemas de demanda utilizados en estudios empíricos. Medidas de cambio en el bienestar.</t>
  </si>
  <si>
    <t>Teoría de la demanda del consumidor (III). Elección del consumidor en situaciones de riesgo e incertidumbre.</t>
  </si>
  <si>
    <t xml:space="preserve">Teoría de la producción. Caracterización de la tecnología de la empresa a corto y largo plazo. El conjunto de posibilidades de producción. La función de producción. Rendimientos locales y globales a escala. Elasticidad de sustitución. Producción conjunta. </t>
  </si>
  <si>
    <t>Teoría de los costes. Análisis de dualidad en el ámbito de la empresa. Aplicaciones empíricas.</t>
  </si>
  <si>
    <t>Bloque</t>
  </si>
  <si>
    <t>Teoría de juegos. Principales conceptos. Aplicaciones, con especial referencia a las subastas.</t>
  </si>
  <si>
    <t>La empresa: el tamaño eficiente y sus límites. Mención especial de la economía de los costes de transacción. La Teoría de la Organización Industrial: barreras a la entrada y mercados impugnables.</t>
  </si>
  <si>
    <t xml:space="preserve">Análisis de mercados (I). El modelo de competencia perfecta. Análisis de equilibrio parcial: corto y largo plazo; dinámicas de ajuste y estabilidad del equilibrio. Análisis de eficiencia y bienestar. </t>
  </si>
  <si>
    <t>Semana</t>
  </si>
  <si>
    <t>Día (opc.)</t>
  </si>
  <si>
    <t>Análisis de mercados (II). Teoría del monopolio. Discriminación de precios. Monopolio natural. Producción conjunta. Análisis de eficiencia y bienestar. Monopsonio. Monopolio bilateral.</t>
  </si>
  <si>
    <t>Análisis de mercados (III). Diferenciación de productos: la teoría de la competencia monopolística y otros desarrollos.</t>
  </si>
  <si>
    <t>Análisis de mercados (IV). Teoría del oligopolio: soluciones no cooperativas y soluciones cooperativas.</t>
  </si>
  <si>
    <t>Poder de mercado y regulación óptima. Definición del mercado relevante. Desarrollos en presencia de información asimétrica. Aplicaciones prácticas.</t>
  </si>
  <si>
    <t>Economía del bienestar (I). Los teoremas fundamentales del bienestar. Óptimo económico y «second best».</t>
  </si>
  <si>
    <t>Economía del bienestar (II). Fallos de mercado: externalidades y bienes públicos. Intervención y fallos del sector público.</t>
  </si>
  <si>
    <t>La teoría neoclásica del mercado de trabajo. Análisis intertemporal de la oferta de trabajo. Teoría del capital humano. Función de ingresos de capital humano y evidencia empírica.</t>
  </si>
  <si>
    <t>Desempleo friccional. La curva de Beveridge, el modelo de búsqueda y emparejamiento de Diamond, Mortensen y Pissarides. Costes de ajuste y dinámica de la demanda de trabajo.</t>
  </si>
  <si>
    <t>Determinación de salarios: modelos de negociación, salarios de eficiencia y contratos implícitos.</t>
  </si>
  <si>
    <t>La tasa natural de paro y la NAIRU. La persistencia del desempleo.</t>
  </si>
  <si>
    <t>Modelización dinámica de las tomas de decisiones. Modelos de horizonte infinito y modelos de generaciones solapadas.</t>
  </si>
  <si>
    <t>Magnitudes macroeconómicas y contabilidad nacional.</t>
  </si>
  <si>
    <t>El modelo de oferta y demanda agregada: determinación de renta e inflación en una economía abierta. Análisis de las políticas monetaria y fiscal, y de los shocks y políticas de oferta.</t>
  </si>
  <si>
    <t>Teorías de la demanda de consumo corriente: ciclo vital y renta permanente. La demanda de bienes de consumo duradero. Evidencia empírica e implicaciones de política económica.</t>
  </si>
  <si>
    <t>Teorías de la inversión en bienes de equipo. Incertidumbre e irreversibilidad de la inversión. Implicaciones de política económica.</t>
  </si>
  <si>
    <t>La política monetaria (II).  Los mecanismos de transmisión de la política monetaria convencional. Rigideces de precios, rigideces de salarios y fricciones financieras. Los mecanismos de transmisión de la política monetaria no convencional.</t>
  </si>
  <si>
    <t>La política monetaria (I). El diseño y la instrumentación de la política monetaria.</t>
  </si>
  <si>
    <t>Evidencia empírica sobre el crecimiento económico y la distribución de la renta entre los factores de producción. Contabilidad del crecimiento, con especial referencia a la productividad total de los factores. Convergencia económica internacional.</t>
  </si>
  <si>
    <t>La política fiscal: efectos sobre el crecimiento económico y el ahorro.</t>
  </si>
  <si>
    <t>Déficit público. Conceptos. Financiación y sus consecuencias macroeconómicas. Dominación monetaria y dominación fiscal. La dinámica de la deuda pública y su sostenibilidad.</t>
  </si>
  <si>
    <t>Efectividad e interrelación de las políticas monetaria y fiscal en las principales economías desarrolladas desde la Gran Recesión de 2008. El valor de los multiplicadores fiscales.</t>
  </si>
  <si>
    <t>La inflación: causas y sus efectos sobre la eficiencia económica y el bienestar. Hiperinflación y deflación.</t>
  </si>
  <si>
    <t>Teorías de los ciclos económicos: ciclos nominales y reales. Referencia al ciclo financiero y sus interrelaciones con el ciclo real.</t>
  </si>
  <si>
    <t>Crecimiento económico (I). Acumulación de capital y progreso técnico exógeno. El modelo de Solow. El modelo de Solow aumentado con acumulación de capital humano. El modelo de Ramsey-Cass-Koopmans.</t>
  </si>
  <si>
    <t>Crecimiento económico (II). Modelos de crecimiento endógeno: rendimientos crecientes, capital humano e innovación tecnológica.</t>
  </si>
  <si>
    <t>Marketing internacional y técnicas comerciales</t>
  </si>
  <si>
    <t>Econometría</t>
  </si>
  <si>
    <t>Derecho administrativo y organización del Estado</t>
  </si>
  <si>
    <t>Teoría del comercio internacional (I). La teoría ricardiana de la ventaja comparativa. Determinación de la relación real de intercambio. El modelo de factores específicos. El Modelo Hecksher-Ohlin-Samuelson (H-O-S); teoremas derivados del modelo y extensiones.</t>
  </si>
  <si>
    <t>Teoría del comercio internacional (II). Desarrollos recientes. Nueva teoría del comercio internacional. Especial referencia a la competencia imperfecta, los rendimientos crecientes y la heterogeneidad empresarial.</t>
  </si>
  <si>
    <t>Teorías explicativas de las crisis de balanza de pagos.</t>
  </si>
  <si>
    <t>La nueva globalización económica y financiera. Determinantes y efectos de los movimientos internacionales de factores productivos: movilidad de trabajadores, inversión de cartera e inversión directa, con especial referencia a las cadenas globales de valor.</t>
  </si>
  <si>
    <t>La coordinación internacional de políticas económicas. Aspectos teóricos y prácticos. El G-20, la OCDE y otros foros internacionales.</t>
  </si>
  <si>
    <t>El sistema económico internacional desde el siglo XIX hasta la ruptura del sistema de Bretton-Woods.</t>
  </si>
  <si>
    <t>El sistema económico internacional desde la desaparición del sistema de Bretton-Woods.</t>
  </si>
  <si>
    <t>El Fondo Monetario Internacional. Estructura y políticas. La prevención y solución de crisis.</t>
  </si>
  <si>
    <t>Crisis financieras y pánicos bancarios; especial referencia a la crisis financiera internacional iniciada en 2007-2008. Gestión de riesgos de las instituciones financieras.</t>
  </si>
  <si>
    <t>Regulación financiera bancaria y no-bancaria. Fundamentos teóricos y evidencia empírica.</t>
  </si>
  <si>
    <t>El Grupo del Banco Mundial, los Bancos Regionales de Desarrollo y otras instituciones multilaterales de desarrollo.</t>
  </si>
  <si>
    <t>El cambio climático y su impacto en la economía. Evidencia y modelos integrados de evaluación. Acuerdos internacionales y principales medidas adoptadas para hacer frente al cambio climático.</t>
  </si>
  <si>
    <t>Perspectivas económicas mundiales. Estructura sectorial y geográfica de los flujos comerciales y financieros internacionales. Las nuevas áreas emergentes.</t>
  </si>
  <si>
    <t>Procesos de integración no comunitarios.</t>
  </si>
  <si>
    <t>Tratados, orden jurídico e instituciones de la Unión Europea.</t>
  </si>
  <si>
    <t>El mercado único de la Unión Europea. El principio de libre circulación de mercancías, servicios, personas y capitales. La política de competencia.</t>
  </si>
  <si>
    <t>La Cohesión Económica y Social en la Unión Europea: política regional e instrumentos presupuestarios y financieros. Política social y de empleo. El proceso de convergencia real en la Unión Europea.</t>
  </si>
  <si>
    <t>El origen del euro: funcionamiento y evolución del Sistema Monetario Europeo. Los criterios de convergencia nominal. El Sistema Europeo de Bancos Centrales: objetivos e instrumentos. La política monetaria en la Eurozona desde 2009.</t>
  </si>
  <si>
    <t>La Unión Bancaria: Pilares y Código normativo único. La Unión de Mercados de Capitales.</t>
  </si>
  <si>
    <t>La gobernanza económica de la Unión Europea y de la zona euro. El Semestre Europeo. Las reglas fiscales y el Procedimiento de Desequilibrios Macroeconómicos. El Mecanismo Europeo de Estabilidad. La respuesta común de la política fiscal a partir de la covid-19.</t>
  </si>
  <si>
    <t>La gobernanza pública y el gobierno abierto. Concepto y principios informadores del gobierno abierto: colaboración, participación, transparencia y rendición de cuentas. Datos abiertos y reutilización. El marco jurídico y los planes de gobierno abierto en España.</t>
  </si>
  <si>
    <t>Políticas de igualdad de género. La Ley Orgánica 3/2007, de 22 de marzo, para la igualdad efectiva de mujeres y hombres. Políticas contra la violencia de género. La Ley Orgánica 1/2004, de 28 de diciembre, de Medidas de Protección Integral contra la Violencia de Género. Políticas dirigidas a la atención de personas discapacitadas y/o dependientes: la Ley 39/2006, de 14 de diciembre, de Promoción de la Autonomía Personal y atención a las personas en situación de dependencia.</t>
  </si>
  <si>
    <t>Organización y competencias del Ministerio de Asuntos Económicos y Transformación Digital, y del Ministerio de Industria, Comercio y Turismo. Especial mención a la Secretaría de Estado de Economía y Apoyo a la Empresa, y a la Secretaría de Estado de Comercio. Otros Ministerios económicos. La Administración Territorial del Ministerio de Industria, Comercio y Turismo. Su administración institucional. ICEX España Exportación e Inversiones.</t>
  </si>
  <si>
    <t>La Constitución española de 1978: estructura y contenido. Derechos y deberes fundamentales. Su garantía y suspensión. El Defensor del Pueblo. El Tribunal de Cuentas. El Tribunal Constitucional. Reforma de la Constitución.</t>
  </si>
  <si>
    <t>Procedimiento administrativo común de las administraciones públicas: objeto y ámbito de aplicación. El procedimiento administrativo: concepto y naturaleza. Las garantías del procedimiento. Iniciación, ordenación, instrucción y terminación del procedimiento administrativo común. Los procedimientos especiales.</t>
  </si>
  <si>
    <t>Régimen jurídico del personal al servicio de las administraciones públicas. Ley del Estatuto Básico del Empleado Público. La Ley de Medidas para la Reforma de la Función Pública. Órganos superiores de la Función Pública. Oferta de empleo público.</t>
  </si>
  <si>
    <t>Las fuentes del Derecho Administrativo. La Constitución. La ley. Los decretos-leyes. La delegación legislativa.</t>
  </si>
  <si>
    <t>Supuestos clásicos del modelo de regresión lineal. Aproximación lineal al modelo no lineal. Método de mínimos cuadrados ordinarios y método de máxima verosimilitud. Medidas de bondad de ajuste del modelo.</t>
  </si>
  <si>
    <t>Propiedades de los estimadores de mínimos cuadrados ordinarios para muestras finitas y muestras grandes en el modelo de regresión lineal. Contraste de hipótesis e intervalos de confianza.</t>
  </si>
  <si>
    <t>Heterocedasticidad y autocorrelación: origen, consecuencias, detección y soluciones. Estimación por mínimos cuadrados generalizados.</t>
  </si>
  <si>
    <t>La causalidad en los modelos de regresión. Problema de la variable omitida y estimación por variables instrumentales. Otras soluciones: diseños experimentales, regresión en discontinuidad y diferencias en diferencias.</t>
  </si>
  <si>
    <t>Procesos estocásticos. Ruido blanco, AR, MA, ARMA y ARIMA: identificación, estimación, verificación y predicción.</t>
  </si>
  <si>
    <t>Datos de panel. Descripción del problema. El modelo de efectos fijos y de efectos aleatorios. Estimación.</t>
  </si>
  <si>
    <t>Los instrumentos de promoción del turismo en España.</t>
  </si>
  <si>
    <t>Los instrumentos de atracción de inversiones exteriores.</t>
  </si>
  <si>
    <t>Fuentes estadísticas españolas. Metodologías y limitaciones.</t>
  </si>
  <si>
    <t>Los recursos humanos en España: estructura demográfica y capital humano. Proyecciones de población a medio y largo plazo: implicaciones para el crecimiento económico.</t>
  </si>
  <si>
    <t>Los sectores agrario y pesquero en España.</t>
  </si>
  <si>
    <t>La distribución personal y entre factores productivos de la renta en España. La desigualdad de la renta, la riqueza y el consumo. El efecto redistributivo del sector público español.</t>
  </si>
  <si>
    <t>Estructura del sector energético y sus subsectores: sistema eléctrico, sistema gasista y productos petrolíferos. Nuevas tecnologías y retos del sector.</t>
  </si>
  <si>
    <t>La política española de energía y clima: mitigación y adaptación al cambio climático. Vinculación con la política de energía y clima de la UE. Políticas sectoriales de medioambiente.</t>
  </si>
  <si>
    <t>El sistema y la política de ciencia y tecnología en España. Vinculación con la política de I+D de la Unión Europea. La actividad de investigación, desarrollo e innovación (I+D+i) en los sectores público y privado. Comparación con buenas prácticas internacionales.</t>
  </si>
  <si>
    <t>La empresa en España. Características principales: productividad, internacionalización, tamaño y financiación. Comparación entre la empresa industrial y la empresa de servicios. El clima de negocio en España. El sector público empresarial.</t>
  </si>
  <si>
    <t>Análisis de la industria en España. Características y situación actual. Los retos de la industria y la política industrial en España en el contexto de las economías desarrolladas. La estrategia de la UE.</t>
  </si>
  <si>
    <t>Estructura sectorial de la industria en España. Clasificación de sectores según nivel de contenido tecnológico y de demanda. Análisis de los principales sectores: industria agroalimentaria, industria automovilística, industria química y farmacéutica, e industria de fabricación de bienes de equipo y de alta tecnología.</t>
  </si>
  <si>
    <t>El sector de la construcción en España. El mercado de la vivienda. Problemas y política de vivienda y suelo.</t>
  </si>
  <si>
    <t>El turismo en España: evolución, retos y política turística.</t>
  </si>
  <si>
    <t>Estructura, políticas y retos de la distribución comercial, con especial referencia al comercio electrónico.</t>
  </si>
  <si>
    <t>La defensa y la promoción de la competencia en España. Principios de regulación económica eficiente. Garantía de unidad de mercado.</t>
  </si>
  <si>
    <t>El sistema financiero español (I).  Evolución reciente del sistema financiero. Génesis y desarrollo de la crisis del sistema financiero español iniciada en 2008. La reestructuración de las entidades de crédito. El Programa de Asistencia Financiera.</t>
  </si>
  <si>
    <t>El sistema financiero español (II). Las entidades de crédito en España: Configuración actual del sector bancario español y principales indicadores. El marco de regulación, supervisión y gestión de crisis.</t>
  </si>
  <si>
    <t>El sistema financiero español (III). Mercados de valores y otras formas de financiación no bancaria, agentes e instrumentos. Innovación financiera.</t>
  </si>
  <si>
    <t>Las relaciones financieras de España con la Unión Europea: flujos presupuestarios y extra-presupuestarios, y saldo financiero España-Unión Europea. Evolución reciente y situación actual. España en el Marco Financiero Plurianual 2021-2027. La convergencia real de España con la Unión Europea.</t>
  </si>
  <si>
    <t>Evolución de la economía y de la política económica española desde la crisis de la Covid-19. Situación actual de la economía española y perspectivas. Los desequilibrios macroeconómicos de España, según el Procedimiento de Desequilibrios Macroeconómicos de la UE.</t>
  </si>
  <si>
    <t>Evolución de la economía y de la política económica en España desde la constitución de la zona euro hasta 2019. Especial referencia a la crisis económica y financiera iniciada en 2008.</t>
  </si>
  <si>
    <t>La economía española en el período 1959-1999. El Plan de Estabilización de 1959. La economía española en la década de 1960. Las crisis energéticas de los años 70. La adhesión a las Comunidades Europeas. El proceso de ajuste macroeconómico para la entrada en la zona euro.</t>
  </si>
  <si>
    <t>Análisis de la evolución de la balanza de pagos y de la Posición de Inversión Internacional de España desde la adopción del euro. Posición neta del Banco de España frente al Eurosistema. La sostenibilidad externa.</t>
  </si>
  <si>
    <t>La internacionalización de la economía española (I). Estructura sectorial y geográfica de la balanza de bienes y de servicios en España en la actualidad. Indicadores de competitividad. La integración de España en las cadenas globales de valor.</t>
  </si>
  <si>
    <t>La internacionalización de la economía española (II). Estructura sectorial y geográfica de la inversión extranjera en España y de la inversión española en el exterior en la actualidad.</t>
  </si>
  <si>
    <t>La política española de internacionalización (I). Instrumentos financieros de ayuda a la exportación y a la inversión exterior. Evaluación y comparación con buenas prácticas internacionales.</t>
  </si>
  <si>
    <t>La política española de internacionalización (II). La promoción comercial. Organismos e instrumentos. Evaluación y comparación con buenas prácticas internacionales.</t>
  </si>
  <si>
    <t>La política de cooperación al desarrollo en España. Instrumentos de cooperación técnica y financiera. Evaluación del diseño de la política y análisis de impacto económico.</t>
  </si>
  <si>
    <t>El sector público: delimitación, operaciones y cuentas principales según el Sistema Europeo de Cuentas.</t>
  </si>
  <si>
    <t>Los mecanismos de decisión del sector público. Reglas de votación. La democracia representativa. La producción pública y la burocracia. Justificación de la existencia de límites normativos a la actividad del sector público.</t>
  </si>
  <si>
    <t>El presupuesto como elemento de redistribución. El Estado de Bienestar: instrumentos, problemas y reformas. Medición e indicadores del impacto redistributivo.</t>
  </si>
  <si>
    <t>El presupuesto como elemento compensador de la actividad económica. Componentes discrecionales y automáticos del presupuesto: saldo cíclico, saldo estructural y esfuerzo fiscal.</t>
  </si>
  <si>
    <t>El gasto público. Razones de su crecimiento. El debate sobre el tamaño del sector público, en lo referente al gasto. Comparaciones internacionales.</t>
  </si>
  <si>
    <t>Evaluación de las políticas públicas. Técnicas de evaluación de impacto. Análisis coste-beneficio, análisis coste-eficacia y otras técnicas de evaluación.</t>
  </si>
  <si>
    <t>Efecto renta y efecto sustitución de los impuestos. Concepto y medición del exceso de gravamen. Medidas de progresividad impositiva.</t>
  </si>
  <si>
    <t>La imposición óptima. Tipo impositivo óptimo. Regla de Ramsey. El compromiso entre eficiencia y equidad de la política tributaria.</t>
  </si>
  <si>
    <t>La teoría del federalismo fiscal: la asignación óptima de las funciones entre los distintos niveles de gobierno para alcanzar el bienestar máximo. La financiación de las haciendas territoriales: impuestos, transferencias y deuda.</t>
  </si>
  <si>
    <t>El impuesto sobre la renta de las personas físicas en España.</t>
  </si>
  <si>
    <t>El impuesto sobre sociedades en España.</t>
  </si>
  <si>
    <t>Fiscalidad internacional. El Impuesto sobre la Renta de no Residentes en España. Convenios de doble imposición, con especial referencia al modelo de la OCDE. El problema de la erosión de bases imponibles y propuestas de solución.</t>
  </si>
  <si>
    <t>El saldo presupuestario y la deuda de las Administraciones Públicas en España: análisis de su evolución reciente y comparación internacional. Política de financiación del Tesoro en la actualidad.</t>
  </si>
  <si>
    <t>Las Administraciones Territoriales en España. Competencias y sistemas de financiación. El endeudamiento de las Administraciones Territoriales.</t>
  </si>
  <si>
    <t>El Sistema de la Seguridad Social en España. Prestaciones y su financiación. La sostenibilidad del sistema público de pensiones.</t>
  </si>
  <si>
    <t>Las finanzas de las Administraciones Públicas en España en términos de contabilidad nacional. Situación actual y perspectivas según el Programa de Estabilidad. Estructura de ingresos y presión fiscal. Gasto por funciones según la clasificación COFOG. Distribución de gastos e ingresos públicos por subsectores de las Administraciones Públicas.</t>
  </si>
  <si>
    <t>Las grandes cifras de los Presupuestos Generales del Estado (PGE). Clasificación económica, orgánica y por políticas de gasto. Visión consolidada de los PGE.</t>
  </si>
  <si>
    <t>Marco legal e institucional de los presupuestos en España. Principios presupuestarios, con especial referencia a la estabilidad y la sostenibilidad. Los Presupuestos Generales del Estado: elaboración, aprobación, ejecución y control. Clasificaciones de ingresos y gastos. Modificaciones presupuestarias.</t>
  </si>
  <si>
    <t>Industria y política industrial</t>
  </si>
  <si>
    <t>Empresa</t>
  </si>
  <si>
    <t>Política de ciencia y tecnología</t>
  </si>
  <si>
    <t>Desigualdad</t>
  </si>
  <si>
    <t>Comentario</t>
  </si>
  <si>
    <t>Economía de los países en desarrollo. Teorías recientes del desarrollo económico. Evidencia empírica, con especial referencia a la aproximación experimental, e implicaciones para el diseño de políticas.</t>
  </si>
  <si>
    <t>3.A.25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</si>
</sst>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000%"/>
  </numFmts>
  <fonts count="24" x14ac:knownFonts="1">
    <font>
      <sz val="11"/>
      <color theme="1"/>
      <name val="Calibri"/>
      <family val="2"/>
      <scheme val="minor"/>
    </font>
    <font>
      <sz val="11"/>
      <color theme="1"/>
      <name val="Calibri"/>
      <family val="2"/>
      <scheme val="minor"/>
    </font>
    <font>
      <sz val="11"/>
      <color theme="1"/>
      <name val="Abadi Extra Light"/>
      <family val="2"/>
    </font>
    <font>
      <b/>
      <sz val="11"/>
      <color rgb="FF5F2987"/>
      <name val="Abadi Extra Light"/>
      <family val="2"/>
    </font>
    <font>
      <b/>
      <i/>
      <sz val="11"/>
      <color theme="1"/>
      <name val="Abadi Extra Light"/>
      <family val="2"/>
    </font>
    <font>
      <b/>
      <i/>
      <sz val="11"/>
      <color rgb="FF5F2987"/>
      <name val="Abadi Extra Light"/>
      <family val="2"/>
    </font>
    <font>
      <b/>
      <sz val="16"/>
      <color theme="1"/>
      <name val="Abadi Extra Light"/>
      <family val="2"/>
    </font>
    <font>
      <sz val="10"/>
      <color theme="1"/>
      <name val="Abadi Extra Light"/>
      <family val="2"/>
    </font>
    <font>
      <sz val="10.5"/>
      <color theme="1"/>
      <name val="Abadi Extra Light"/>
      <family val="2"/>
    </font>
    <font>
      <sz val="11"/>
      <color rgb="FF5F2987"/>
      <name val="Abadi Extra Light"/>
      <family val="2"/>
    </font>
    <font>
      <i/>
      <sz val="16"/>
      <color theme="1"/>
      <name val="Abadi Extra Light"/>
      <family val="2"/>
    </font>
    <font>
      <sz val="11"/>
      <color rgb="FFFF0000"/>
      <name val="Abadi Extra Light"/>
      <family val="2"/>
    </font>
    <font>
      <sz val="11"/>
      <color theme="0"/>
      <name val="Abadi Extra Light"/>
      <family val="2"/>
    </font>
    <font>
      <sz val="8"/>
      <name val="Calibri"/>
      <family val="2"/>
      <scheme val="minor"/>
    </font>
    <font>
      <i/>
      <sz val="11"/>
      <color rgb="FF5F2987"/>
      <name val="Abadi Extra Light"/>
      <family val="2"/>
    </font>
    <font>
      <b/>
      <sz val="10"/>
      <color rgb="FF5F2987"/>
      <name val="Abadi Extra Light"/>
      <family val="2"/>
    </font>
    <font>
      <sz val="26"/>
      <color rgb="FF5F2987"/>
      <name val="Abadi Extra Light"/>
      <family val="2"/>
    </font>
    <font>
      <sz val="36"/>
      <color rgb="FF5F2987"/>
      <name val="Abadi Extra Light"/>
      <family val="2"/>
    </font>
    <font>
      <sz val="48"/>
      <color rgb="FF5F2987"/>
      <name val="Abadi Extra Light"/>
      <family val="2"/>
    </font>
    <font>
      <sz val="10"/>
      <color rgb="FF5F2987"/>
      <name val="Abadi Extra Light"/>
      <family val="2"/>
    </font>
    <font>
      <sz val="11"/>
      <name val="Abadi Extra Light"/>
      <family val="2"/>
    </font>
    <font>
      <i/>
      <sz val="11"/>
      <color theme="1"/>
      <name val="Abadi Extra Light"/>
      <family val="2"/>
    </font>
    <font>
      <sz val="11"/>
      <color theme="2" tint="-0.249977111117893"/>
      <name val="Abadi Extra Light"/>
      <family val="2"/>
    </font>
    <font>
      <b/>
      <sz val="11"/>
      <color rgb="FF5F2987"/>
      <name val="Calibri"/>
      <family val="2"/>
      <scheme val="minor"/>
    </font>
  </fonts>
  <fills count="5">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5F2987"/>
        <bgColor indexed="64"/>
      </patternFill>
    </fill>
  </fills>
  <borders count="74">
    <border>
      <left/>
      <right/>
      <top/>
      <bottom/>
      <diagonal/>
    </border>
    <border>
      <left style="medium">
        <color theme="9" tint="0.79998168889431442"/>
      </left>
      <right style="medium">
        <color theme="9" tint="0.79998168889431442"/>
      </right>
      <top style="medium">
        <color theme="9" tint="0.79998168889431442"/>
      </top>
      <bottom style="medium">
        <color theme="9" tint="0.79998168889431442"/>
      </bottom>
      <diagonal/>
    </border>
    <border>
      <left style="medium">
        <color rgb="FF5F2987"/>
      </left>
      <right/>
      <top style="medium">
        <color rgb="FF5F2987"/>
      </top>
      <bottom style="medium">
        <color rgb="FF5F2987"/>
      </bottom>
      <diagonal/>
    </border>
    <border>
      <left/>
      <right style="medium">
        <color rgb="FF5F2987"/>
      </right>
      <top style="medium">
        <color rgb="FF5F2987"/>
      </top>
      <bottom style="medium">
        <color rgb="FF5F2987"/>
      </bottom>
      <diagonal/>
    </border>
    <border>
      <left/>
      <right style="thin">
        <color theme="0"/>
      </right>
      <top/>
      <bottom/>
      <diagonal/>
    </border>
    <border>
      <left/>
      <right style="thin">
        <color theme="0"/>
      </right>
      <top/>
      <bottom style="medium">
        <color rgb="FF5F2987"/>
      </bottom>
      <diagonal/>
    </border>
    <border>
      <left/>
      <right/>
      <top style="medium">
        <color rgb="FF5F2987"/>
      </top>
      <bottom style="medium">
        <color rgb="FF5F2987"/>
      </bottom>
      <diagonal/>
    </border>
    <border>
      <left/>
      <right/>
      <top/>
      <bottom style="medium">
        <color rgb="FF5F2987"/>
      </bottom>
      <diagonal/>
    </border>
    <border>
      <left/>
      <right style="thin">
        <color rgb="FF5F2987"/>
      </right>
      <top/>
      <bottom/>
      <diagonal/>
    </border>
    <border>
      <left/>
      <right/>
      <top style="thin">
        <color rgb="FF5F2987"/>
      </top>
      <bottom style="thin">
        <color rgb="FF5F2987"/>
      </bottom>
      <diagonal/>
    </border>
    <border>
      <left/>
      <right/>
      <top/>
      <bottom style="thin">
        <color rgb="FF5F2987"/>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medium">
        <color rgb="FF5F2987"/>
      </top>
      <bottom/>
      <diagonal/>
    </border>
    <border>
      <left style="medium">
        <color rgb="FF5F2987"/>
      </left>
      <right style="thin">
        <color theme="9" tint="0.79998168889431442"/>
      </right>
      <top style="medium">
        <color rgb="FF5F2987"/>
      </top>
      <bottom style="medium">
        <color rgb="FF5F2987"/>
      </bottom>
      <diagonal/>
    </border>
    <border>
      <left style="thin">
        <color theme="9" tint="0.79998168889431442"/>
      </left>
      <right style="medium">
        <color rgb="FF5F2987"/>
      </right>
      <top style="medium">
        <color rgb="FF5F2987"/>
      </top>
      <bottom style="medium">
        <color rgb="FF5F2987"/>
      </bottom>
      <diagonal/>
    </border>
    <border>
      <left style="medium">
        <color theme="9" tint="0.79998168889431442"/>
      </left>
      <right style="medium">
        <color theme="9" tint="0.79998168889431442"/>
      </right>
      <top style="medium">
        <color theme="9" tint="0.79998168889431442"/>
      </top>
      <bottom/>
      <diagonal/>
    </border>
    <border>
      <left style="medium">
        <color theme="9" tint="0.79998168889431442"/>
      </left>
      <right style="medium">
        <color theme="9" tint="0.79998168889431442"/>
      </right>
      <top/>
      <bottom/>
      <diagonal/>
    </border>
    <border>
      <left style="medium">
        <color theme="9" tint="0.79998168889431442"/>
      </left>
      <right style="medium">
        <color theme="9" tint="0.79998168889431442"/>
      </right>
      <top/>
      <bottom style="medium">
        <color theme="9" tint="0.79998168889431442"/>
      </bottom>
      <diagonal/>
    </border>
    <border>
      <left style="medium">
        <color theme="9" tint="0.79998168889431442"/>
      </left>
      <right style="medium">
        <color theme="9" tint="0.79998168889431442"/>
      </right>
      <top style="medium">
        <color theme="9" tint="0.79998168889431442"/>
      </top>
      <bottom style="thin">
        <color theme="9" tint="0.79998168889431442"/>
      </bottom>
      <diagonal/>
    </border>
    <border>
      <left style="medium">
        <color theme="9" tint="0.79998168889431442"/>
      </left>
      <right style="medium">
        <color theme="9" tint="0.79998168889431442"/>
      </right>
      <top style="thin">
        <color theme="9" tint="0.79998168889431442"/>
      </top>
      <bottom style="thin">
        <color theme="9" tint="0.79998168889431442"/>
      </bottom>
      <diagonal/>
    </border>
    <border>
      <left style="medium">
        <color theme="9" tint="0.79998168889431442"/>
      </left>
      <right style="medium">
        <color theme="9" tint="0.79998168889431442"/>
      </right>
      <top style="thin">
        <color theme="9" tint="0.79998168889431442"/>
      </top>
      <bottom style="medium">
        <color theme="9" tint="0.79998168889431442"/>
      </bottom>
      <diagonal/>
    </border>
    <border>
      <left style="medium">
        <color theme="9" tint="0.79998168889431442"/>
      </left>
      <right/>
      <top style="medium">
        <color theme="9" tint="0.79998168889431442"/>
      </top>
      <bottom/>
      <diagonal/>
    </border>
    <border>
      <left style="medium">
        <color theme="9" tint="0.79998168889431442"/>
      </left>
      <right/>
      <top/>
      <bottom style="medium">
        <color theme="9" tint="0.79998168889431442"/>
      </bottom>
      <diagonal/>
    </border>
    <border>
      <left style="medium">
        <color theme="9" tint="0.79998168889431442"/>
      </left>
      <right/>
      <top style="medium">
        <color theme="9" tint="0.79998168889431442"/>
      </top>
      <bottom style="thin">
        <color theme="9" tint="0.79998168889431442"/>
      </bottom>
      <diagonal/>
    </border>
    <border>
      <left style="medium">
        <color theme="9" tint="0.79998168889431442"/>
      </left>
      <right/>
      <top style="thin">
        <color theme="9" tint="0.79998168889431442"/>
      </top>
      <bottom style="medium">
        <color theme="9" tint="0.79998168889431442"/>
      </bottom>
      <diagonal/>
    </border>
    <border>
      <left/>
      <right/>
      <top style="medium">
        <color rgb="FF5F2987"/>
      </top>
      <bottom style="thin">
        <color rgb="FF5F2987"/>
      </bottom>
      <diagonal/>
    </border>
    <border>
      <left/>
      <right style="medium">
        <color rgb="FF5F2987"/>
      </right>
      <top style="medium">
        <color rgb="FF5F2987"/>
      </top>
      <bottom style="thin">
        <color rgb="FF5F2987"/>
      </bottom>
      <diagonal/>
    </border>
    <border>
      <left/>
      <right style="medium">
        <color rgb="FF5F2987"/>
      </right>
      <top style="thin">
        <color rgb="FF5F2987"/>
      </top>
      <bottom style="thin">
        <color rgb="FF5F2987"/>
      </bottom>
      <diagonal/>
    </border>
    <border>
      <left/>
      <right style="medium">
        <color rgb="FF5F2987"/>
      </right>
      <top/>
      <bottom style="thin">
        <color rgb="FF5F2987"/>
      </bottom>
      <diagonal/>
    </border>
    <border>
      <left/>
      <right style="medium">
        <color rgb="FF5F2987"/>
      </right>
      <top/>
      <bottom style="medium">
        <color rgb="FF5F2987"/>
      </bottom>
      <diagonal/>
    </border>
    <border>
      <left style="medium">
        <color rgb="FF5F2987"/>
      </left>
      <right style="medium">
        <color rgb="FF5F2987"/>
      </right>
      <top style="medium">
        <color rgb="FF5F2987"/>
      </top>
      <bottom/>
      <diagonal/>
    </border>
    <border>
      <left style="medium">
        <color rgb="FF5F2987"/>
      </left>
      <right style="medium">
        <color rgb="FF5F2987"/>
      </right>
      <top/>
      <bottom/>
      <diagonal/>
    </border>
    <border>
      <left style="medium">
        <color rgb="FF5F2987"/>
      </left>
      <right style="medium">
        <color rgb="FF5F2987"/>
      </right>
      <top/>
      <bottom style="medium">
        <color rgb="FF5F2987"/>
      </bottom>
      <diagonal/>
    </border>
    <border>
      <left/>
      <right style="medium">
        <color rgb="FF5F2987"/>
      </right>
      <top/>
      <bottom/>
      <diagonal/>
    </border>
    <border>
      <left style="medium">
        <color rgb="FF5F2987"/>
      </left>
      <right/>
      <top style="medium">
        <color rgb="FF5F2987"/>
      </top>
      <bottom style="thin">
        <color rgb="FF5F2987"/>
      </bottom>
      <diagonal/>
    </border>
    <border>
      <left/>
      <right/>
      <top style="thin">
        <color rgb="FF5F2987"/>
      </top>
      <bottom style="dashed">
        <color rgb="FF5F2987"/>
      </bottom>
      <diagonal/>
    </border>
    <border>
      <left/>
      <right style="medium">
        <color rgb="FF5F2987"/>
      </right>
      <top style="thin">
        <color rgb="FF5F2987"/>
      </top>
      <bottom style="dashed">
        <color rgb="FF5F2987"/>
      </bottom>
      <diagonal/>
    </border>
    <border>
      <left/>
      <right/>
      <top style="medium">
        <color rgb="FF5F2987"/>
      </top>
      <bottom style="dashed">
        <color rgb="FF5F2987"/>
      </bottom>
      <diagonal/>
    </border>
    <border>
      <left/>
      <right style="medium">
        <color rgb="FF5F2987"/>
      </right>
      <top style="medium">
        <color rgb="FF5F2987"/>
      </top>
      <bottom style="dashed">
        <color rgb="FF5F2987"/>
      </bottom>
      <diagonal/>
    </border>
    <border>
      <left/>
      <right style="thin">
        <color rgb="FF5F2987"/>
      </right>
      <top/>
      <bottom style="medium">
        <color rgb="FF5F2987"/>
      </bottom>
      <diagonal/>
    </border>
    <border>
      <left style="thin">
        <color rgb="FF5F2987"/>
      </left>
      <right style="thin">
        <color rgb="FF5F2987"/>
      </right>
      <top/>
      <bottom style="medium">
        <color rgb="FF5F2987"/>
      </bottom>
      <diagonal/>
    </border>
    <border>
      <left style="thin">
        <color rgb="FF5F2987"/>
      </left>
      <right style="medium">
        <color rgb="FF5F2987"/>
      </right>
      <top/>
      <bottom style="medium">
        <color rgb="FF5F2987"/>
      </bottom>
      <diagonal/>
    </border>
    <border>
      <left style="medium">
        <color rgb="FF5F2987"/>
      </left>
      <right style="dashed">
        <color rgb="FF5F2987"/>
      </right>
      <top/>
      <bottom style="medium">
        <color rgb="FF5F2987"/>
      </bottom>
      <diagonal/>
    </border>
    <border>
      <left style="dashed">
        <color rgb="FF5F2987"/>
      </left>
      <right style="thin">
        <color rgb="FF5F2987"/>
      </right>
      <top/>
      <bottom style="medium">
        <color rgb="FF5F2987"/>
      </bottom>
      <diagonal/>
    </border>
    <border>
      <left style="thin">
        <color rgb="FF5F2987"/>
      </left>
      <right style="dashed">
        <color rgb="FF5F2987"/>
      </right>
      <top/>
      <bottom style="medium">
        <color rgb="FF5F2987"/>
      </bottom>
      <diagonal/>
    </border>
    <border>
      <left style="dashed">
        <color rgb="FF5F2987"/>
      </left>
      <right style="medium">
        <color rgb="FF5F2987"/>
      </right>
      <top/>
      <bottom style="medium">
        <color rgb="FF5F2987"/>
      </bottom>
      <diagonal/>
    </border>
    <border>
      <left style="medium">
        <color rgb="FF5F2987"/>
      </left>
      <right style="dashed">
        <color rgb="FF5F2987"/>
      </right>
      <top/>
      <bottom/>
      <diagonal/>
    </border>
    <border>
      <left style="dashed">
        <color rgb="FF5F2987"/>
      </left>
      <right style="thin">
        <color rgb="FF5F2987"/>
      </right>
      <top/>
      <bottom/>
      <diagonal/>
    </border>
    <border>
      <left style="thin">
        <color rgb="FF5F2987"/>
      </left>
      <right style="dashed">
        <color rgb="FF5F2987"/>
      </right>
      <top/>
      <bottom/>
      <diagonal/>
    </border>
    <border>
      <left style="dashed">
        <color rgb="FF5F2987"/>
      </left>
      <right style="medium">
        <color rgb="FF5F2987"/>
      </right>
      <top/>
      <bottom/>
      <diagonal/>
    </border>
    <border>
      <left style="medium">
        <color rgb="FF5F2987"/>
      </left>
      <right/>
      <top/>
      <bottom style="dashDot">
        <color rgb="FF5F2987"/>
      </bottom>
      <diagonal/>
    </border>
    <border>
      <left/>
      <right/>
      <top/>
      <bottom style="dashDot">
        <color rgb="FF5F2987"/>
      </bottom>
      <diagonal/>
    </border>
    <border>
      <left/>
      <right style="medium">
        <color rgb="FF5F2987"/>
      </right>
      <top/>
      <bottom style="dashDot">
        <color rgb="FF5F2987"/>
      </bottom>
      <diagonal/>
    </border>
    <border>
      <left style="thin">
        <color rgb="FF5F2987"/>
      </left>
      <right style="thin">
        <color rgb="FF5F2987"/>
      </right>
      <top/>
      <bottom/>
      <diagonal/>
    </border>
    <border>
      <left style="thin">
        <color rgb="FF5F2987"/>
      </left>
      <right style="medium">
        <color rgb="FF5F2987"/>
      </right>
      <top/>
      <bottom/>
      <diagonal/>
    </border>
    <border>
      <left style="thin">
        <color rgb="FF5F2987"/>
      </left>
      <right style="thin">
        <color rgb="FF5F2987"/>
      </right>
      <top/>
      <bottom style="thin">
        <color rgb="FF5F2987"/>
      </bottom>
      <diagonal/>
    </border>
    <border>
      <left style="thin">
        <color rgb="FF5F2987"/>
      </left>
      <right/>
      <top/>
      <bottom style="thin">
        <color rgb="FF5F2987"/>
      </bottom>
      <diagonal/>
    </border>
    <border>
      <left/>
      <right style="thin">
        <color rgb="FF5F2987"/>
      </right>
      <top/>
      <bottom style="thin">
        <color rgb="FF5F2987"/>
      </bottom>
      <diagonal/>
    </border>
    <border>
      <left style="medium">
        <color rgb="FF5F2987"/>
      </left>
      <right style="dashDot">
        <color rgb="FF5F2987"/>
      </right>
      <top style="medium">
        <color rgb="FF5F2987"/>
      </top>
      <bottom style="medium">
        <color rgb="FF5F2987"/>
      </bottom>
      <diagonal/>
    </border>
    <border>
      <left style="medium">
        <color rgb="FF5F2987"/>
      </left>
      <right style="dashDot">
        <color rgb="FF5F2987"/>
      </right>
      <top/>
      <bottom style="dotted">
        <color rgb="FF5F2987"/>
      </bottom>
      <diagonal/>
    </border>
    <border>
      <left style="medium">
        <color rgb="FF5F2987"/>
      </left>
      <right style="dashDot">
        <color rgb="FF5F2987"/>
      </right>
      <top style="dotted">
        <color rgb="FF5F2987"/>
      </top>
      <bottom style="dotted">
        <color rgb="FF5F2987"/>
      </bottom>
      <diagonal/>
    </border>
    <border>
      <left style="dashDot">
        <color rgb="FF5F2987"/>
      </left>
      <right style="medium">
        <color rgb="FF5F2987"/>
      </right>
      <top style="dotted">
        <color rgb="FF5F2987"/>
      </top>
      <bottom style="dotted">
        <color rgb="FF5F2987"/>
      </bottom>
      <diagonal/>
    </border>
    <border>
      <left style="medium">
        <color rgb="FF5F2987"/>
      </left>
      <right style="dashDot">
        <color rgb="FF5F2987"/>
      </right>
      <top style="dotted">
        <color rgb="FF5F2987"/>
      </top>
      <bottom style="medium">
        <color rgb="FF5F2987"/>
      </bottom>
      <diagonal/>
    </border>
    <border>
      <left style="dashDot">
        <color rgb="FF5F2987"/>
      </left>
      <right style="medium">
        <color rgb="FF5F2987"/>
      </right>
      <top style="dotted">
        <color rgb="FF5F2987"/>
      </top>
      <bottom style="medium">
        <color rgb="FF5F2987"/>
      </bottom>
      <diagonal/>
    </border>
    <border>
      <left/>
      <right style="dashDot">
        <color rgb="FF5F2987"/>
      </right>
      <top style="medium">
        <color rgb="FF5F2987"/>
      </top>
      <bottom style="medium">
        <color rgb="FF5F2987"/>
      </bottom>
      <diagonal/>
    </border>
    <border>
      <left style="medium">
        <color rgb="FF5F2987"/>
      </left>
      <right style="dashDot">
        <color rgb="FF5F2987"/>
      </right>
      <top style="dotted">
        <color rgb="FF5F2987"/>
      </top>
      <bottom/>
      <diagonal/>
    </border>
    <border>
      <left style="medium">
        <color rgb="FF5F2987"/>
      </left>
      <right style="medium">
        <color rgb="FF5F2987"/>
      </right>
      <top style="medium">
        <color rgb="FF5F2987"/>
      </top>
      <bottom style="medium">
        <color rgb="FF5F2987"/>
      </bottom>
      <diagonal/>
    </border>
    <border>
      <left/>
      <right/>
      <top/>
      <bottom style="dotted">
        <color rgb="FF5F2987"/>
      </bottom>
      <diagonal/>
    </border>
    <border>
      <left/>
      <right/>
      <top style="dotted">
        <color rgb="FF5F2987"/>
      </top>
      <bottom style="dotted">
        <color rgb="FF5F2987"/>
      </bottom>
      <diagonal/>
    </border>
    <border>
      <left/>
      <right/>
      <top style="dotted">
        <color rgb="FF5F2987"/>
      </top>
      <bottom style="medium">
        <color rgb="FF5F2987"/>
      </bottom>
      <diagonal/>
    </border>
    <border>
      <left style="medium">
        <color rgb="FF5F2987"/>
      </left>
      <right/>
      <top/>
      <bottom style="medium">
        <color rgb="FF5F2987"/>
      </bottom>
      <diagonal/>
    </border>
    <border>
      <left style="thick">
        <color rgb="FF5F2987"/>
      </left>
      <right/>
      <top style="thick">
        <color rgb="FF5F2987"/>
      </top>
      <bottom style="thick">
        <color rgb="FF5F2987"/>
      </bottom>
      <diagonal/>
    </border>
    <border>
      <left/>
      <right/>
      <top style="thick">
        <color rgb="FF5F2987"/>
      </top>
      <bottom style="thick">
        <color rgb="FF5F2987"/>
      </bottom>
      <diagonal/>
    </border>
    <border>
      <left/>
      <right style="thick">
        <color rgb="FF5F2987"/>
      </right>
      <top style="thick">
        <color rgb="FF5F2987"/>
      </top>
      <bottom style="thick">
        <color rgb="FF5F2987"/>
      </bottom>
      <diagonal/>
    </border>
  </borders>
  <cellStyleXfs count="2">
    <xf numFmtId="0" fontId="0" fillId="0" borderId="0"/>
    <xf numFmtId="9" fontId="1" fillId="0" borderId="0" applyFont="0" applyFill="0" applyBorder="0" applyAlignment="0" applyProtection="0"/>
  </cellStyleXfs>
  <cellXfs count="184">
    <xf numFmtId="0" fontId="0" fillId="0" borderId="0" xfId="0"/>
    <xf numFmtId="0" fontId="2" fillId="2" borderId="0" xfId="0" applyFont="1" applyFill="1" applyAlignment="1">
      <alignment horizontal="center" vertical="center"/>
    </xf>
    <xf numFmtId="49" fontId="2" fillId="2" borderId="0" xfId="0" applyNumberFormat="1" applyFont="1" applyFill="1" applyAlignment="1">
      <alignment horizontal="center" vertical="center"/>
    </xf>
    <xf numFmtId="10" fontId="2" fillId="2" borderId="0" xfId="1" applyNumberFormat="1" applyFont="1" applyFill="1" applyAlignment="1">
      <alignment horizontal="center" vertical="center"/>
    </xf>
    <xf numFmtId="10" fontId="2" fillId="2" borderId="0" xfId="1" applyNumberFormat="1" applyFont="1" applyFill="1" applyAlignment="1">
      <alignment horizontal="right" vertical="center"/>
    </xf>
    <xf numFmtId="0" fontId="2" fillId="2" borderId="0" xfId="0" applyFont="1" applyFill="1" applyAlignment="1">
      <alignment horizontal="right" vertical="center"/>
    </xf>
    <xf numFmtId="0" fontId="2" fillId="2" borderId="0" xfId="1" applyNumberFormat="1" applyFont="1" applyFill="1" applyBorder="1" applyAlignment="1">
      <alignment horizontal="center" vertical="center"/>
    </xf>
    <xf numFmtId="0" fontId="2" fillId="2" borderId="0" xfId="0" applyFont="1" applyFill="1" applyAlignment="1">
      <alignment horizontal="left" vertical="center"/>
    </xf>
    <xf numFmtId="0" fontId="4" fillId="3" borderId="0" xfId="0" applyFont="1" applyFill="1" applyAlignment="1">
      <alignment horizontal="center" vertical="center"/>
    </xf>
    <xf numFmtId="0" fontId="2" fillId="2" borderId="0" xfId="0" applyFont="1" applyFill="1"/>
    <xf numFmtId="0" fontId="2" fillId="2" borderId="0" xfId="0" applyFont="1" applyFill="1" applyAlignment="1">
      <alignment vertical="center"/>
    </xf>
    <xf numFmtId="2" fontId="2" fillId="2" borderId="0" xfId="0" applyNumberFormat="1" applyFont="1" applyFill="1" applyAlignment="1">
      <alignment horizontal="center" vertical="center"/>
    </xf>
    <xf numFmtId="1" fontId="2" fillId="2" borderId="0" xfId="0" applyNumberFormat="1" applyFont="1" applyFill="1" applyAlignment="1">
      <alignment horizontal="center" vertical="center"/>
    </xf>
    <xf numFmtId="10" fontId="2" fillId="2" borderId="0" xfId="1" applyNumberFormat="1" applyFont="1" applyFill="1" applyBorder="1" applyAlignment="1">
      <alignment horizontal="center" vertical="center"/>
    </xf>
    <xf numFmtId="10" fontId="2" fillId="2" borderId="12" xfId="1" applyNumberFormat="1" applyFont="1" applyFill="1" applyBorder="1" applyAlignment="1">
      <alignment horizontal="center" vertical="center"/>
    </xf>
    <xf numFmtId="0" fontId="12" fillId="2" borderId="0" xfId="0" applyFont="1" applyFill="1" applyAlignment="1">
      <alignment horizontal="center" vertical="center"/>
    </xf>
    <xf numFmtId="0" fontId="2" fillId="2" borderId="0" xfId="0" applyFont="1" applyFill="1" applyAlignment="1">
      <alignment vertical="center" textRotation="90"/>
    </xf>
    <xf numFmtId="0" fontId="2" fillId="3" borderId="0" xfId="0" applyFont="1" applyFill="1" applyAlignment="1">
      <alignment horizontal="center" vertical="center"/>
    </xf>
    <xf numFmtId="0" fontId="2" fillId="3" borderId="0" xfId="0" applyFont="1" applyFill="1"/>
    <xf numFmtId="0" fontId="9" fillId="3" borderId="0" xfId="0" applyFont="1" applyFill="1"/>
    <xf numFmtId="0" fontId="2" fillId="2" borderId="1" xfId="0" applyFont="1" applyFill="1" applyBorder="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center" vertical="center"/>
    </xf>
    <xf numFmtId="0" fontId="2" fillId="0" borderId="0" xfId="0" applyFont="1" applyAlignment="1">
      <alignment vertical="center"/>
    </xf>
    <xf numFmtId="0" fontId="2" fillId="0" borderId="0" xfId="0" applyFont="1"/>
    <xf numFmtId="0" fontId="2" fillId="0" borderId="0" xfId="0" applyFont="1" applyAlignment="1">
      <alignment horizontal="left" vertical="center"/>
    </xf>
    <xf numFmtId="0" fontId="2" fillId="2" borderId="1" xfId="1" applyNumberFormat="1"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protection locked="0"/>
    </xf>
    <xf numFmtId="0" fontId="2" fillId="2" borderId="37"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35" xfId="0" applyFont="1" applyFill="1" applyBorder="1" applyAlignment="1">
      <alignment horizontal="center" vertical="center"/>
    </xf>
    <xf numFmtId="0" fontId="2" fillId="2" borderId="34"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7" xfId="0" applyFont="1" applyFill="1" applyBorder="1" applyAlignment="1">
      <alignment horizontal="center" vertical="center"/>
    </xf>
    <xf numFmtId="0" fontId="9" fillId="3" borderId="0" xfId="0" applyFont="1" applyFill="1" applyAlignment="1">
      <alignment horizontal="right"/>
    </xf>
    <xf numFmtId="0" fontId="19" fillId="3" borderId="56" xfId="0" applyFont="1" applyFill="1" applyBorder="1" applyAlignment="1">
      <alignment horizontal="center" vertical="center" textRotation="90"/>
    </xf>
    <xf numFmtId="0" fontId="19" fillId="3" borderId="10" xfId="0" applyFont="1" applyFill="1" applyBorder="1" applyAlignment="1">
      <alignment horizontal="center" vertical="center" textRotation="90"/>
    </xf>
    <xf numFmtId="0" fontId="19" fillId="3" borderId="57" xfId="0" applyFont="1" applyFill="1" applyBorder="1" applyAlignment="1">
      <alignment horizontal="center" vertical="center" textRotation="90"/>
    </xf>
    <xf numFmtId="0" fontId="19" fillId="3" borderId="55" xfId="0" applyFont="1" applyFill="1" applyBorder="1" applyAlignment="1">
      <alignment horizontal="center" vertical="center"/>
    </xf>
    <xf numFmtId="0" fontId="19" fillId="3" borderId="56" xfId="0" applyFont="1" applyFill="1" applyBorder="1" applyAlignment="1">
      <alignment horizontal="center" vertical="center"/>
    </xf>
    <xf numFmtId="0" fontId="8" fillId="0" borderId="0" xfId="0" applyFont="1" applyAlignment="1">
      <alignment horizontal="left" vertical="center" wrapText="1"/>
    </xf>
    <xf numFmtId="0" fontId="7" fillId="0" borderId="0" xfId="0" applyFont="1" applyAlignment="1">
      <alignment horizontal="center" vertical="center"/>
    </xf>
    <xf numFmtId="0" fontId="5" fillId="2" borderId="0" xfId="0" applyFont="1" applyFill="1" applyAlignment="1">
      <alignment horizontal="center" vertical="center"/>
    </xf>
    <xf numFmtId="164" fontId="2" fillId="0" borderId="0" xfId="0" applyNumberFormat="1" applyFont="1" applyAlignment="1">
      <alignment horizontal="center" vertical="center"/>
    </xf>
    <xf numFmtId="0" fontId="2" fillId="2" borderId="0" xfId="0" applyFont="1" applyFill="1" applyAlignment="1" applyProtection="1">
      <alignment horizontal="center" vertical="center"/>
      <protection locked="0"/>
    </xf>
    <xf numFmtId="0" fontId="14" fillId="3" borderId="58" xfId="0" applyFont="1" applyFill="1" applyBorder="1" applyAlignment="1">
      <alignment horizontal="center" vertical="center"/>
    </xf>
    <xf numFmtId="0" fontId="14" fillId="3" borderId="64" xfId="0" applyFont="1" applyFill="1" applyBorder="1" applyAlignment="1">
      <alignment horizontal="center" vertical="center"/>
    </xf>
    <xf numFmtId="0" fontId="2" fillId="0" borderId="59" xfId="0" applyFont="1" applyBorder="1" applyAlignment="1">
      <alignment horizontal="center" vertical="center"/>
    </xf>
    <xf numFmtId="0" fontId="3" fillId="3" borderId="7" xfId="0" applyFont="1" applyFill="1" applyBorder="1" applyAlignment="1">
      <alignment horizontal="center" vertical="center"/>
    </xf>
    <xf numFmtId="0" fontId="2" fillId="0" borderId="60" xfId="0" applyFont="1" applyBorder="1" applyAlignment="1">
      <alignment horizontal="center" vertical="center"/>
    </xf>
    <xf numFmtId="0" fontId="2" fillId="0" borderId="62" xfId="0" applyFont="1" applyBorder="1" applyAlignment="1">
      <alignment horizontal="center" vertical="center"/>
    </xf>
    <xf numFmtId="0" fontId="2" fillId="0" borderId="65" xfId="0" applyFont="1" applyBorder="1" applyAlignment="1">
      <alignment horizontal="center" vertical="center"/>
    </xf>
    <xf numFmtId="0" fontId="14" fillId="3" borderId="6" xfId="0" applyFont="1" applyFill="1" applyBorder="1" applyAlignment="1">
      <alignment horizontal="center" vertical="center"/>
    </xf>
    <xf numFmtId="0" fontId="2" fillId="4" borderId="0" xfId="0" applyFont="1" applyFill="1" applyAlignment="1">
      <alignment horizontal="center" vertical="center"/>
    </xf>
    <xf numFmtId="0" fontId="14" fillId="3" borderId="66" xfId="0" applyFont="1" applyFill="1" applyBorder="1" applyAlignment="1">
      <alignment horizontal="center" vertical="center" wrapText="1"/>
    </xf>
    <xf numFmtId="0" fontId="3" fillId="3" borderId="2" xfId="0" applyFont="1" applyFill="1" applyBorder="1" applyAlignment="1">
      <alignment horizontal="center" vertical="center"/>
    </xf>
    <xf numFmtId="0" fontId="14" fillId="0" borderId="3" xfId="0" applyFont="1" applyBorder="1" applyAlignment="1">
      <alignment vertical="center"/>
    </xf>
    <xf numFmtId="0" fontId="14" fillId="3" borderId="29" xfId="0" applyFont="1" applyFill="1" applyBorder="1" applyAlignment="1">
      <alignment vertical="center" wrapText="1"/>
    </xf>
    <xf numFmtId="0" fontId="9" fillId="4" borderId="0" xfId="0" applyFont="1" applyFill="1" applyAlignment="1">
      <alignment vertical="center" wrapText="1"/>
    </xf>
    <xf numFmtId="0" fontId="14" fillId="3" borderId="64" xfId="0" applyFont="1" applyFill="1" applyBorder="1" applyAlignment="1">
      <alignment horizontal="center" vertical="center" wrapText="1"/>
    </xf>
    <xf numFmtId="0" fontId="2" fillId="0" borderId="67" xfId="0" applyFont="1" applyBorder="1" applyAlignment="1">
      <alignment horizontal="center" vertical="center"/>
    </xf>
    <xf numFmtId="0" fontId="2" fillId="0" borderId="68" xfId="0" applyFont="1" applyBorder="1" applyAlignment="1">
      <alignment horizontal="center" vertical="center"/>
    </xf>
    <xf numFmtId="0" fontId="2" fillId="0" borderId="69" xfId="0" applyFont="1" applyBorder="1" applyAlignment="1">
      <alignment horizontal="center" vertical="center"/>
    </xf>
    <xf numFmtId="0" fontId="14" fillId="3" borderId="6" xfId="0" applyFont="1" applyFill="1" applyBorder="1" applyAlignment="1">
      <alignment horizontal="center" vertical="center" wrapText="1"/>
    </xf>
    <xf numFmtId="0" fontId="2" fillId="0" borderId="70" xfId="0" applyFont="1" applyBorder="1" applyAlignment="1">
      <alignment horizontal="center" vertical="center"/>
    </xf>
    <xf numFmtId="0" fontId="2" fillId="0" borderId="7" xfId="0" applyFont="1" applyBorder="1" applyAlignment="1">
      <alignment horizontal="center" vertical="center"/>
    </xf>
    <xf numFmtId="0" fontId="2" fillId="2" borderId="0" xfId="0" applyFont="1" applyFill="1" applyAlignment="1">
      <alignment horizontal="left" vertical="center" wrapText="1"/>
    </xf>
    <xf numFmtId="0" fontId="23" fillId="3" borderId="0" xfId="0" applyFont="1" applyFill="1" applyAlignment="1">
      <alignment horizontal="center"/>
    </xf>
    <xf numFmtId="0" fontId="2" fillId="2" borderId="0" xfId="0" applyFont="1" applyFill="1" applyAlignment="1">
      <alignment horizontal="center"/>
    </xf>
    <xf numFmtId="10" fontId="2" fillId="2" borderId="0" xfId="1" applyNumberFormat="1" applyFont="1" applyFill="1" applyAlignment="1" applyProtection="1">
      <alignment horizontal="center"/>
    </xf>
    <xf numFmtId="10" fontId="2" fillId="2" borderId="0" xfId="1" applyNumberFormat="1" applyFont="1" applyFill="1" applyAlignment="1" applyProtection="1">
      <alignment horizontal="right" vertical="center"/>
    </xf>
    <xf numFmtId="0" fontId="2" fillId="2" borderId="0" xfId="0" applyFont="1" applyFill="1" applyAlignment="1">
      <alignment horizontal="right"/>
    </xf>
    <xf numFmtId="0" fontId="2" fillId="2" borderId="2" xfId="0" applyFont="1" applyFill="1" applyBorder="1"/>
    <xf numFmtId="10" fontId="2" fillId="2" borderId="3" xfId="1" applyNumberFormat="1" applyFont="1" applyFill="1" applyBorder="1" applyAlignment="1" applyProtection="1">
      <alignment horizontal="center"/>
    </xf>
    <xf numFmtId="0" fontId="2" fillId="2" borderId="0" xfId="1" applyNumberFormat="1" applyFont="1" applyFill="1" applyBorder="1" applyAlignment="1" applyProtection="1">
      <alignment horizontal="center" vertical="center"/>
    </xf>
    <xf numFmtId="10" fontId="2" fillId="2" borderId="0" xfId="1" applyNumberFormat="1" applyFont="1" applyFill="1" applyAlignment="1" applyProtection="1">
      <alignment horizontal="center" vertical="center"/>
    </xf>
    <xf numFmtId="10" fontId="6" fillId="2" borderId="3" xfId="1" applyNumberFormat="1" applyFont="1" applyFill="1" applyBorder="1" applyAlignment="1" applyProtection="1">
      <alignment horizontal="center" vertical="center"/>
    </xf>
    <xf numFmtId="165" fontId="10" fillId="2" borderId="3" xfId="1" applyNumberFormat="1" applyFont="1" applyFill="1" applyBorder="1" applyAlignment="1" applyProtection="1">
      <alignment horizontal="center" vertical="center"/>
    </xf>
    <xf numFmtId="10" fontId="10" fillId="2" borderId="3" xfId="1" applyNumberFormat="1" applyFont="1" applyFill="1" applyBorder="1" applyAlignment="1" applyProtection="1">
      <alignment horizontal="center" vertical="center"/>
    </xf>
    <xf numFmtId="0" fontId="22" fillId="0" borderId="61" xfId="0" applyFont="1" applyBorder="1" applyAlignment="1" applyProtection="1">
      <alignment horizontal="center" vertical="center"/>
      <protection locked="0"/>
    </xf>
    <xf numFmtId="0" fontId="2" fillId="0" borderId="61" xfId="0" applyFont="1" applyBorder="1" applyAlignment="1" applyProtection="1">
      <alignment horizontal="center" vertical="center"/>
      <protection locked="0"/>
    </xf>
    <xf numFmtId="0" fontId="20" fillId="0" borderId="61" xfId="0" applyFont="1" applyBorder="1" applyAlignment="1" applyProtection="1">
      <alignment horizontal="center" vertical="center"/>
      <protection locked="0"/>
    </xf>
    <xf numFmtId="0" fontId="2" fillId="0" borderId="63" xfId="0" applyFont="1" applyBorder="1" applyAlignment="1" applyProtection="1">
      <alignment horizontal="center" vertical="center"/>
      <protection locked="0"/>
    </xf>
    <xf numFmtId="0" fontId="21" fillId="0" borderId="32" xfId="0" applyFont="1"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8" fillId="2" borderId="0" xfId="0" applyFont="1" applyFill="1" applyAlignment="1" applyProtection="1">
      <alignment horizontal="center" vertical="center"/>
      <protection locked="0"/>
    </xf>
    <xf numFmtId="0" fontId="8" fillId="2" borderId="0" xfId="0" applyFont="1" applyFill="1" applyAlignment="1" applyProtection="1">
      <alignment horizontal="left" vertical="center" wrapText="1"/>
      <protection locked="0"/>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0" fillId="0" borderId="0" xfId="0" applyAlignment="1" applyProtection="1">
      <alignment horizontal="center"/>
      <protection locked="0"/>
    </xf>
    <xf numFmtId="0" fontId="0" fillId="0" borderId="0" xfId="0" applyProtection="1">
      <protection locked="0"/>
    </xf>
    <xf numFmtId="0" fontId="2" fillId="2" borderId="0" xfId="0" applyFont="1" applyFill="1" applyAlignment="1">
      <alignment horizontal="center" vertical="center"/>
    </xf>
    <xf numFmtId="0" fontId="3" fillId="2" borderId="0" xfId="0" applyFont="1" applyFill="1" applyAlignment="1">
      <alignment horizontal="center" vertical="center"/>
    </xf>
    <xf numFmtId="0" fontId="5" fillId="3" borderId="0" xfId="0" applyFont="1" applyFill="1" applyAlignment="1">
      <alignment horizontal="center" vertical="center"/>
    </xf>
    <xf numFmtId="0" fontId="2" fillId="3" borderId="0" xfId="0" applyFont="1" applyFill="1" applyAlignment="1">
      <alignment horizontal="center" vertical="center"/>
    </xf>
    <xf numFmtId="0" fontId="2" fillId="2" borderId="7" xfId="0" applyFont="1" applyFill="1" applyBorder="1" applyAlignment="1">
      <alignment horizontal="center" vertical="center"/>
    </xf>
    <xf numFmtId="10" fontId="2" fillId="2" borderId="2" xfId="1" applyNumberFormat="1" applyFont="1" applyFill="1" applyBorder="1" applyAlignment="1">
      <alignment horizontal="center" vertical="center"/>
    </xf>
    <xf numFmtId="10" fontId="2" fillId="2" borderId="3" xfId="1" applyNumberFormat="1" applyFont="1" applyFill="1" applyBorder="1" applyAlignment="1">
      <alignment horizontal="center" vertical="center"/>
    </xf>
    <xf numFmtId="10" fontId="11" fillId="2" borderId="12" xfId="1" applyNumberFormat="1" applyFont="1" applyFill="1" applyBorder="1" applyAlignment="1">
      <alignment horizontal="center" vertical="center"/>
    </xf>
    <xf numFmtId="10" fontId="2" fillId="2" borderId="13" xfId="1" applyNumberFormat="1" applyFont="1" applyFill="1" applyBorder="1" applyAlignment="1">
      <alignment horizontal="center" vertical="center"/>
    </xf>
    <xf numFmtId="10" fontId="2" fillId="2" borderId="14" xfId="1" applyNumberFormat="1" applyFont="1" applyFill="1" applyBorder="1" applyAlignment="1">
      <alignment horizontal="center" vertical="center"/>
    </xf>
    <xf numFmtId="0" fontId="5" fillId="2" borderId="0" xfId="0" applyFont="1" applyFill="1" applyAlignment="1">
      <alignment horizontal="center" vertical="center"/>
    </xf>
    <xf numFmtId="0" fontId="2" fillId="2" borderId="0" xfId="0" applyFont="1" applyFill="1" applyAlignment="1">
      <alignment horizontal="center" vertical="center" textRotation="90"/>
    </xf>
    <xf numFmtId="0" fontId="16" fillId="3" borderId="0" xfId="0" applyFont="1" applyFill="1" applyAlignment="1">
      <alignment horizontal="center" vertical="center"/>
    </xf>
    <xf numFmtId="0" fontId="18" fillId="3" borderId="0" xfId="0" applyFont="1" applyFill="1" applyAlignment="1">
      <alignment horizontal="center" vertical="center"/>
    </xf>
    <xf numFmtId="0" fontId="15" fillId="2" borderId="0" xfId="0" applyFont="1" applyFill="1" applyAlignment="1">
      <alignment horizontal="center" vertical="center"/>
    </xf>
    <xf numFmtId="0" fontId="3" fillId="3" borderId="0" xfId="0" applyFont="1" applyFill="1" applyAlignment="1">
      <alignment horizontal="center" vertical="center"/>
    </xf>
    <xf numFmtId="0" fontId="2" fillId="2" borderId="0" xfId="0" applyFont="1" applyFill="1" applyAlignment="1">
      <alignment horizontal="left" wrapText="1"/>
    </xf>
    <xf numFmtId="0" fontId="2" fillId="2" borderId="0" xfId="0" applyFont="1" applyFill="1" applyAlignment="1">
      <alignment horizontal="center"/>
    </xf>
    <xf numFmtId="10" fontId="2" fillId="2" borderId="18" xfId="1" applyNumberFormat="1" applyFont="1" applyFill="1" applyBorder="1" applyAlignment="1" applyProtection="1">
      <alignment horizontal="center" vertical="center"/>
    </xf>
    <xf numFmtId="10" fontId="2" fillId="2" borderId="20" xfId="1" applyNumberFormat="1" applyFont="1" applyFill="1" applyBorder="1" applyAlignment="1" applyProtection="1">
      <alignment horizontal="center" vertical="center"/>
    </xf>
    <xf numFmtId="10" fontId="2" fillId="2" borderId="15" xfId="1" applyNumberFormat="1" applyFont="1" applyFill="1" applyBorder="1" applyAlignment="1" applyProtection="1">
      <alignment horizontal="center" vertical="center"/>
    </xf>
    <xf numFmtId="10" fontId="2" fillId="2" borderId="17" xfId="1" applyNumberFormat="1" applyFont="1" applyFill="1" applyBorder="1" applyAlignment="1" applyProtection="1">
      <alignment horizontal="center" vertical="center"/>
    </xf>
    <xf numFmtId="10" fontId="2" fillId="2" borderId="19" xfId="1" applyNumberFormat="1" applyFont="1" applyFill="1" applyBorder="1" applyAlignment="1" applyProtection="1">
      <alignment horizontal="center" vertical="center"/>
    </xf>
    <xf numFmtId="0" fontId="2" fillId="2" borderId="2" xfId="0" applyFont="1" applyFill="1" applyBorder="1" applyAlignment="1">
      <alignment horizontal="left" vertical="center" indent="5"/>
    </xf>
    <xf numFmtId="0" fontId="2" fillId="2" borderId="6" xfId="0" applyFont="1" applyFill="1" applyBorder="1" applyAlignment="1">
      <alignment horizontal="left" vertical="center" indent="5"/>
    </xf>
    <xf numFmtId="0" fontId="2" fillId="2" borderId="7" xfId="0" applyFont="1" applyFill="1" applyBorder="1" applyAlignment="1">
      <alignment horizontal="left" vertical="center" indent="2"/>
    </xf>
    <xf numFmtId="0" fontId="2" fillId="2" borderId="5" xfId="0" applyFont="1" applyFill="1" applyBorder="1" applyAlignment="1">
      <alignment horizontal="left" vertical="center" indent="2"/>
    </xf>
    <xf numFmtId="0" fontId="2" fillId="2" borderId="0" xfId="0" applyFont="1" applyFill="1" applyAlignment="1">
      <alignment horizontal="left" vertical="center" indent="2"/>
    </xf>
    <xf numFmtId="0" fontId="2" fillId="2" borderId="4" xfId="0" applyFont="1" applyFill="1" applyBorder="1" applyAlignment="1">
      <alignment horizontal="left" vertical="center" indent="2"/>
    </xf>
    <xf numFmtId="10" fontId="2" fillId="2" borderId="23" xfId="1" applyNumberFormat="1" applyFont="1" applyFill="1" applyBorder="1" applyAlignment="1" applyProtection="1">
      <alignment horizontal="center" vertical="center"/>
    </xf>
    <xf numFmtId="10" fontId="2" fillId="2" borderId="24" xfId="1" applyNumberFormat="1" applyFont="1" applyFill="1" applyBorder="1" applyAlignment="1" applyProtection="1">
      <alignment horizontal="center" vertical="center"/>
    </xf>
    <xf numFmtId="10" fontId="2" fillId="2" borderId="21" xfId="1" applyNumberFormat="1" applyFont="1" applyFill="1" applyBorder="1" applyAlignment="1" applyProtection="1">
      <alignment horizontal="center" vertical="center"/>
    </xf>
    <xf numFmtId="10" fontId="2" fillId="2" borderId="22" xfId="1" applyNumberFormat="1" applyFont="1" applyFill="1" applyBorder="1" applyAlignment="1" applyProtection="1">
      <alignment horizontal="center" vertical="center"/>
    </xf>
    <xf numFmtId="10" fontId="2" fillId="2" borderId="16" xfId="1" applyNumberFormat="1" applyFont="1" applyFill="1" applyBorder="1" applyAlignment="1" applyProtection="1">
      <alignment horizontal="center" vertical="center"/>
    </xf>
    <xf numFmtId="0" fontId="2" fillId="3" borderId="30" xfId="0" applyFont="1" applyFill="1" applyBorder="1" applyAlignment="1">
      <alignment horizontal="center" vertical="center"/>
    </xf>
    <xf numFmtId="0" fontId="2" fillId="3" borderId="31" xfId="0" applyFont="1" applyFill="1" applyBorder="1" applyAlignment="1">
      <alignment horizontal="center" vertical="center"/>
    </xf>
    <xf numFmtId="0" fontId="2" fillId="3" borderId="32" xfId="0" applyFont="1" applyFill="1" applyBorder="1" applyAlignment="1">
      <alignment horizontal="center" vertical="center"/>
    </xf>
    <xf numFmtId="0" fontId="5" fillId="3" borderId="2" xfId="0" applyFont="1" applyFill="1" applyBorder="1" applyAlignment="1" applyProtection="1">
      <alignment horizontal="center" vertical="center"/>
      <protection locked="0"/>
    </xf>
    <xf numFmtId="0" fontId="5" fillId="3" borderId="6" xfId="0" applyFont="1" applyFill="1" applyBorder="1" applyAlignment="1" applyProtection="1">
      <alignment horizontal="center" vertical="center"/>
      <protection locked="0"/>
    </xf>
    <xf numFmtId="0" fontId="5" fillId="3" borderId="3" xfId="0" applyFont="1" applyFill="1" applyBorder="1" applyAlignment="1" applyProtection="1">
      <alignment horizontal="center" vertical="center"/>
      <protection locked="0"/>
    </xf>
    <xf numFmtId="0" fontId="5" fillId="3" borderId="46" xfId="0" applyFont="1" applyFill="1" applyBorder="1" applyAlignment="1">
      <alignment horizontal="center" vertical="center"/>
    </xf>
    <xf numFmtId="0" fontId="5" fillId="3" borderId="42"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54" xfId="0" applyFont="1" applyFill="1" applyBorder="1" applyAlignment="1">
      <alignment horizontal="center" vertical="center"/>
    </xf>
    <xf numFmtId="0" fontId="5" fillId="3" borderId="41" xfId="0" applyFont="1" applyFill="1" applyBorder="1" applyAlignment="1">
      <alignment horizontal="center" vertical="center"/>
    </xf>
    <xf numFmtId="0" fontId="5" fillId="3" borderId="53" xfId="0" applyFont="1" applyFill="1" applyBorder="1" applyAlignment="1">
      <alignment horizontal="center" vertical="center"/>
    </xf>
    <xf numFmtId="0" fontId="5" fillId="3" borderId="40" xfId="0" applyFont="1" applyFill="1" applyBorder="1" applyAlignment="1">
      <alignment horizontal="center" vertical="center"/>
    </xf>
    <xf numFmtId="0" fontId="5" fillId="3" borderId="8" xfId="0" applyFont="1" applyFill="1" applyBorder="1" applyAlignment="1">
      <alignment horizontal="center" vertical="center"/>
    </xf>
    <xf numFmtId="0" fontId="5" fillId="3" borderId="39"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3"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4" xfId="0" applyFont="1" applyFill="1" applyBorder="1" applyAlignment="1">
      <alignment horizontal="center" vertical="center"/>
    </xf>
    <xf numFmtId="0" fontId="2" fillId="2" borderId="37" xfId="0" applyFont="1" applyFill="1" applyBorder="1" applyAlignment="1">
      <alignment horizontal="left" vertical="center" wrapText="1"/>
    </xf>
    <xf numFmtId="0" fontId="2" fillId="2" borderId="38"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33" xfId="0" applyFont="1" applyFill="1" applyBorder="1" applyAlignment="1">
      <alignment horizontal="left" vertical="center" wrapText="1"/>
    </xf>
    <xf numFmtId="0" fontId="9" fillId="3" borderId="50" xfId="0" applyFont="1" applyFill="1" applyBorder="1" applyAlignment="1">
      <alignment horizontal="center" vertical="center"/>
    </xf>
    <xf numFmtId="0" fontId="9" fillId="3" borderId="51" xfId="0" applyFont="1" applyFill="1" applyBorder="1" applyAlignment="1">
      <alignment horizontal="center" vertical="center"/>
    </xf>
    <xf numFmtId="0" fontId="9" fillId="3" borderId="52" xfId="0" applyFont="1" applyFill="1" applyBorder="1" applyAlignment="1">
      <alignment horizontal="center" vertical="center"/>
    </xf>
    <xf numFmtId="0" fontId="2" fillId="2" borderId="10" xfId="0" applyFont="1" applyFill="1" applyBorder="1" applyAlignment="1">
      <alignment horizontal="left" vertical="center" wrapText="1"/>
    </xf>
    <xf numFmtId="0" fontId="2" fillId="2" borderId="28" xfId="0" applyFont="1" applyFill="1" applyBorder="1" applyAlignment="1">
      <alignment horizontal="left" vertical="center" wrapText="1"/>
    </xf>
    <xf numFmtId="0" fontId="2" fillId="2" borderId="35" xfId="0" applyFont="1" applyFill="1" applyBorder="1" applyAlignment="1">
      <alignment horizontal="left" vertical="center" wrapText="1"/>
    </xf>
    <xf numFmtId="0" fontId="2" fillId="2" borderId="36" xfId="0" applyFont="1" applyFill="1" applyBorder="1" applyAlignment="1">
      <alignment horizontal="left" vertical="center" wrapText="1"/>
    </xf>
    <xf numFmtId="0" fontId="2" fillId="2" borderId="25" xfId="0" applyFont="1" applyFill="1" applyBorder="1" applyAlignment="1">
      <alignment horizontal="left" vertical="center" wrapText="1"/>
    </xf>
    <xf numFmtId="0" fontId="2" fillId="2" borderId="26" xfId="0" applyFont="1" applyFill="1" applyBorder="1" applyAlignment="1">
      <alignment horizontal="left" vertical="center" wrapText="1"/>
    </xf>
    <xf numFmtId="0" fontId="2" fillId="2" borderId="9" xfId="0" applyFont="1" applyFill="1" applyBorder="1" applyAlignment="1">
      <alignment horizontal="left" vertical="center" wrapText="1"/>
    </xf>
    <xf numFmtId="0" fontId="2" fillId="2" borderId="27"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2" borderId="29" xfId="0" applyFont="1" applyFill="1" applyBorder="1" applyAlignment="1">
      <alignment horizontal="left" vertical="center" wrapText="1"/>
    </xf>
    <xf numFmtId="0" fontId="5" fillId="3" borderId="2"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3" xfId="0" applyFont="1" applyFill="1" applyBorder="1" applyAlignment="1">
      <alignment horizontal="center" vertical="center"/>
    </xf>
    <xf numFmtId="0" fontId="9" fillId="3" borderId="6" xfId="0" applyFont="1" applyFill="1" applyBorder="1" applyAlignment="1">
      <alignment horizontal="center" vertical="center"/>
    </xf>
    <xf numFmtId="0" fontId="9" fillId="3" borderId="3" xfId="0" applyFont="1" applyFill="1" applyBorder="1" applyAlignment="1">
      <alignment horizontal="center" vertical="center"/>
    </xf>
    <xf numFmtId="0" fontId="9" fillId="0" borderId="2" xfId="0" applyFont="1" applyBorder="1" applyAlignment="1">
      <alignment horizontal="right" vertical="center"/>
    </xf>
    <xf numFmtId="0" fontId="9" fillId="0" borderId="6" xfId="0" applyFont="1" applyBorder="1" applyAlignment="1">
      <alignment horizontal="right" vertical="center"/>
    </xf>
    <xf numFmtId="0" fontId="9" fillId="0" borderId="3" xfId="0" applyFont="1" applyBorder="1" applyAlignment="1">
      <alignment horizontal="right" vertical="center"/>
    </xf>
    <xf numFmtId="0" fontId="17" fillId="3" borderId="0" xfId="0" applyFont="1" applyFill="1" applyAlignment="1">
      <alignment horizontal="center" vertical="center"/>
    </xf>
    <xf numFmtId="0" fontId="5" fillId="3" borderId="71"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73" xfId="0" applyFont="1" applyFill="1" applyBorder="1" applyAlignment="1">
      <alignment horizontal="center" vertical="center"/>
    </xf>
    <xf numFmtId="0" fontId="0" fillId="0" borderId="0" xfId="0" applyNumberFormat="1" applyProtection="1">
      <protection locked="0"/>
    </xf>
    <xf numFmtId="0" fontId="0" fillId="0" borderId="0" xfId="0" applyProtection="1"/>
    <xf numFmtId="0" fontId="8" fillId="2" borderId="0" xfId="0" applyFont="1" applyFill="1" applyAlignment="1" applyProtection="1">
      <alignment horizontal="center" vertical="center"/>
    </xf>
    <xf numFmtId="0" fontId="8" fillId="2" borderId="0" xfId="0" applyFont="1" applyFill="1" applyAlignment="1" applyProtection="1">
      <alignment horizontal="left" vertical="center"/>
    </xf>
    <xf numFmtId="0" fontId="0" fillId="0" borderId="0" xfId="0" applyNumberFormat="1" applyProtection="1"/>
    <xf numFmtId="0" fontId="8" fillId="2" borderId="0" xfId="0" applyNumberFormat="1" applyFont="1" applyFill="1" applyAlignment="1" applyProtection="1">
      <alignment horizontal="center" vertical="center"/>
    </xf>
    <xf numFmtId="0" fontId="8" fillId="2" borderId="0" xfId="0" applyNumberFormat="1" applyFont="1" applyFill="1" applyAlignment="1" applyProtection="1">
      <alignment horizontal="left" vertical="center" wrapText="1"/>
    </xf>
  </cellXfs>
  <cellStyles count="2">
    <cellStyle name="Normal" xfId="0" builtinId="0"/>
    <cellStyle name="Porcentaje" xfId="1" builtinId="5"/>
  </cellStyles>
  <dxfs count="136">
    <dxf>
      <font>
        <sz val="10.5"/>
        <name val="Abadi Extra Light"/>
        <family val="2"/>
        <scheme val="none"/>
      </font>
      <numFmt numFmtId="0" formatCode="General"/>
      <fill>
        <patternFill patternType="solid">
          <fgColor indexed="64"/>
          <bgColor theme="0"/>
        </patternFill>
      </fill>
      <alignment horizontal="left" vertical="center" textRotation="0" wrapText="1" indent="0" justifyLastLine="0" shrinkToFit="0" readingOrder="0"/>
      <protection locked="1" hidden="0"/>
    </dxf>
    <dxf>
      <font>
        <sz val="10.5"/>
        <name val="Abadi Extra Light"/>
        <family val="2"/>
        <scheme val="none"/>
      </font>
      <numFmt numFmtId="0" formatCode="General"/>
      <fill>
        <patternFill patternType="solid">
          <fgColor indexed="64"/>
          <bgColor theme="0"/>
        </patternFill>
      </fill>
      <alignment horizontal="center" vertical="center" textRotation="0" wrapText="0" indent="0" justifyLastLine="0" shrinkToFit="0" readingOrder="0"/>
      <protection locked="1" hidden="0"/>
    </dxf>
    <dxf>
      <numFmt numFmtId="0" formatCode="General"/>
      <protection locked="1" hidden="0"/>
    </dxf>
    <dxf>
      <numFmt numFmtId="0" formatCode="General"/>
      <protection locked="0" hidden="0"/>
    </dxf>
    <dxf>
      <alignment horizontal="center" vertical="bottom" textRotation="0" wrapText="0" indent="0" justifyLastLine="0" shrinkToFit="0" readingOrder="0"/>
      <protection locked="0" hidden="0"/>
    </dxf>
    <dxf>
      <fill>
        <patternFill>
          <bgColor theme="7" tint="0.79998168889431442"/>
        </patternFill>
      </fill>
    </dxf>
    <dxf>
      <fill>
        <patternFill>
          <bgColor rgb="FFEDE2F6"/>
        </patternFill>
      </fill>
    </dxf>
    <dxf>
      <fill>
        <patternFill>
          <bgColor rgb="FF00CC00"/>
        </patternFill>
      </fill>
    </dxf>
    <dxf>
      <fill>
        <patternFill>
          <bgColor rgb="FF99FF33"/>
        </patternFill>
      </fill>
    </dxf>
    <dxf>
      <fill>
        <patternFill>
          <bgColor rgb="FF92D050"/>
        </patternFill>
      </fill>
    </dxf>
    <dxf>
      <fill>
        <patternFill>
          <bgColor rgb="FFBDD7EE"/>
        </patternFill>
      </fill>
    </dxf>
    <dxf>
      <fill>
        <patternFill>
          <bgColor rgb="FF75C4FF"/>
        </patternFill>
      </fill>
    </dxf>
    <dxf>
      <font>
        <color rgb="FFFFFFFF"/>
      </font>
      <fill>
        <patternFill>
          <bgColor rgb="FF002060"/>
        </patternFill>
      </fill>
    </dxf>
    <dxf>
      <font>
        <color theme="0"/>
      </font>
      <fill>
        <patternFill>
          <bgColor rgb="FF325EEA"/>
        </patternFill>
      </fill>
    </dxf>
    <dxf>
      <font>
        <color theme="0"/>
      </font>
      <fill>
        <patternFill>
          <bgColor rgb="FF009900"/>
        </patternFill>
      </fill>
    </dxf>
    <dxf>
      <fill>
        <patternFill>
          <bgColor rgb="FF99FF99"/>
        </patternFill>
      </fill>
    </dxf>
    <dxf>
      <fill>
        <patternFill>
          <bgColor rgb="FFFFCCCC"/>
        </patternFill>
      </fill>
    </dxf>
    <dxf>
      <fill>
        <patternFill>
          <bgColor rgb="FFFF0000"/>
        </patternFill>
      </fill>
    </dxf>
    <dxf>
      <fill>
        <patternFill>
          <bgColor rgb="FFFF9966"/>
        </patternFill>
      </fill>
    </dxf>
    <dxf>
      <fill>
        <patternFill>
          <bgColor rgb="FFFF9999"/>
        </patternFill>
      </fill>
    </dxf>
    <dxf>
      <fill>
        <patternFill>
          <bgColor theme="7"/>
        </patternFill>
      </fill>
    </dxf>
    <dxf>
      <fill>
        <patternFill>
          <bgColor rgb="FFFFCCCC"/>
        </patternFill>
      </fill>
    </dxf>
    <dxf>
      <fill>
        <patternFill>
          <bgColor theme="9" tint="0.59996337778862885"/>
        </patternFill>
      </fill>
    </dxf>
    <dxf>
      <fill>
        <patternFill>
          <bgColor theme="8" tint="0.59996337778862885"/>
        </patternFill>
      </fill>
    </dxf>
    <dxf>
      <fill>
        <patternFill>
          <bgColor rgb="FFFFCCFF"/>
        </patternFill>
      </fill>
    </dxf>
    <dxf>
      <fill>
        <patternFill>
          <bgColor rgb="FFCCECFF"/>
        </patternFill>
      </fill>
    </dxf>
    <dxf>
      <fill>
        <patternFill>
          <bgColor rgb="FFFF99CC"/>
        </patternFill>
      </fill>
    </dxf>
    <dxf>
      <fill>
        <patternFill>
          <bgColor rgb="FFFFCCCC"/>
        </patternFill>
      </fill>
    </dxf>
    <dxf>
      <fill>
        <patternFill>
          <bgColor theme="5" tint="0.79998168889431442"/>
        </patternFill>
      </fill>
    </dxf>
    <dxf>
      <fill>
        <patternFill>
          <bgColor theme="7" tint="0.59996337778862885"/>
        </patternFill>
      </fill>
    </dxf>
    <dxf>
      <fill>
        <patternFill>
          <bgColor rgb="FFCCFFCC"/>
        </patternFill>
      </fill>
    </dxf>
    <dxf>
      <fill>
        <patternFill>
          <bgColor rgb="FFCCFFFF"/>
        </patternFill>
      </fill>
    </dxf>
    <dxf>
      <fill>
        <patternFill>
          <bgColor rgb="FF99FFCC"/>
        </patternFill>
      </fill>
    </dxf>
    <dxf>
      <fill>
        <patternFill>
          <bgColor rgb="FFCCFF99"/>
        </patternFill>
      </fill>
    </dxf>
    <dxf>
      <fill>
        <patternFill>
          <bgColor rgb="FF99FFCC"/>
        </patternFill>
      </fill>
    </dxf>
    <dxf>
      <fill>
        <patternFill>
          <bgColor rgb="FFE5FECE"/>
        </patternFill>
      </fill>
    </dxf>
    <dxf>
      <fill>
        <patternFill>
          <bgColor rgb="FFAAEAAA"/>
        </patternFill>
      </fill>
    </dxf>
    <dxf>
      <fill>
        <patternFill>
          <bgColor rgb="FFFDB1CE"/>
        </patternFill>
      </fill>
    </dxf>
    <dxf>
      <fill>
        <patternFill>
          <bgColor theme="7" tint="0.39994506668294322"/>
        </patternFill>
      </fill>
    </dxf>
    <dxf>
      <fill>
        <patternFill>
          <bgColor theme="9" tint="0.39994506668294322"/>
        </patternFill>
      </fill>
    </dxf>
    <dxf>
      <fill>
        <patternFill>
          <bgColor rgb="FFCCCCFF"/>
        </patternFill>
      </fill>
    </dxf>
    <dxf>
      <fill>
        <patternFill>
          <bgColor rgb="FFCCCCFF"/>
        </patternFill>
      </fill>
    </dxf>
    <dxf>
      <fill>
        <patternFill>
          <bgColor theme="9" tint="0.39994506668294322"/>
        </patternFill>
      </fill>
    </dxf>
    <dxf>
      <fill>
        <patternFill>
          <bgColor theme="7" tint="0.39994506668294322"/>
        </patternFill>
      </fill>
    </dxf>
    <dxf>
      <fill>
        <patternFill>
          <bgColor theme="7" tint="0.79998168889431442"/>
        </patternFill>
      </fill>
    </dxf>
    <dxf>
      <fill>
        <patternFill>
          <bgColor rgb="FFEDE2F6"/>
        </patternFill>
      </fill>
    </dxf>
    <dxf>
      <fill>
        <patternFill>
          <bgColor rgb="FFFFCCCC"/>
        </patternFill>
      </fill>
    </dxf>
    <dxf>
      <fill>
        <patternFill>
          <bgColor theme="9" tint="0.59996337778862885"/>
        </patternFill>
      </fill>
    </dxf>
    <dxf>
      <fill>
        <patternFill>
          <bgColor theme="8" tint="0.59996337778862885"/>
        </patternFill>
      </fill>
    </dxf>
    <dxf>
      <fill>
        <patternFill>
          <bgColor rgb="FFFF99CC"/>
        </patternFill>
      </fill>
    </dxf>
    <dxf>
      <fill>
        <patternFill>
          <bgColor rgb="FFCCECFF"/>
        </patternFill>
      </fill>
    </dxf>
    <dxf>
      <fill>
        <patternFill>
          <bgColor rgb="FFFFCCFF"/>
        </patternFill>
      </fill>
    </dxf>
    <dxf>
      <fill>
        <patternFill>
          <bgColor rgb="FF00CC00"/>
        </patternFill>
      </fill>
    </dxf>
    <dxf>
      <fill>
        <patternFill>
          <bgColor rgb="FF99FF33"/>
        </patternFill>
      </fill>
    </dxf>
    <dxf>
      <fill>
        <patternFill>
          <bgColor rgb="FF92D050"/>
        </patternFill>
      </fill>
    </dxf>
    <dxf>
      <fill>
        <patternFill>
          <bgColor rgb="FFBDD7EE"/>
        </patternFill>
      </fill>
    </dxf>
    <dxf>
      <fill>
        <patternFill>
          <bgColor rgb="FF75C4FF"/>
        </patternFill>
      </fill>
    </dxf>
    <dxf>
      <font>
        <color rgb="FFFFFFFF"/>
      </font>
      <fill>
        <patternFill>
          <bgColor rgb="FF002060"/>
        </patternFill>
      </fill>
    </dxf>
    <dxf>
      <font>
        <color theme="0"/>
      </font>
      <fill>
        <patternFill>
          <bgColor rgb="FF325EEA"/>
        </patternFill>
      </fill>
    </dxf>
    <dxf>
      <fill>
        <patternFill>
          <bgColor rgb="FFFF9999"/>
        </patternFill>
      </fill>
    </dxf>
    <dxf>
      <font>
        <color theme="0"/>
      </font>
      <fill>
        <patternFill>
          <bgColor rgb="FF009900"/>
        </patternFill>
      </fill>
    </dxf>
    <dxf>
      <fill>
        <patternFill>
          <bgColor rgb="FF99FF99"/>
        </patternFill>
      </fill>
    </dxf>
    <dxf>
      <fill>
        <patternFill>
          <bgColor rgb="FFFFCCCC"/>
        </patternFill>
      </fill>
    </dxf>
    <dxf>
      <fill>
        <patternFill>
          <bgColor rgb="FFFF0000"/>
        </patternFill>
      </fill>
    </dxf>
    <dxf>
      <fill>
        <patternFill>
          <bgColor rgb="FFFF9966"/>
        </patternFill>
      </fill>
    </dxf>
    <dxf>
      <fill>
        <patternFill>
          <bgColor theme="7"/>
        </patternFill>
      </fill>
    </dxf>
    <dxf>
      <fill>
        <patternFill>
          <bgColor rgb="FFFFCCCC"/>
        </patternFill>
      </fill>
    </dxf>
    <dxf>
      <fill>
        <patternFill>
          <bgColor theme="5" tint="0.79998168889431442"/>
        </patternFill>
      </fill>
    </dxf>
    <dxf>
      <fill>
        <patternFill>
          <bgColor theme="7" tint="0.59996337778862885"/>
        </patternFill>
      </fill>
    </dxf>
    <dxf>
      <fill>
        <patternFill>
          <bgColor rgb="FFCCFFCC"/>
        </patternFill>
      </fill>
    </dxf>
    <dxf>
      <fill>
        <patternFill>
          <bgColor rgb="FFCCFFFF"/>
        </patternFill>
      </fill>
    </dxf>
    <dxf>
      <fill>
        <patternFill>
          <bgColor rgb="FF99FFCC"/>
        </patternFill>
      </fill>
    </dxf>
    <dxf>
      <fill>
        <patternFill>
          <bgColor rgb="FFCCFF99"/>
        </patternFill>
      </fill>
    </dxf>
    <dxf>
      <fill>
        <patternFill>
          <bgColor rgb="FF99FFCC"/>
        </patternFill>
      </fill>
    </dxf>
    <dxf>
      <fill>
        <patternFill>
          <bgColor rgb="FFE5FECE"/>
        </patternFill>
      </fill>
    </dxf>
    <dxf>
      <fill>
        <patternFill>
          <bgColor rgb="FFAAEAAA"/>
        </patternFill>
      </fill>
    </dxf>
    <dxf>
      <fill>
        <patternFill>
          <bgColor rgb="FFFDB1CE"/>
        </patternFill>
      </fill>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badi Extra Light"/>
        <family val="2"/>
        <scheme val="none"/>
      </font>
      <numFmt numFmtId="164" formatCode="[$-F400]h:mm:ss\ AM/PM"/>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1"/>
        <color rgb="FF5F2987"/>
        <name val="Abadi Extra Light"/>
        <family val="2"/>
        <scheme val="none"/>
      </font>
      <fill>
        <patternFill patternType="solid">
          <fgColor indexed="64"/>
          <bgColor theme="0"/>
        </patternFill>
      </fill>
      <alignment horizontal="center" vertical="center" textRotation="0" wrapText="0" indent="0" justifyLastLine="0" shrinkToFit="0" readingOrder="0"/>
      <protection locked="1" hidden="0"/>
    </dxf>
    <dxf>
      <fill>
        <patternFill>
          <bgColor rgb="FFCCECFF"/>
        </patternFill>
      </fill>
    </dxf>
    <dxf>
      <font>
        <color auto="1"/>
      </font>
      <fill>
        <patternFill>
          <bgColor rgb="FFCCFFFF"/>
        </patternFill>
      </fill>
    </dxf>
    <dxf>
      <fill>
        <patternFill>
          <bgColor rgb="FFCCFFCC"/>
        </patternFill>
      </fill>
    </dxf>
    <dxf>
      <fill>
        <patternFill>
          <bgColor rgb="FFFF9999"/>
        </patternFill>
      </fill>
    </dxf>
    <dxf>
      <fill>
        <patternFill>
          <bgColor theme="7" tint="0.79998168889431442"/>
        </patternFill>
      </fill>
    </dxf>
    <dxf>
      <fill>
        <patternFill>
          <bgColor rgb="FFFFCCFF"/>
        </patternFill>
      </fill>
    </dxf>
    <dxf>
      <fill>
        <patternFill>
          <bgColor rgb="FFCCECFF"/>
        </patternFill>
      </fill>
    </dxf>
    <dxf>
      <fill>
        <patternFill>
          <bgColor rgb="FFCCECFF"/>
        </patternFill>
      </fill>
    </dxf>
    <dxf>
      <protection locked="0" hidden="0"/>
    </dxf>
    <dxf>
      <alignment horizontal="center" vertical="bottom" textRotation="0" wrapText="0" indent="0" justifyLastLine="0" shrinkToFit="0" readingOrder="0"/>
      <protection locked="0" hidden="0"/>
    </dxf>
    <dxf>
      <protection locked="0" hidden="0"/>
    </dxf>
    <dxf>
      <font>
        <b/>
        <strike val="0"/>
        <outline val="0"/>
        <shadow val="0"/>
        <u val="none"/>
        <vertAlign val="baseline"/>
        <sz val="11"/>
        <color rgb="FF5F2987"/>
        <name val="Calibri"/>
        <family val="2"/>
        <scheme val="minor"/>
      </font>
      <fill>
        <patternFill patternType="solid">
          <fgColor indexed="64"/>
          <bgColor theme="9" tint="0.79998168889431442"/>
        </patternFill>
      </fill>
      <alignment horizontal="center" vertical="bottom" textRotation="0" wrapText="0" indent="0" justifyLastLine="0" shrinkToFit="0"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name val="Abadi Extra Light"/>
        <scheme val="none"/>
      </font>
    </dxf>
    <dxf>
      <font>
        <b val="0"/>
        <i val="0"/>
        <strike val="0"/>
        <condense val="0"/>
        <extend val="0"/>
        <outline val="0"/>
        <shadow val="0"/>
        <u val="none"/>
        <vertAlign val="baseline"/>
        <sz val="10.5"/>
        <color theme="1"/>
        <name val="Abadi Extra Light"/>
        <family val="2"/>
        <scheme val="none"/>
      </font>
      <fill>
        <patternFill patternType="solid">
          <fgColor indexed="64"/>
          <bgColor theme="0"/>
        </patternFill>
      </fill>
      <alignment horizontal="left" vertical="center" textRotation="0" wrapText="1" indent="0" justifyLastLine="0" shrinkToFit="0" readingOrder="0"/>
    </dxf>
    <dxf>
      <font>
        <b val="0"/>
        <i val="0"/>
        <strike val="0"/>
        <condense val="0"/>
        <extend val="0"/>
        <outline val="0"/>
        <shadow val="0"/>
        <u val="none"/>
        <vertAlign val="baseline"/>
        <sz val="10.5"/>
        <color theme="1"/>
        <name val="Abadi Extra Light"/>
        <family val="2"/>
        <scheme val="none"/>
      </font>
      <fill>
        <patternFill patternType="solid">
          <fgColor indexed="64"/>
          <bgColor theme="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theme="1"/>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badi Extra Light"/>
        <family val="2"/>
        <scheme val="none"/>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badi Extra Light"/>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badi Extra Light"/>
        <family val="2"/>
        <scheme val="none"/>
      </font>
      <fill>
        <patternFill patternType="solid">
          <fgColor indexed="64"/>
          <bgColor theme="0"/>
        </patternFill>
      </fill>
      <alignment horizontal="center" vertical="center" textRotation="0" wrapText="0" indent="0" justifyLastLine="0" shrinkToFit="0" readingOrder="0"/>
    </dxf>
    <dxf>
      <border>
        <bottom style="thin">
          <color rgb="FF5F2987"/>
        </bottom>
      </border>
    </dxf>
    <dxf>
      <font>
        <b val="0"/>
        <i val="0"/>
        <strike val="0"/>
        <condense val="0"/>
        <extend val="0"/>
        <outline val="0"/>
        <shadow val="0"/>
        <u val="none"/>
        <vertAlign val="baseline"/>
        <sz val="10"/>
        <color rgb="FF5F2987"/>
        <name val="Abadi Extra Light"/>
        <family val="2"/>
        <scheme val="none"/>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rgb="FF5F2987"/>
        </left>
        <right style="thin">
          <color rgb="FF5F2987"/>
        </right>
        <top/>
        <bottom/>
        <vertical style="thin">
          <color rgb="FF5F2987"/>
        </vertical>
        <horizontal/>
      </border>
    </dxf>
    <dxf>
      <fill>
        <patternFill>
          <bgColor rgb="FF5F2987"/>
        </patternFill>
      </fill>
    </dxf>
    <dxf>
      <fill>
        <patternFill>
          <bgColor rgb="FF5F2987"/>
        </patternFill>
      </fill>
    </dxf>
    <dxf>
      <fill>
        <patternFill>
          <bgColor rgb="FF5F2987"/>
        </patternFill>
      </fill>
    </dxf>
    <dxf>
      <fill>
        <patternFill>
          <bgColor rgb="FF5F2987"/>
        </patternFill>
      </fill>
    </dxf>
    <dxf>
      <fill>
        <patternFill>
          <bgColor rgb="FF5F2987"/>
        </patternFill>
      </fill>
    </dxf>
    <dxf>
      <fill>
        <patternFill>
          <bgColor rgb="FF5F2987"/>
        </patternFill>
      </fill>
    </dxf>
    <dxf>
      <fill>
        <patternFill>
          <bgColor rgb="FF5F2987"/>
        </patternFill>
      </fill>
    </dxf>
    <dxf>
      <fill>
        <patternFill>
          <bgColor rgb="FF5F2987"/>
        </patternFill>
      </fill>
    </dxf>
    <dxf>
      <fill>
        <patternFill>
          <bgColor rgb="FF5F2987"/>
        </patternFill>
      </fill>
    </dxf>
    <dxf>
      <fill>
        <patternFill>
          <bgColor rgb="FF5F2987"/>
        </patternFill>
      </fill>
    </dxf>
    <dxf>
      <font>
        <color rgb="FF9C0006"/>
      </font>
      <fill>
        <patternFill>
          <bgColor rgb="FFFFC7CE"/>
        </patternFill>
      </fill>
    </dxf>
  </dxfs>
  <tableStyles count="1" defaultTableStyle="TableStyleMedium2" defaultPivotStyle="PivotStyleLight16">
    <tableStyle name="Invisible" pivot="0" table="0" count="0" xr9:uid="{B8331187-D6ED-4CCC-80F6-A8CF79862B25}"/>
  </tableStyles>
  <colors>
    <mruColors>
      <color rgb="FFF4B183"/>
      <color rgb="FFFBE5D6"/>
      <color rgb="FFCCCCFF"/>
      <color rgb="FF5F2987"/>
      <color rgb="FFFFCCCC"/>
      <color rgb="FFFF7C80"/>
      <color rgb="FFFDB1CE"/>
      <color rgb="FFAAEAAA"/>
      <color rgb="FFE5FECE"/>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n-GB"/>
              <a:t>Posibilidades. Tercer ejercicio. Parte 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endParaRPr lang="es-ES"/>
        </a:p>
      </c:txPr>
    </c:title>
    <c:autoTitleDeleted val="0"/>
    <c:plotArea>
      <c:layout>
        <c:manualLayout>
          <c:layoutTarget val="inner"/>
          <c:xMode val="edge"/>
          <c:yMode val="edge"/>
          <c:x val="0.14592847769028872"/>
          <c:y val="0.17171296296296296"/>
          <c:w val="0.81084930008748901"/>
          <c:h val="0.6875309857101195"/>
        </c:manualLayout>
      </c:layout>
      <c:scatterChart>
        <c:scatterStyle val="lineMarker"/>
        <c:varyColors val="0"/>
        <c:ser>
          <c:idx val="0"/>
          <c:order val="0"/>
          <c:tx>
            <c:strRef>
              <c:f>'Ej. 3'!$C$14</c:f>
              <c:strCache>
                <c:ptCount val="1"/>
                <c:pt idx="0">
                  <c:v>Posibilidades</c:v>
                </c:pt>
              </c:strCache>
            </c:strRef>
          </c:tx>
          <c:spPr>
            <a:ln w="19050" cap="rnd">
              <a:solidFill>
                <a:schemeClr val="accent1"/>
              </a:solidFill>
              <a:round/>
            </a:ln>
            <a:effectLst/>
          </c:spPr>
          <c:marker>
            <c:symbol val="none"/>
          </c:marker>
          <c:xVal>
            <c:numRef>
              <c:f>'Ej. 3'!$B$16:$B$60</c:f>
              <c:numCache>
                <c:formatCode>General</c:formatCode>
                <c:ptCount val="45"/>
                <c:pt idx="0">
                  <c:v>44</c:v>
                </c:pt>
                <c:pt idx="1">
                  <c:v>43</c:v>
                </c:pt>
                <c:pt idx="2">
                  <c:v>42</c:v>
                </c:pt>
                <c:pt idx="3">
                  <c:v>41</c:v>
                </c:pt>
                <c:pt idx="4">
                  <c:v>40</c:v>
                </c:pt>
                <c:pt idx="5">
                  <c:v>39</c:v>
                </c:pt>
                <c:pt idx="6">
                  <c:v>38</c:v>
                </c:pt>
                <c:pt idx="7">
                  <c:v>37</c:v>
                </c:pt>
                <c:pt idx="8">
                  <c:v>36</c:v>
                </c:pt>
                <c:pt idx="9">
                  <c:v>35</c:v>
                </c:pt>
                <c:pt idx="10">
                  <c:v>34</c:v>
                </c:pt>
                <c:pt idx="11">
                  <c:v>33</c:v>
                </c:pt>
                <c:pt idx="12">
                  <c:v>32</c:v>
                </c:pt>
                <c:pt idx="13">
                  <c:v>31</c:v>
                </c:pt>
                <c:pt idx="14">
                  <c:v>30</c:v>
                </c:pt>
                <c:pt idx="15">
                  <c:v>29</c:v>
                </c:pt>
                <c:pt idx="16">
                  <c:v>28</c:v>
                </c:pt>
                <c:pt idx="17">
                  <c:v>27</c:v>
                </c:pt>
                <c:pt idx="18">
                  <c:v>26</c:v>
                </c:pt>
                <c:pt idx="19">
                  <c:v>25</c:v>
                </c:pt>
                <c:pt idx="20">
                  <c:v>24</c:v>
                </c:pt>
                <c:pt idx="21">
                  <c:v>23</c:v>
                </c:pt>
                <c:pt idx="22">
                  <c:v>22</c:v>
                </c:pt>
                <c:pt idx="23">
                  <c:v>21</c:v>
                </c:pt>
                <c:pt idx="24">
                  <c:v>20</c:v>
                </c:pt>
                <c:pt idx="25">
                  <c:v>19</c:v>
                </c:pt>
                <c:pt idx="26">
                  <c:v>18</c:v>
                </c:pt>
                <c:pt idx="27">
                  <c:v>17</c:v>
                </c:pt>
                <c:pt idx="28">
                  <c:v>16</c:v>
                </c:pt>
                <c:pt idx="29">
                  <c:v>15</c:v>
                </c:pt>
                <c:pt idx="30">
                  <c:v>14</c:v>
                </c:pt>
                <c:pt idx="31">
                  <c:v>13</c:v>
                </c:pt>
                <c:pt idx="32">
                  <c:v>12</c:v>
                </c:pt>
                <c:pt idx="33">
                  <c:v>11</c:v>
                </c:pt>
                <c:pt idx="34">
                  <c:v>10</c:v>
                </c:pt>
                <c:pt idx="35">
                  <c:v>9</c:v>
                </c:pt>
                <c:pt idx="36">
                  <c:v>8</c:v>
                </c:pt>
                <c:pt idx="37">
                  <c:v>7</c:v>
                </c:pt>
                <c:pt idx="38">
                  <c:v>6</c:v>
                </c:pt>
                <c:pt idx="39">
                  <c:v>5</c:v>
                </c:pt>
                <c:pt idx="40">
                  <c:v>4</c:v>
                </c:pt>
                <c:pt idx="41">
                  <c:v>3</c:v>
                </c:pt>
                <c:pt idx="42">
                  <c:v>2</c:v>
                </c:pt>
                <c:pt idx="43">
                  <c:v>1</c:v>
                </c:pt>
                <c:pt idx="44">
                  <c:v>0</c:v>
                </c:pt>
              </c:numCache>
            </c:numRef>
          </c:xVal>
          <c:yVal>
            <c:numRef>
              <c:f>'Ej. 3'!$C$16:$C$60</c:f>
              <c:numCache>
                <c:formatCode>0.00%</c:formatCode>
                <c:ptCount val="45"/>
                <c:pt idx="0">
                  <c:v>1</c:v>
                </c:pt>
                <c:pt idx="1">
                  <c:v>0.99898989898989909</c:v>
                </c:pt>
                <c:pt idx="2">
                  <c:v>0.99696969696969695</c:v>
                </c:pt>
                <c:pt idx="3">
                  <c:v>0.9939393939393939</c:v>
                </c:pt>
                <c:pt idx="4">
                  <c:v>0.98989898989898983</c:v>
                </c:pt>
                <c:pt idx="5">
                  <c:v>0.98484848484848486</c:v>
                </c:pt>
                <c:pt idx="6">
                  <c:v>0.97878787878787876</c:v>
                </c:pt>
                <c:pt idx="7">
                  <c:v>0.97171717171717176</c:v>
                </c:pt>
                <c:pt idx="8">
                  <c:v>0.96363636363636374</c:v>
                </c:pt>
                <c:pt idx="9">
                  <c:v>0.95454545454545459</c:v>
                </c:pt>
                <c:pt idx="10">
                  <c:v>0.94444444444444442</c:v>
                </c:pt>
                <c:pt idx="11">
                  <c:v>0.93333333333333335</c:v>
                </c:pt>
                <c:pt idx="12">
                  <c:v>0.92121212121212126</c:v>
                </c:pt>
                <c:pt idx="13">
                  <c:v>0.90808080808080804</c:v>
                </c:pt>
                <c:pt idx="14">
                  <c:v>0.89393939393939381</c:v>
                </c:pt>
                <c:pt idx="15">
                  <c:v>0.8787878787878789</c:v>
                </c:pt>
                <c:pt idx="16">
                  <c:v>0.86262626262626263</c:v>
                </c:pt>
                <c:pt idx="17">
                  <c:v>0.84545454545454546</c:v>
                </c:pt>
                <c:pt idx="18">
                  <c:v>0.82727272727272727</c:v>
                </c:pt>
                <c:pt idx="19">
                  <c:v>0.80808080808080818</c:v>
                </c:pt>
                <c:pt idx="20">
                  <c:v>0.78787878787878785</c:v>
                </c:pt>
                <c:pt idx="21">
                  <c:v>0.76666666666666661</c:v>
                </c:pt>
                <c:pt idx="22">
                  <c:v>0.74444444444444446</c:v>
                </c:pt>
                <c:pt idx="23">
                  <c:v>0.72121212121212119</c:v>
                </c:pt>
                <c:pt idx="24">
                  <c:v>0.69696969696969702</c:v>
                </c:pt>
                <c:pt idx="25">
                  <c:v>0.67171717171717171</c:v>
                </c:pt>
                <c:pt idx="26">
                  <c:v>0.6454545454545455</c:v>
                </c:pt>
                <c:pt idx="27">
                  <c:v>0.61818181818181817</c:v>
                </c:pt>
                <c:pt idx="28">
                  <c:v>0.58989898989898992</c:v>
                </c:pt>
                <c:pt idx="29">
                  <c:v>0.56060606060606055</c:v>
                </c:pt>
                <c:pt idx="30">
                  <c:v>0.53030303030303028</c:v>
                </c:pt>
                <c:pt idx="31">
                  <c:v>0.49898989898989898</c:v>
                </c:pt>
                <c:pt idx="32">
                  <c:v>0.46666666666666667</c:v>
                </c:pt>
                <c:pt idx="33">
                  <c:v>0.43333333333333335</c:v>
                </c:pt>
                <c:pt idx="34">
                  <c:v>0.39898989898989901</c:v>
                </c:pt>
                <c:pt idx="35">
                  <c:v>0.36363636363636365</c:v>
                </c:pt>
                <c:pt idx="36">
                  <c:v>0.32727272727272727</c:v>
                </c:pt>
                <c:pt idx="37">
                  <c:v>0.28989898989898988</c:v>
                </c:pt>
                <c:pt idx="38">
                  <c:v>0.25151515151515152</c:v>
                </c:pt>
                <c:pt idx="39">
                  <c:v>0.2121212121212121</c:v>
                </c:pt>
                <c:pt idx="40">
                  <c:v>0.17171717171717171</c:v>
                </c:pt>
                <c:pt idx="41">
                  <c:v>0.13030303030303031</c:v>
                </c:pt>
                <c:pt idx="42">
                  <c:v>8.787878787878789E-2</c:v>
                </c:pt>
                <c:pt idx="43">
                  <c:v>4.4444444444444446E-2</c:v>
                </c:pt>
                <c:pt idx="44">
                  <c:v>0</c:v>
                </c:pt>
              </c:numCache>
            </c:numRef>
          </c:yVal>
          <c:smooth val="0"/>
          <c:extLst>
            <c:ext xmlns:c16="http://schemas.microsoft.com/office/drawing/2014/chart" uri="{C3380CC4-5D6E-409C-BE32-E72D297353CC}">
              <c16:uniqueId val="{00000000-0568-4F4F-AE2A-06CF34EB5B5F}"/>
            </c:ext>
          </c:extLst>
        </c:ser>
        <c:dLbls>
          <c:showLegendKey val="0"/>
          <c:showVal val="0"/>
          <c:showCatName val="0"/>
          <c:showSerName val="0"/>
          <c:showPercent val="0"/>
          <c:showBubbleSize val="0"/>
        </c:dLbls>
        <c:axId val="163581952"/>
        <c:axId val="2114814400"/>
      </c:scatterChart>
      <c:valAx>
        <c:axId val="163581952"/>
        <c:scaling>
          <c:orientation val="minMax"/>
          <c:max val="4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badi Extra Light" panose="020B0204020104020204" pitchFamily="34" charset="0"/>
                    <a:ea typeface="+mn-ea"/>
                    <a:cs typeface="+mn-cs"/>
                  </a:defRPr>
                </a:pPr>
                <a:r>
                  <a:rPr lang="en-GB"/>
                  <a:t>Temas sabes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2114814400"/>
        <c:crosses val="autoZero"/>
        <c:crossBetween val="midCat"/>
        <c:majorUnit val="3"/>
        <c:minorUnit val="1"/>
      </c:valAx>
      <c:valAx>
        <c:axId val="211481440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badi Extra Light" panose="020B0204020104020204" pitchFamily="34" charset="0"/>
                    <a:ea typeface="+mn-ea"/>
                    <a:cs typeface="+mn-cs"/>
                  </a:defRPr>
                </a:pPr>
                <a:r>
                  <a:rPr lang="en-GB"/>
                  <a:t>Probabilidad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635819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n-US"/>
              <a:t>Posibilidades. </a:t>
            </a:r>
            <a:r>
              <a:rPr lang="en-GB"/>
              <a:t>Tercer ejercicio. Parte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endParaRPr lang="es-ES"/>
        </a:p>
      </c:txPr>
    </c:title>
    <c:autoTitleDeleted val="0"/>
    <c:plotArea>
      <c:layout>
        <c:manualLayout>
          <c:layoutTarget val="inner"/>
          <c:xMode val="edge"/>
          <c:yMode val="edge"/>
          <c:x val="0.13759514435695538"/>
          <c:y val="0.17171296296296296"/>
          <c:w val="0.81918263342082231"/>
          <c:h val="0.67364209682123066"/>
        </c:manualLayout>
      </c:layout>
      <c:scatterChart>
        <c:scatterStyle val="lineMarker"/>
        <c:varyColors val="0"/>
        <c:ser>
          <c:idx val="0"/>
          <c:order val="0"/>
          <c:tx>
            <c:strRef>
              <c:f>'Ej. 3'!$E$14</c:f>
              <c:strCache>
                <c:ptCount val="1"/>
                <c:pt idx="0">
                  <c:v>Posibilidades</c:v>
                </c:pt>
              </c:strCache>
            </c:strRef>
          </c:tx>
          <c:spPr>
            <a:ln w="19050" cap="rnd">
              <a:solidFill>
                <a:schemeClr val="accent1"/>
              </a:solidFill>
              <a:round/>
            </a:ln>
            <a:effectLst/>
          </c:spPr>
          <c:marker>
            <c:symbol val="none"/>
          </c:marker>
          <c:xVal>
            <c:numRef>
              <c:f>'Ej. 3'!$D$15:$D$61</c:f>
              <c:numCache>
                <c:formatCode>General</c:formatCode>
                <c:ptCount val="47"/>
                <c:pt idx="0">
                  <c:v>45</c:v>
                </c:pt>
                <c:pt idx="1">
                  <c:v>44</c:v>
                </c:pt>
                <c:pt idx="2">
                  <c:v>43</c:v>
                </c:pt>
                <c:pt idx="3">
                  <c:v>42</c:v>
                </c:pt>
                <c:pt idx="4">
                  <c:v>41</c:v>
                </c:pt>
                <c:pt idx="5">
                  <c:v>40</c:v>
                </c:pt>
                <c:pt idx="6">
                  <c:v>39</c:v>
                </c:pt>
                <c:pt idx="7">
                  <c:v>38</c:v>
                </c:pt>
                <c:pt idx="8">
                  <c:v>37</c:v>
                </c:pt>
                <c:pt idx="9">
                  <c:v>36</c:v>
                </c:pt>
                <c:pt idx="10">
                  <c:v>35</c:v>
                </c:pt>
                <c:pt idx="11">
                  <c:v>34</c:v>
                </c:pt>
                <c:pt idx="12">
                  <c:v>33</c:v>
                </c:pt>
                <c:pt idx="13">
                  <c:v>32</c:v>
                </c:pt>
                <c:pt idx="14">
                  <c:v>31</c:v>
                </c:pt>
                <c:pt idx="15">
                  <c:v>30</c:v>
                </c:pt>
                <c:pt idx="16">
                  <c:v>29</c:v>
                </c:pt>
                <c:pt idx="17">
                  <c:v>28</c:v>
                </c:pt>
                <c:pt idx="18">
                  <c:v>27</c:v>
                </c:pt>
                <c:pt idx="19">
                  <c:v>26</c:v>
                </c:pt>
                <c:pt idx="20">
                  <c:v>25</c:v>
                </c:pt>
                <c:pt idx="21">
                  <c:v>24</c:v>
                </c:pt>
                <c:pt idx="22">
                  <c:v>23</c:v>
                </c:pt>
                <c:pt idx="23">
                  <c:v>22</c:v>
                </c:pt>
                <c:pt idx="24">
                  <c:v>21</c:v>
                </c:pt>
                <c:pt idx="25">
                  <c:v>20</c:v>
                </c:pt>
                <c:pt idx="26">
                  <c:v>19</c:v>
                </c:pt>
                <c:pt idx="27">
                  <c:v>18</c:v>
                </c:pt>
                <c:pt idx="28">
                  <c:v>17</c:v>
                </c:pt>
                <c:pt idx="29">
                  <c:v>16</c:v>
                </c:pt>
                <c:pt idx="30">
                  <c:v>15</c:v>
                </c:pt>
                <c:pt idx="31">
                  <c:v>14</c:v>
                </c:pt>
                <c:pt idx="32">
                  <c:v>13</c:v>
                </c:pt>
                <c:pt idx="33">
                  <c:v>12</c:v>
                </c:pt>
                <c:pt idx="34">
                  <c:v>11</c:v>
                </c:pt>
                <c:pt idx="35">
                  <c:v>10</c:v>
                </c:pt>
                <c:pt idx="36">
                  <c:v>9</c:v>
                </c:pt>
                <c:pt idx="37">
                  <c:v>8</c:v>
                </c:pt>
                <c:pt idx="38">
                  <c:v>7</c:v>
                </c:pt>
                <c:pt idx="39">
                  <c:v>6</c:v>
                </c:pt>
                <c:pt idx="40">
                  <c:v>5</c:v>
                </c:pt>
                <c:pt idx="41">
                  <c:v>4</c:v>
                </c:pt>
                <c:pt idx="42">
                  <c:v>3</c:v>
                </c:pt>
                <c:pt idx="43">
                  <c:v>2</c:v>
                </c:pt>
                <c:pt idx="44">
                  <c:v>1</c:v>
                </c:pt>
                <c:pt idx="45">
                  <c:v>0</c:v>
                </c:pt>
              </c:numCache>
            </c:numRef>
          </c:xVal>
          <c:yVal>
            <c:numRef>
              <c:f>'Ej. 3'!$E$15:$E$61</c:f>
              <c:numCache>
                <c:formatCode>0.00%</c:formatCode>
                <c:ptCount val="47"/>
                <c:pt idx="0">
                  <c:v>1</c:v>
                </c:pt>
                <c:pt idx="1">
                  <c:v>1</c:v>
                </c:pt>
                <c:pt idx="2">
                  <c:v>0.99898989898989909</c:v>
                </c:pt>
                <c:pt idx="3">
                  <c:v>0.99696969696969695</c:v>
                </c:pt>
                <c:pt idx="4">
                  <c:v>0.9939393939393939</c:v>
                </c:pt>
                <c:pt idx="5">
                  <c:v>0.98989898989898983</c:v>
                </c:pt>
                <c:pt idx="6">
                  <c:v>0.98484848484848486</c:v>
                </c:pt>
                <c:pt idx="7">
                  <c:v>0.97878787878787876</c:v>
                </c:pt>
                <c:pt idx="8">
                  <c:v>0.97171717171717176</c:v>
                </c:pt>
                <c:pt idx="9">
                  <c:v>0.96363636363636374</c:v>
                </c:pt>
                <c:pt idx="10">
                  <c:v>0.95454545454545459</c:v>
                </c:pt>
                <c:pt idx="11">
                  <c:v>0.94444444444444442</c:v>
                </c:pt>
                <c:pt idx="12">
                  <c:v>0.93333333333333335</c:v>
                </c:pt>
                <c:pt idx="13">
                  <c:v>0.92121212121212126</c:v>
                </c:pt>
                <c:pt idx="14">
                  <c:v>0.90808080808080804</c:v>
                </c:pt>
                <c:pt idx="15">
                  <c:v>0.89393939393939381</c:v>
                </c:pt>
                <c:pt idx="16">
                  <c:v>0.8787878787878789</c:v>
                </c:pt>
                <c:pt idx="17">
                  <c:v>0.86262626262626263</c:v>
                </c:pt>
                <c:pt idx="18">
                  <c:v>0.84545454545454546</c:v>
                </c:pt>
                <c:pt idx="19">
                  <c:v>0.82727272727272727</c:v>
                </c:pt>
                <c:pt idx="20">
                  <c:v>0.80808080808080818</c:v>
                </c:pt>
                <c:pt idx="21">
                  <c:v>0.78787878787878785</c:v>
                </c:pt>
                <c:pt idx="22">
                  <c:v>0.76666666666666661</c:v>
                </c:pt>
                <c:pt idx="23">
                  <c:v>0.74444444444444446</c:v>
                </c:pt>
                <c:pt idx="24">
                  <c:v>0.72121212121212119</c:v>
                </c:pt>
                <c:pt idx="25">
                  <c:v>0.69696969696969702</c:v>
                </c:pt>
                <c:pt idx="26">
                  <c:v>0.67171717171717171</c:v>
                </c:pt>
                <c:pt idx="27">
                  <c:v>0.6454545454545455</c:v>
                </c:pt>
                <c:pt idx="28">
                  <c:v>0.61818181818181817</c:v>
                </c:pt>
                <c:pt idx="29">
                  <c:v>0.58989898989898992</c:v>
                </c:pt>
                <c:pt idx="30">
                  <c:v>0.56060606060606055</c:v>
                </c:pt>
                <c:pt idx="31">
                  <c:v>0.53030303030303028</c:v>
                </c:pt>
                <c:pt idx="32">
                  <c:v>0.49898989898989898</c:v>
                </c:pt>
                <c:pt idx="33">
                  <c:v>0.46666666666666667</c:v>
                </c:pt>
                <c:pt idx="34">
                  <c:v>0.43333333333333335</c:v>
                </c:pt>
                <c:pt idx="35">
                  <c:v>0.39898989898989901</c:v>
                </c:pt>
                <c:pt idx="36">
                  <c:v>0.36363636363636365</c:v>
                </c:pt>
                <c:pt idx="37">
                  <c:v>0.32727272727272727</c:v>
                </c:pt>
                <c:pt idx="38">
                  <c:v>0.28989898989898988</c:v>
                </c:pt>
                <c:pt idx="39">
                  <c:v>0.25151515151515152</c:v>
                </c:pt>
                <c:pt idx="40">
                  <c:v>0.2121212121212121</c:v>
                </c:pt>
                <c:pt idx="41">
                  <c:v>0.17171717171717171</c:v>
                </c:pt>
                <c:pt idx="42">
                  <c:v>0.13030303030303031</c:v>
                </c:pt>
                <c:pt idx="43">
                  <c:v>8.787878787878789E-2</c:v>
                </c:pt>
                <c:pt idx="44">
                  <c:v>4.4444444444444446E-2</c:v>
                </c:pt>
                <c:pt idx="45">
                  <c:v>0</c:v>
                </c:pt>
              </c:numCache>
            </c:numRef>
          </c:yVal>
          <c:smooth val="0"/>
          <c:extLst>
            <c:ext xmlns:c16="http://schemas.microsoft.com/office/drawing/2014/chart" uri="{C3380CC4-5D6E-409C-BE32-E72D297353CC}">
              <c16:uniqueId val="{00000000-2E4E-446A-8789-F6416535A370}"/>
            </c:ext>
          </c:extLst>
        </c:ser>
        <c:dLbls>
          <c:showLegendKey val="0"/>
          <c:showVal val="0"/>
          <c:showCatName val="0"/>
          <c:showSerName val="0"/>
          <c:showPercent val="0"/>
          <c:showBubbleSize val="0"/>
        </c:dLbls>
        <c:axId val="171663744"/>
        <c:axId val="2114837280"/>
      </c:scatterChart>
      <c:valAx>
        <c:axId val="171663744"/>
        <c:scaling>
          <c:orientation val="minMax"/>
          <c:max val="4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badi Extra Light" panose="020B0204020104020204" pitchFamily="34" charset="0"/>
                    <a:ea typeface="+mn-ea"/>
                    <a:cs typeface="+mn-cs"/>
                  </a:defRPr>
                </a:pPr>
                <a:r>
                  <a:rPr lang="en-GB"/>
                  <a:t>Temas sabes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2114837280"/>
        <c:crosses val="autoZero"/>
        <c:crossBetween val="midCat"/>
        <c:majorUnit val="3"/>
      </c:valAx>
      <c:valAx>
        <c:axId val="211483728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badi Extra Light" panose="020B0204020104020204" pitchFamily="34" charset="0"/>
                    <a:ea typeface="+mn-ea"/>
                    <a:cs typeface="+mn-cs"/>
                  </a:defRPr>
                </a:pPr>
                <a:r>
                  <a:rPr lang="en-GB"/>
                  <a:t>Probabilidad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71663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s-ES"/>
              <a:t>Probabilidades Tercer Ejercicio</a:t>
            </a:r>
          </a:p>
        </c:rich>
      </c:tx>
      <c:overlay val="0"/>
      <c:spPr>
        <a:noFill/>
        <a:ln>
          <a:noFill/>
        </a:ln>
        <a:effectLst/>
      </c:spPr>
    </c:title>
    <c:autoTitleDeleted val="0"/>
    <c:view3D>
      <c:rotX val="90"/>
      <c:rotY val="0"/>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Chart>
        <c:wireframe val="1"/>
        <c:ser>
          <c:idx val="0"/>
          <c:order val="0"/>
          <c:tx>
            <c:strRef>
              <c:f>'Ej. 3'!$Q$8</c:f>
              <c:strCache>
                <c:ptCount val="1"/>
                <c:pt idx="0">
                  <c:v>0</c:v>
                </c:pt>
              </c:strCache>
            </c:strRef>
          </c:tx>
          <c:spPr>
            <a:ln w="9525" cap="rnd">
              <a:solidFill>
                <a:schemeClr val="accent6">
                  <a:tint val="34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3'!$Q$9:$Q$54</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1207-4F30-8C32-A8708F061D60}"/>
            </c:ext>
          </c:extLst>
        </c:ser>
        <c:ser>
          <c:idx val="1"/>
          <c:order val="1"/>
          <c:tx>
            <c:strRef>
              <c:f>'Ej. 3'!$R$8</c:f>
              <c:strCache>
                <c:ptCount val="1"/>
                <c:pt idx="0">
                  <c:v>1</c:v>
                </c:pt>
              </c:strCache>
            </c:strRef>
          </c:tx>
          <c:spPr>
            <a:ln w="9525" cap="rnd">
              <a:solidFill>
                <a:schemeClr val="accent6">
                  <a:tint val="37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3'!$R$9:$R$54</c:f>
              <c:numCache>
                <c:formatCode>0.00%</c:formatCode>
                <c:ptCount val="46"/>
                <c:pt idx="0">
                  <c:v>0</c:v>
                </c:pt>
                <c:pt idx="1">
                  <c:v>1.9753086419753087E-3</c:v>
                </c:pt>
                <c:pt idx="2">
                  <c:v>3.9057239057239063E-3</c:v>
                </c:pt>
                <c:pt idx="3">
                  <c:v>5.7912457912457915E-3</c:v>
                </c:pt>
                <c:pt idx="4">
                  <c:v>7.6318742985409657E-3</c:v>
                </c:pt>
                <c:pt idx="5">
                  <c:v>9.427609427609427E-3</c:v>
                </c:pt>
                <c:pt idx="6">
                  <c:v>1.117845117845118E-2</c:v>
                </c:pt>
                <c:pt idx="7">
                  <c:v>1.2884399551066216E-2</c:v>
                </c:pt>
                <c:pt idx="8">
                  <c:v>1.4545454545454545E-2</c:v>
                </c:pt>
                <c:pt idx="9">
                  <c:v>1.6161616161616162E-2</c:v>
                </c:pt>
                <c:pt idx="10">
                  <c:v>1.7732884399551067E-2</c:v>
                </c:pt>
                <c:pt idx="11">
                  <c:v>1.9259259259259261E-2</c:v>
                </c:pt>
                <c:pt idx="12">
                  <c:v>2.074074074074074E-2</c:v>
                </c:pt>
                <c:pt idx="13">
                  <c:v>2.2177328843995512E-2</c:v>
                </c:pt>
                <c:pt idx="14">
                  <c:v>2.3569023569023569E-2</c:v>
                </c:pt>
                <c:pt idx="15">
                  <c:v>2.4915824915824916E-2</c:v>
                </c:pt>
                <c:pt idx="16">
                  <c:v>2.6217732884399554E-2</c:v>
                </c:pt>
                <c:pt idx="17">
                  <c:v>2.7474747474747475E-2</c:v>
                </c:pt>
                <c:pt idx="18">
                  <c:v>2.8686868686868691E-2</c:v>
                </c:pt>
                <c:pt idx="19">
                  <c:v>2.985409652076319E-2</c:v>
                </c:pt>
                <c:pt idx="20">
                  <c:v>3.097643097643098E-2</c:v>
                </c:pt>
                <c:pt idx="21">
                  <c:v>3.2053872053872057E-2</c:v>
                </c:pt>
                <c:pt idx="22">
                  <c:v>3.3086419753086418E-2</c:v>
                </c:pt>
                <c:pt idx="23">
                  <c:v>3.4074074074074076E-2</c:v>
                </c:pt>
                <c:pt idx="24">
                  <c:v>3.5016835016835016E-2</c:v>
                </c:pt>
                <c:pt idx="25">
                  <c:v>3.5914702581369251E-2</c:v>
                </c:pt>
                <c:pt idx="26">
                  <c:v>3.6767676767676769E-2</c:v>
                </c:pt>
                <c:pt idx="27">
                  <c:v>3.7575757575757575E-2</c:v>
                </c:pt>
                <c:pt idx="28">
                  <c:v>3.8338945005611677E-2</c:v>
                </c:pt>
                <c:pt idx="29">
                  <c:v>3.9057239057239061E-2</c:v>
                </c:pt>
                <c:pt idx="30">
                  <c:v>3.9730639730639727E-2</c:v>
                </c:pt>
                <c:pt idx="31">
                  <c:v>4.0359147025813689E-2</c:v>
                </c:pt>
                <c:pt idx="32">
                  <c:v>4.0942760942760947E-2</c:v>
                </c:pt>
                <c:pt idx="33">
                  <c:v>4.148148148148148E-2</c:v>
                </c:pt>
                <c:pt idx="34">
                  <c:v>4.1975308641975309E-2</c:v>
                </c:pt>
                <c:pt idx="35">
                  <c:v>4.2424242424242427E-2</c:v>
                </c:pt>
                <c:pt idx="36">
                  <c:v>4.2828282828282833E-2</c:v>
                </c:pt>
                <c:pt idx="37">
                  <c:v>4.3187429854096522E-2</c:v>
                </c:pt>
                <c:pt idx="38">
                  <c:v>4.35016835016835E-2</c:v>
                </c:pt>
                <c:pt idx="39">
                  <c:v>4.3771043771043773E-2</c:v>
                </c:pt>
                <c:pt idx="40">
                  <c:v>4.3995510662177328E-2</c:v>
                </c:pt>
                <c:pt idx="41">
                  <c:v>4.4175084175084173E-2</c:v>
                </c:pt>
                <c:pt idx="42">
                  <c:v>4.4309764309764313E-2</c:v>
                </c:pt>
                <c:pt idx="43">
                  <c:v>4.4399551066217742E-2</c:v>
                </c:pt>
                <c:pt idx="44">
                  <c:v>4.4444444444444446E-2</c:v>
                </c:pt>
                <c:pt idx="45">
                  <c:v>4.4444444444444446E-2</c:v>
                </c:pt>
              </c:numCache>
            </c:numRef>
          </c:val>
          <c:extLst>
            <c:ext xmlns:c16="http://schemas.microsoft.com/office/drawing/2014/chart" uri="{C3380CC4-5D6E-409C-BE32-E72D297353CC}">
              <c16:uniqueId val="{00000001-1207-4F30-8C32-A8708F061D60}"/>
            </c:ext>
          </c:extLst>
        </c:ser>
        <c:ser>
          <c:idx val="2"/>
          <c:order val="2"/>
          <c:tx>
            <c:strRef>
              <c:f>'Ej. 3'!$S$8</c:f>
              <c:strCache>
                <c:ptCount val="1"/>
                <c:pt idx="0">
                  <c:v>2</c:v>
                </c:pt>
              </c:strCache>
            </c:strRef>
          </c:tx>
          <c:spPr>
            <a:ln w="9525" cap="rnd">
              <a:solidFill>
                <a:schemeClr val="accent6">
                  <a:tint val="40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3'!$S$9:$S$54</c:f>
              <c:numCache>
                <c:formatCode>0.00%</c:formatCode>
                <c:ptCount val="46"/>
                <c:pt idx="0">
                  <c:v>0</c:v>
                </c:pt>
                <c:pt idx="1">
                  <c:v>3.9057239057239063E-3</c:v>
                </c:pt>
                <c:pt idx="2">
                  <c:v>7.7226813590449972E-3</c:v>
                </c:pt>
                <c:pt idx="3">
                  <c:v>1.1450872359963272E-2</c:v>
                </c:pt>
                <c:pt idx="4">
                  <c:v>1.5090296908478728E-2</c:v>
                </c:pt>
                <c:pt idx="5">
                  <c:v>1.864095500459137E-2</c:v>
                </c:pt>
                <c:pt idx="6">
                  <c:v>2.2102846648301196E-2</c:v>
                </c:pt>
                <c:pt idx="7">
                  <c:v>2.5475971839608206E-2</c:v>
                </c:pt>
                <c:pt idx="8">
                  <c:v>2.8760330578512398E-2</c:v>
                </c:pt>
                <c:pt idx="9">
                  <c:v>3.1955922865013781E-2</c:v>
                </c:pt>
                <c:pt idx="10">
                  <c:v>3.5062748699112342E-2</c:v>
                </c:pt>
                <c:pt idx="11">
                  <c:v>3.808080808080809E-2</c:v>
                </c:pt>
                <c:pt idx="12">
                  <c:v>4.1010101010101017E-2</c:v>
                </c:pt>
                <c:pt idx="13">
                  <c:v>4.3850627486991131E-2</c:v>
                </c:pt>
                <c:pt idx="14">
                  <c:v>4.6602387511478424E-2</c:v>
                </c:pt>
                <c:pt idx="15">
                  <c:v>4.9265381083562904E-2</c:v>
                </c:pt>
                <c:pt idx="16">
                  <c:v>5.1839608203244576E-2</c:v>
                </c:pt>
                <c:pt idx="17">
                  <c:v>5.4325068870523421E-2</c:v>
                </c:pt>
                <c:pt idx="18">
                  <c:v>5.672176308539946E-2</c:v>
                </c:pt>
                <c:pt idx="19">
                  <c:v>5.9029690847872671E-2</c:v>
                </c:pt>
                <c:pt idx="20">
                  <c:v>6.1248852157943082E-2</c:v>
                </c:pt>
                <c:pt idx="21">
                  <c:v>6.3379247015610651E-2</c:v>
                </c:pt>
                <c:pt idx="22">
                  <c:v>6.5420875420875435E-2</c:v>
                </c:pt>
                <c:pt idx="23">
                  <c:v>6.7373737373737377E-2</c:v>
                </c:pt>
                <c:pt idx="24">
                  <c:v>6.923783287419652E-2</c:v>
                </c:pt>
                <c:pt idx="25">
                  <c:v>7.1013161922252849E-2</c:v>
                </c:pt>
                <c:pt idx="26">
                  <c:v>7.269972451790635E-2</c:v>
                </c:pt>
                <c:pt idx="27">
                  <c:v>7.4297520661157038E-2</c:v>
                </c:pt>
                <c:pt idx="28">
                  <c:v>7.5806550352004912E-2</c:v>
                </c:pt>
                <c:pt idx="29">
                  <c:v>7.7226813590449972E-2</c:v>
                </c:pt>
                <c:pt idx="30">
                  <c:v>7.8558310376492191E-2</c:v>
                </c:pt>
                <c:pt idx="31">
                  <c:v>7.9801040710131624E-2</c:v>
                </c:pt>
                <c:pt idx="32">
                  <c:v>8.0955004591368243E-2</c:v>
                </c:pt>
                <c:pt idx="33">
                  <c:v>8.2020202020202035E-2</c:v>
                </c:pt>
                <c:pt idx="34">
                  <c:v>8.2996632996632999E-2</c:v>
                </c:pt>
                <c:pt idx="35">
                  <c:v>8.3884297520661177E-2</c:v>
                </c:pt>
                <c:pt idx="36">
                  <c:v>8.4683195592286514E-2</c:v>
                </c:pt>
                <c:pt idx="37">
                  <c:v>8.5393327211509037E-2</c:v>
                </c:pt>
                <c:pt idx="38">
                  <c:v>8.6014692378328747E-2</c:v>
                </c:pt>
                <c:pt idx="39">
                  <c:v>8.6547291092745657E-2</c:v>
                </c:pt>
                <c:pt idx="40">
                  <c:v>8.6991123354759725E-2</c:v>
                </c:pt>
                <c:pt idx="41">
                  <c:v>8.7346189164370994E-2</c:v>
                </c:pt>
                <c:pt idx="42">
                  <c:v>8.7612488521579435E-2</c:v>
                </c:pt>
                <c:pt idx="43">
                  <c:v>8.7790021426385076E-2</c:v>
                </c:pt>
                <c:pt idx="44">
                  <c:v>8.787878787878789E-2</c:v>
                </c:pt>
                <c:pt idx="45">
                  <c:v>8.787878787878789E-2</c:v>
                </c:pt>
              </c:numCache>
            </c:numRef>
          </c:val>
          <c:extLst>
            <c:ext xmlns:c16="http://schemas.microsoft.com/office/drawing/2014/chart" uri="{C3380CC4-5D6E-409C-BE32-E72D297353CC}">
              <c16:uniqueId val="{00000002-1207-4F30-8C32-A8708F061D60}"/>
            </c:ext>
          </c:extLst>
        </c:ser>
        <c:ser>
          <c:idx val="3"/>
          <c:order val="3"/>
          <c:tx>
            <c:strRef>
              <c:f>'Ej. 3'!$T$8</c:f>
              <c:strCache>
                <c:ptCount val="1"/>
                <c:pt idx="0">
                  <c:v>3</c:v>
                </c:pt>
              </c:strCache>
            </c:strRef>
          </c:tx>
          <c:spPr>
            <a:ln w="9525" cap="rnd">
              <a:solidFill>
                <a:schemeClr val="accent6">
                  <a:tint val="43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3'!$T$9:$T$54</c:f>
              <c:numCache>
                <c:formatCode>0.00%</c:formatCode>
                <c:ptCount val="46"/>
                <c:pt idx="0">
                  <c:v>0</c:v>
                </c:pt>
                <c:pt idx="1">
                  <c:v>5.7912457912457915E-3</c:v>
                </c:pt>
                <c:pt idx="2">
                  <c:v>1.1450872359963272E-2</c:v>
                </c:pt>
                <c:pt idx="3">
                  <c:v>1.6978879706152434E-2</c:v>
                </c:pt>
                <c:pt idx="4">
                  <c:v>2.2375267829813285E-2</c:v>
                </c:pt>
                <c:pt idx="5">
                  <c:v>2.7640036730945821E-2</c:v>
                </c:pt>
                <c:pt idx="6">
                  <c:v>3.2773186409550049E-2</c:v>
                </c:pt>
                <c:pt idx="7">
                  <c:v>3.7774716865625953E-2</c:v>
                </c:pt>
                <c:pt idx="8">
                  <c:v>4.2644628099173555E-2</c:v>
                </c:pt>
                <c:pt idx="9">
                  <c:v>4.7382920110192843E-2</c:v>
                </c:pt>
                <c:pt idx="10">
                  <c:v>5.1989592898683809E-2</c:v>
                </c:pt>
                <c:pt idx="11">
                  <c:v>5.6464646464646467E-2</c:v>
                </c:pt>
                <c:pt idx="12">
                  <c:v>6.0808080808080811E-2</c:v>
                </c:pt>
                <c:pt idx="13">
                  <c:v>6.501989592898684E-2</c:v>
                </c:pt>
                <c:pt idx="14">
                  <c:v>6.9100091827364554E-2</c:v>
                </c:pt>
                <c:pt idx="15">
                  <c:v>7.3048668503213954E-2</c:v>
                </c:pt>
                <c:pt idx="16">
                  <c:v>7.6865625956535052E-2</c:v>
                </c:pt>
                <c:pt idx="17">
                  <c:v>8.0550964187327823E-2</c:v>
                </c:pt>
                <c:pt idx="18">
                  <c:v>8.4104683195592292E-2</c:v>
                </c:pt>
                <c:pt idx="19">
                  <c:v>8.7526782981328446E-2</c:v>
                </c:pt>
                <c:pt idx="20">
                  <c:v>9.0817263544536286E-2</c:v>
                </c:pt>
                <c:pt idx="21">
                  <c:v>9.3976124885215798E-2</c:v>
                </c:pt>
                <c:pt idx="22">
                  <c:v>9.7003367003367008E-2</c:v>
                </c:pt>
                <c:pt idx="23">
                  <c:v>9.989898989898989E-2</c:v>
                </c:pt>
                <c:pt idx="24">
                  <c:v>0.10266299357208448</c:v>
                </c:pt>
                <c:pt idx="25">
                  <c:v>0.10529537802265077</c:v>
                </c:pt>
                <c:pt idx="26">
                  <c:v>0.10779614325068872</c:v>
                </c:pt>
                <c:pt idx="27">
                  <c:v>0.11016528925619835</c:v>
                </c:pt>
                <c:pt idx="28">
                  <c:v>0.11240281603917968</c:v>
                </c:pt>
                <c:pt idx="29">
                  <c:v>0.11450872359963271</c:v>
                </c:pt>
                <c:pt idx="30">
                  <c:v>0.11648301193755738</c:v>
                </c:pt>
                <c:pt idx="31">
                  <c:v>0.11832568105295378</c:v>
                </c:pt>
                <c:pt idx="32">
                  <c:v>0.12003673094582187</c:v>
                </c:pt>
                <c:pt idx="33">
                  <c:v>0.12161616161616162</c:v>
                </c:pt>
                <c:pt idx="34">
                  <c:v>0.12306397306397307</c:v>
                </c:pt>
                <c:pt idx="35">
                  <c:v>0.1243801652892562</c:v>
                </c:pt>
                <c:pt idx="36">
                  <c:v>0.12556473829201104</c:v>
                </c:pt>
                <c:pt idx="37">
                  <c:v>0.12661769207223753</c:v>
                </c:pt>
                <c:pt idx="38">
                  <c:v>0.12753902662993571</c:v>
                </c:pt>
                <c:pt idx="39">
                  <c:v>0.1283287419651056</c:v>
                </c:pt>
                <c:pt idx="40">
                  <c:v>0.12898683807774716</c:v>
                </c:pt>
                <c:pt idx="41">
                  <c:v>0.12951331496786042</c:v>
                </c:pt>
                <c:pt idx="42">
                  <c:v>0.12990817263544538</c:v>
                </c:pt>
                <c:pt idx="43">
                  <c:v>0.13017141108050201</c:v>
                </c:pt>
                <c:pt idx="44">
                  <c:v>0.13030303030303031</c:v>
                </c:pt>
                <c:pt idx="45">
                  <c:v>0.13030303030303031</c:v>
                </c:pt>
              </c:numCache>
            </c:numRef>
          </c:val>
          <c:extLst>
            <c:ext xmlns:c16="http://schemas.microsoft.com/office/drawing/2014/chart" uri="{C3380CC4-5D6E-409C-BE32-E72D297353CC}">
              <c16:uniqueId val="{00000003-1207-4F30-8C32-A8708F061D60}"/>
            </c:ext>
          </c:extLst>
        </c:ser>
        <c:ser>
          <c:idx val="4"/>
          <c:order val="4"/>
          <c:tx>
            <c:strRef>
              <c:f>'Ej. 3'!$U$8</c:f>
              <c:strCache>
                <c:ptCount val="1"/>
                <c:pt idx="0">
                  <c:v>4</c:v>
                </c:pt>
              </c:strCache>
            </c:strRef>
          </c:tx>
          <c:spPr>
            <a:ln w="9525" cap="rnd">
              <a:solidFill>
                <a:schemeClr val="accent6">
                  <a:tint val="46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3'!$U$9:$U$54</c:f>
              <c:numCache>
                <c:formatCode>0.00%</c:formatCode>
                <c:ptCount val="46"/>
                <c:pt idx="0">
                  <c:v>0</c:v>
                </c:pt>
                <c:pt idx="1">
                  <c:v>7.6318742985409657E-3</c:v>
                </c:pt>
                <c:pt idx="2">
                  <c:v>1.5090296908478728E-2</c:v>
                </c:pt>
                <c:pt idx="3">
                  <c:v>2.2375267829813285E-2</c:v>
                </c:pt>
                <c:pt idx="4">
                  <c:v>2.9486787062544637E-2</c:v>
                </c:pt>
                <c:pt idx="5">
                  <c:v>3.6424854606672781E-2</c:v>
                </c:pt>
                <c:pt idx="6">
                  <c:v>4.3189470462197732E-2</c:v>
                </c:pt>
                <c:pt idx="7">
                  <c:v>4.9780634629119476E-2</c:v>
                </c:pt>
                <c:pt idx="8">
                  <c:v>5.6198347107438013E-2</c:v>
                </c:pt>
                <c:pt idx="9">
                  <c:v>6.2442607897153349E-2</c:v>
                </c:pt>
                <c:pt idx="10">
                  <c:v>6.8513416998265478E-2</c:v>
                </c:pt>
                <c:pt idx="11">
                  <c:v>7.4410774410774413E-2</c:v>
                </c:pt>
                <c:pt idx="12">
                  <c:v>8.0134680134680128E-2</c:v>
                </c:pt>
                <c:pt idx="13">
                  <c:v>8.5685134169982649E-2</c:v>
                </c:pt>
                <c:pt idx="14">
                  <c:v>9.1062136516681963E-2</c:v>
                </c:pt>
                <c:pt idx="15">
                  <c:v>9.626568717477807E-2</c:v>
                </c:pt>
                <c:pt idx="16">
                  <c:v>0.101295786144271</c:v>
                </c:pt>
                <c:pt idx="17">
                  <c:v>0.10615243342516069</c:v>
                </c:pt>
                <c:pt idx="18">
                  <c:v>0.1108356290174472</c:v>
                </c:pt>
                <c:pt idx="19">
                  <c:v>0.11534537292113049</c:v>
                </c:pt>
                <c:pt idx="20">
                  <c:v>0.11968166513621059</c:v>
                </c:pt>
                <c:pt idx="21">
                  <c:v>0.12384450566268747</c:v>
                </c:pt>
                <c:pt idx="22">
                  <c:v>0.12783389450056118</c:v>
                </c:pt>
                <c:pt idx="23">
                  <c:v>0.13164983164983163</c:v>
                </c:pt>
                <c:pt idx="24">
                  <c:v>0.13529231711049891</c:v>
                </c:pt>
                <c:pt idx="25">
                  <c:v>0.13876135088256303</c:v>
                </c:pt>
                <c:pt idx="26">
                  <c:v>0.14205693296602387</c:v>
                </c:pt>
                <c:pt idx="27">
                  <c:v>0.14517906336088154</c:v>
                </c:pt>
                <c:pt idx="28">
                  <c:v>0.148127742067136</c:v>
                </c:pt>
                <c:pt idx="29">
                  <c:v>0.15090296908478729</c:v>
                </c:pt>
                <c:pt idx="30">
                  <c:v>0.1535047444138353</c:v>
                </c:pt>
                <c:pt idx="31">
                  <c:v>0.15593306805428017</c:v>
                </c:pt>
                <c:pt idx="32">
                  <c:v>0.15818794000612182</c:v>
                </c:pt>
                <c:pt idx="33">
                  <c:v>0.16026936026936026</c:v>
                </c:pt>
                <c:pt idx="34">
                  <c:v>0.16217732884399549</c:v>
                </c:pt>
                <c:pt idx="35">
                  <c:v>0.16391184573002754</c:v>
                </c:pt>
                <c:pt idx="36">
                  <c:v>0.16547291092745639</c:v>
                </c:pt>
                <c:pt idx="37">
                  <c:v>0.16686052443628202</c:v>
                </c:pt>
                <c:pt idx="38">
                  <c:v>0.16807468625650443</c:v>
                </c:pt>
                <c:pt idx="39">
                  <c:v>0.16911539638812365</c:v>
                </c:pt>
                <c:pt idx="40">
                  <c:v>0.16998265483113967</c:v>
                </c:pt>
                <c:pt idx="41">
                  <c:v>0.1706764615855525</c:v>
                </c:pt>
                <c:pt idx="42">
                  <c:v>0.1711968166513621</c:v>
                </c:pt>
                <c:pt idx="43">
                  <c:v>0.17154372002856852</c:v>
                </c:pt>
                <c:pt idx="44">
                  <c:v>0.17171717171717171</c:v>
                </c:pt>
                <c:pt idx="45">
                  <c:v>0.17171717171717171</c:v>
                </c:pt>
              </c:numCache>
            </c:numRef>
          </c:val>
          <c:extLst>
            <c:ext xmlns:c16="http://schemas.microsoft.com/office/drawing/2014/chart" uri="{C3380CC4-5D6E-409C-BE32-E72D297353CC}">
              <c16:uniqueId val="{00000004-1207-4F30-8C32-A8708F061D60}"/>
            </c:ext>
          </c:extLst>
        </c:ser>
        <c:ser>
          <c:idx val="5"/>
          <c:order val="5"/>
          <c:tx>
            <c:strRef>
              <c:f>'Ej. 3'!$V$8</c:f>
              <c:strCache>
                <c:ptCount val="1"/>
                <c:pt idx="0">
                  <c:v>5</c:v>
                </c:pt>
              </c:strCache>
            </c:strRef>
          </c:tx>
          <c:spPr>
            <a:ln w="9525" cap="rnd">
              <a:solidFill>
                <a:schemeClr val="accent6">
                  <a:tint val="49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3'!$V$9:$V$54</c:f>
              <c:numCache>
                <c:formatCode>0.00%</c:formatCode>
                <c:ptCount val="46"/>
                <c:pt idx="0">
                  <c:v>0</c:v>
                </c:pt>
                <c:pt idx="1">
                  <c:v>9.427609427609427E-3</c:v>
                </c:pt>
                <c:pt idx="2">
                  <c:v>1.864095500459137E-2</c:v>
                </c:pt>
                <c:pt idx="3">
                  <c:v>2.7640036730945821E-2</c:v>
                </c:pt>
                <c:pt idx="4">
                  <c:v>3.6424854606672781E-2</c:v>
                </c:pt>
                <c:pt idx="5">
                  <c:v>4.499540863177226E-2</c:v>
                </c:pt>
                <c:pt idx="6">
                  <c:v>5.3351698806244255E-2</c:v>
                </c:pt>
                <c:pt idx="7">
                  <c:v>6.1493725130088758E-2</c:v>
                </c:pt>
                <c:pt idx="8">
                  <c:v>6.9421487603305784E-2</c:v>
                </c:pt>
                <c:pt idx="9">
                  <c:v>7.7134986225895305E-2</c:v>
                </c:pt>
                <c:pt idx="10">
                  <c:v>8.4634220997857362E-2</c:v>
                </c:pt>
                <c:pt idx="11">
                  <c:v>9.1919191919191914E-2</c:v>
                </c:pt>
                <c:pt idx="12">
                  <c:v>9.8989898989898975E-2</c:v>
                </c:pt>
                <c:pt idx="13">
                  <c:v>0.10584634220997856</c:v>
                </c:pt>
                <c:pt idx="14">
                  <c:v>0.11248852157943065</c:v>
                </c:pt>
                <c:pt idx="15">
                  <c:v>0.11891643709825525</c:v>
                </c:pt>
                <c:pt idx="16">
                  <c:v>0.1251300887664524</c:v>
                </c:pt>
                <c:pt idx="17">
                  <c:v>0.13112947658402202</c:v>
                </c:pt>
                <c:pt idx="18">
                  <c:v>0.13691460055096419</c:v>
                </c:pt>
                <c:pt idx="19">
                  <c:v>0.14248546066727882</c:v>
                </c:pt>
                <c:pt idx="20">
                  <c:v>0.14784205693296601</c:v>
                </c:pt>
                <c:pt idx="21">
                  <c:v>0.15298438934802569</c:v>
                </c:pt>
                <c:pt idx="22">
                  <c:v>0.15791245791245789</c:v>
                </c:pt>
                <c:pt idx="23">
                  <c:v>0.16262626262626259</c:v>
                </c:pt>
                <c:pt idx="24">
                  <c:v>0.16712580348943984</c:v>
                </c:pt>
                <c:pt idx="25">
                  <c:v>0.17141108050198958</c:v>
                </c:pt>
                <c:pt idx="26">
                  <c:v>0.17548209366391182</c:v>
                </c:pt>
                <c:pt idx="27">
                  <c:v>0.17933884297520658</c:v>
                </c:pt>
                <c:pt idx="28">
                  <c:v>0.18298132843587386</c:v>
                </c:pt>
                <c:pt idx="29">
                  <c:v>0.1864095500459137</c:v>
                </c:pt>
                <c:pt idx="30">
                  <c:v>0.18962350780532594</c:v>
                </c:pt>
                <c:pt idx="31">
                  <c:v>0.19262320171411076</c:v>
                </c:pt>
                <c:pt idx="32">
                  <c:v>0.19540863177226814</c:v>
                </c:pt>
                <c:pt idx="33">
                  <c:v>0.19797979797979795</c:v>
                </c:pt>
                <c:pt idx="34">
                  <c:v>0.20033670033670031</c:v>
                </c:pt>
                <c:pt idx="35">
                  <c:v>0.2024793388429752</c:v>
                </c:pt>
                <c:pt idx="36">
                  <c:v>0.20440771349862258</c:v>
                </c:pt>
                <c:pt idx="37">
                  <c:v>0.20612182430364248</c:v>
                </c:pt>
                <c:pt idx="38">
                  <c:v>0.20762167125803488</c:v>
                </c:pt>
                <c:pt idx="39">
                  <c:v>0.2089072543617998</c:v>
                </c:pt>
                <c:pt idx="40">
                  <c:v>0.20997857361493721</c:v>
                </c:pt>
                <c:pt idx="41">
                  <c:v>0.21083562901744718</c:v>
                </c:pt>
                <c:pt idx="42">
                  <c:v>0.21147842056932964</c:v>
                </c:pt>
                <c:pt idx="43">
                  <c:v>0.21190694827058462</c:v>
                </c:pt>
                <c:pt idx="44">
                  <c:v>0.2121212121212121</c:v>
                </c:pt>
                <c:pt idx="45">
                  <c:v>0.2121212121212121</c:v>
                </c:pt>
              </c:numCache>
            </c:numRef>
          </c:val>
          <c:extLst>
            <c:ext xmlns:c16="http://schemas.microsoft.com/office/drawing/2014/chart" uri="{C3380CC4-5D6E-409C-BE32-E72D297353CC}">
              <c16:uniqueId val="{00000005-1207-4F30-8C32-A8708F061D60}"/>
            </c:ext>
          </c:extLst>
        </c:ser>
        <c:ser>
          <c:idx val="6"/>
          <c:order val="6"/>
          <c:tx>
            <c:strRef>
              <c:f>'Ej. 3'!$W$8</c:f>
              <c:strCache>
                <c:ptCount val="1"/>
                <c:pt idx="0">
                  <c:v>6</c:v>
                </c:pt>
              </c:strCache>
            </c:strRef>
          </c:tx>
          <c:spPr>
            <a:ln w="9525" cap="rnd">
              <a:solidFill>
                <a:schemeClr val="accent6">
                  <a:tint val="52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3'!$W$9:$W$54</c:f>
              <c:numCache>
                <c:formatCode>0.00%</c:formatCode>
                <c:ptCount val="46"/>
                <c:pt idx="0">
                  <c:v>0</c:v>
                </c:pt>
                <c:pt idx="1">
                  <c:v>1.117845117845118E-2</c:v>
                </c:pt>
                <c:pt idx="2">
                  <c:v>2.2102846648301196E-2</c:v>
                </c:pt>
                <c:pt idx="3">
                  <c:v>3.2773186409550049E-2</c:v>
                </c:pt>
                <c:pt idx="4">
                  <c:v>4.3189470462197732E-2</c:v>
                </c:pt>
                <c:pt idx="5">
                  <c:v>5.3351698806244255E-2</c:v>
                </c:pt>
                <c:pt idx="6">
                  <c:v>6.3259871441689625E-2</c:v>
                </c:pt>
                <c:pt idx="7">
                  <c:v>7.2913988368533827E-2</c:v>
                </c:pt>
                <c:pt idx="8">
                  <c:v>8.2314049586776863E-2</c:v>
                </c:pt>
                <c:pt idx="9">
                  <c:v>9.1460055096418733E-2</c:v>
                </c:pt>
                <c:pt idx="10">
                  <c:v>0.10035200489745945</c:v>
                </c:pt>
                <c:pt idx="11">
                  <c:v>0.108989898989899</c:v>
                </c:pt>
                <c:pt idx="12">
                  <c:v>0.11737373737373738</c:v>
                </c:pt>
                <c:pt idx="13">
                  <c:v>0.12550352004897461</c:v>
                </c:pt>
                <c:pt idx="14">
                  <c:v>0.13337924701561066</c:v>
                </c:pt>
                <c:pt idx="15">
                  <c:v>0.14100091827364553</c:v>
                </c:pt>
                <c:pt idx="16">
                  <c:v>0.1483685338230793</c:v>
                </c:pt>
                <c:pt idx="17">
                  <c:v>0.15548209366391186</c:v>
                </c:pt>
                <c:pt idx="18">
                  <c:v>0.16234159779614327</c:v>
                </c:pt>
                <c:pt idx="19">
                  <c:v>0.16894704621977349</c:v>
                </c:pt>
                <c:pt idx="20">
                  <c:v>0.1752984389348026</c:v>
                </c:pt>
                <c:pt idx="21">
                  <c:v>0.18139577594123049</c:v>
                </c:pt>
                <c:pt idx="22">
                  <c:v>0.18723905723905726</c:v>
                </c:pt>
                <c:pt idx="23">
                  <c:v>0.19282828282828282</c:v>
                </c:pt>
                <c:pt idx="24">
                  <c:v>0.19816345270890726</c:v>
                </c:pt>
                <c:pt idx="25">
                  <c:v>0.20324456688093054</c:v>
                </c:pt>
                <c:pt idx="26">
                  <c:v>0.20807162534435261</c:v>
                </c:pt>
                <c:pt idx="27">
                  <c:v>0.21264462809917356</c:v>
                </c:pt>
                <c:pt idx="28">
                  <c:v>0.21696357514539333</c:v>
                </c:pt>
                <c:pt idx="29">
                  <c:v>0.22102846648301197</c:v>
                </c:pt>
                <c:pt idx="30">
                  <c:v>0.22483930211202935</c:v>
                </c:pt>
                <c:pt idx="31">
                  <c:v>0.22839608203244566</c:v>
                </c:pt>
                <c:pt idx="32">
                  <c:v>0.23169880624426081</c:v>
                </c:pt>
                <c:pt idx="33">
                  <c:v>0.23474747474747476</c:v>
                </c:pt>
                <c:pt idx="34">
                  <c:v>0.23754208754208755</c:v>
                </c:pt>
                <c:pt idx="35">
                  <c:v>0.2400826446280992</c:v>
                </c:pt>
                <c:pt idx="36">
                  <c:v>0.24236914600550968</c:v>
                </c:pt>
                <c:pt idx="37">
                  <c:v>0.24440159167431896</c:v>
                </c:pt>
                <c:pt idx="38">
                  <c:v>0.24617998163452709</c:v>
                </c:pt>
                <c:pt idx="39">
                  <c:v>0.24770431588613409</c:v>
                </c:pt>
                <c:pt idx="40">
                  <c:v>0.24897459442913988</c:v>
                </c:pt>
                <c:pt idx="41">
                  <c:v>0.24999081726354452</c:v>
                </c:pt>
                <c:pt idx="42">
                  <c:v>0.25075298438934801</c:v>
                </c:pt>
                <c:pt idx="43">
                  <c:v>0.25126109580655037</c:v>
                </c:pt>
                <c:pt idx="44">
                  <c:v>0.25151515151515152</c:v>
                </c:pt>
                <c:pt idx="45">
                  <c:v>0.25151515151515152</c:v>
                </c:pt>
              </c:numCache>
            </c:numRef>
          </c:val>
          <c:extLst>
            <c:ext xmlns:c16="http://schemas.microsoft.com/office/drawing/2014/chart" uri="{C3380CC4-5D6E-409C-BE32-E72D297353CC}">
              <c16:uniqueId val="{00000006-1207-4F30-8C32-A8708F061D60}"/>
            </c:ext>
          </c:extLst>
        </c:ser>
        <c:ser>
          <c:idx val="7"/>
          <c:order val="7"/>
          <c:tx>
            <c:strRef>
              <c:f>'Ej. 3'!$X$8</c:f>
              <c:strCache>
                <c:ptCount val="1"/>
                <c:pt idx="0">
                  <c:v>7</c:v>
                </c:pt>
              </c:strCache>
            </c:strRef>
          </c:tx>
          <c:spPr>
            <a:ln w="9525" cap="rnd">
              <a:solidFill>
                <a:schemeClr val="accent6">
                  <a:tint val="55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3'!$X$9:$X$54</c:f>
              <c:numCache>
                <c:formatCode>0.00%</c:formatCode>
                <c:ptCount val="46"/>
                <c:pt idx="0">
                  <c:v>0</c:v>
                </c:pt>
                <c:pt idx="1">
                  <c:v>1.2884399551066216E-2</c:v>
                </c:pt>
                <c:pt idx="2">
                  <c:v>2.5475971839608206E-2</c:v>
                </c:pt>
                <c:pt idx="3">
                  <c:v>3.7774716865625953E-2</c:v>
                </c:pt>
                <c:pt idx="4">
                  <c:v>4.9780634629119476E-2</c:v>
                </c:pt>
                <c:pt idx="5">
                  <c:v>6.1493725130088758E-2</c:v>
                </c:pt>
                <c:pt idx="6">
                  <c:v>7.2913988368533827E-2</c:v>
                </c:pt>
                <c:pt idx="7">
                  <c:v>8.4041424344454635E-2</c:v>
                </c:pt>
                <c:pt idx="8">
                  <c:v>9.4876033057851236E-2</c:v>
                </c:pt>
                <c:pt idx="9">
                  <c:v>0.10541781450872359</c:v>
                </c:pt>
                <c:pt idx="10">
                  <c:v>0.11566676869707172</c:v>
                </c:pt>
                <c:pt idx="11">
                  <c:v>0.12562289562289561</c:v>
                </c:pt>
                <c:pt idx="12">
                  <c:v>0.13528619528619529</c:v>
                </c:pt>
                <c:pt idx="13">
                  <c:v>0.14465666768697069</c:v>
                </c:pt>
                <c:pt idx="14">
                  <c:v>0.1537343128252219</c:v>
                </c:pt>
                <c:pt idx="15">
                  <c:v>0.16251913070094887</c:v>
                </c:pt>
                <c:pt idx="16">
                  <c:v>0.17101112131415161</c:v>
                </c:pt>
                <c:pt idx="17">
                  <c:v>0.17921028466483011</c:v>
                </c:pt>
                <c:pt idx="18">
                  <c:v>0.18711662075298438</c:v>
                </c:pt>
                <c:pt idx="19">
                  <c:v>0.19473012957861441</c:v>
                </c:pt>
                <c:pt idx="20">
                  <c:v>0.20205081114172024</c:v>
                </c:pt>
                <c:pt idx="21">
                  <c:v>0.20907866544230178</c:v>
                </c:pt>
                <c:pt idx="22">
                  <c:v>0.21581369248035914</c:v>
                </c:pt>
                <c:pt idx="23">
                  <c:v>0.22225589225589223</c:v>
                </c:pt>
                <c:pt idx="24">
                  <c:v>0.22840526476890111</c:v>
                </c:pt>
                <c:pt idx="25">
                  <c:v>0.23426181001938579</c:v>
                </c:pt>
                <c:pt idx="26">
                  <c:v>0.23982552800734616</c:v>
                </c:pt>
                <c:pt idx="27">
                  <c:v>0.24509641873278235</c:v>
                </c:pt>
                <c:pt idx="28">
                  <c:v>0.25007448219569428</c:v>
                </c:pt>
                <c:pt idx="29">
                  <c:v>0.25475971839608202</c:v>
                </c:pt>
                <c:pt idx="30">
                  <c:v>0.25915212733394544</c:v>
                </c:pt>
                <c:pt idx="31">
                  <c:v>0.26325170900928474</c:v>
                </c:pt>
                <c:pt idx="32">
                  <c:v>0.26705846342209977</c:v>
                </c:pt>
                <c:pt idx="33">
                  <c:v>0.27057239057239058</c:v>
                </c:pt>
                <c:pt idx="34">
                  <c:v>0.27379349046015711</c:v>
                </c:pt>
                <c:pt idx="35">
                  <c:v>0.27672176308539942</c:v>
                </c:pt>
                <c:pt idx="36">
                  <c:v>0.27935720844811757</c:v>
                </c:pt>
                <c:pt idx="37">
                  <c:v>0.28169982654831138</c:v>
                </c:pt>
                <c:pt idx="38">
                  <c:v>0.28374961738598098</c:v>
                </c:pt>
                <c:pt idx="39">
                  <c:v>0.28550658096112641</c:v>
                </c:pt>
                <c:pt idx="40">
                  <c:v>0.28697071727374751</c:v>
                </c:pt>
                <c:pt idx="41">
                  <c:v>0.28814202632384445</c:v>
                </c:pt>
                <c:pt idx="42">
                  <c:v>0.28902050811141716</c:v>
                </c:pt>
                <c:pt idx="43">
                  <c:v>0.28960616263646566</c:v>
                </c:pt>
                <c:pt idx="44">
                  <c:v>0.28989898989898988</c:v>
                </c:pt>
                <c:pt idx="45">
                  <c:v>0.28989898989898988</c:v>
                </c:pt>
              </c:numCache>
            </c:numRef>
          </c:val>
          <c:extLst>
            <c:ext xmlns:c16="http://schemas.microsoft.com/office/drawing/2014/chart" uri="{C3380CC4-5D6E-409C-BE32-E72D297353CC}">
              <c16:uniqueId val="{00000007-1207-4F30-8C32-A8708F061D60}"/>
            </c:ext>
          </c:extLst>
        </c:ser>
        <c:ser>
          <c:idx val="8"/>
          <c:order val="8"/>
          <c:tx>
            <c:strRef>
              <c:f>'Ej. 3'!$Y$8</c:f>
              <c:strCache>
                <c:ptCount val="1"/>
                <c:pt idx="0">
                  <c:v>8</c:v>
                </c:pt>
              </c:strCache>
            </c:strRef>
          </c:tx>
          <c:spPr>
            <a:ln w="9525" cap="rnd">
              <a:solidFill>
                <a:schemeClr val="accent6">
                  <a:tint val="58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3'!$Y$9:$Y$54</c:f>
              <c:numCache>
                <c:formatCode>0.00%</c:formatCode>
                <c:ptCount val="46"/>
                <c:pt idx="0">
                  <c:v>0</c:v>
                </c:pt>
                <c:pt idx="1">
                  <c:v>1.4545454545454545E-2</c:v>
                </c:pt>
                <c:pt idx="2">
                  <c:v>2.8760330578512398E-2</c:v>
                </c:pt>
                <c:pt idx="3">
                  <c:v>4.2644628099173555E-2</c:v>
                </c:pt>
                <c:pt idx="4">
                  <c:v>5.6198347107438013E-2</c:v>
                </c:pt>
                <c:pt idx="5">
                  <c:v>6.9421487603305784E-2</c:v>
                </c:pt>
                <c:pt idx="6">
                  <c:v>8.2314049586776863E-2</c:v>
                </c:pt>
                <c:pt idx="7">
                  <c:v>9.4876033057851236E-2</c:v>
                </c:pt>
                <c:pt idx="8">
                  <c:v>0.10710743801652893</c:v>
                </c:pt>
                <c:pt idx="9">
                  <c:v>0.11900826446280992</c:v>
                </c:pt>
                <c:pt idx="10">
                  <c:v>0.13057851239669421</c:v>
                </c:pt>
                <c:pt idx="11">
                  <c:v>0.14181818181818182</c:v>
                </c:pt>
                <c:pt idx="12">
                  <c:v>0.15272727272727274</c:v>
                </c:pt>
                <c:pt idx="13">
                  <c:v>0.16330578512396693</c:v>
                </c:pt>
                <c:pt idx="14">
                  <c:v>0.17355371900826444</c:v>
                </c:pt>
                <c:pt idx="15">
                  <c:v>0.18347107438016527</c:v>
                </c:pt>
                <c:pt idx="16">
                  <c:v>0.19305785123966943</c:v>
                </c:pt>
                <c:pt idx="17">
                  <c:v>0.20231404958677685</c:v>
                </c:pt>
                <c:pt idx="18">
                  <c:v>0.21123966942148761</c:v>
                </c:pt>
                <c:pt idx="19">
                  <c:v>0.21983471074380165</c:v>
                </c:pt>
                <c:pt idx="20">
                  <c:v>0.22809917355371903</c:v>
                </c:pt>
                <c:pt idx="21">
                  <c:v>0.23603305785123965</c:v>
                </c:pt>
                <c:pt idx="22">
                  <c:v>0.24363636363636365</c:v>
                </c:pt>
                <c:pt idx="23">
                  <c:v>0.25090909090909091</c:v>
                </c:pt>
                <c:pt idx="24">
                  <c:v>0.25785123966942147</c:v>
                </c:pt>
                <c:pt idx="25">
                  <c:v>0.26446280991735538</c:v>
                </c:pt>
                <c:pt idx="26">
                  <c:v>0.27074380165289258</c:v>
                </c:pt>
                <c:pt idx="27">
                  <c:v>0.27669421487603307</c:v>
                </c:pt>
                <c:pt idx="28">
                  <c:v>0.28231404958677686</c:v>
                </c:pt>
                <c:pt idx="29">
                  <c:v>0.287603305785124</c:v>
                </c:pt>
                <c:pt idx="30">
                  <c:v>0.29256198347107432</c:v>
                </c:pt>
                <c:pt idx="31">
                  <c:v>0.2971900826446281</c:v>
                </c:pt>
                <c:pt idx="32">
                  <c:v>0.30148760330578511</c:v>
                </c:pt>
                <c:pt idx="33">
                  <c:v>0.30545454545454548</c:v>
                </c:pt>
                <c:pt idx="34">
                  <c:v>0.30909090909090908</c:v>
                </c:pt>
                <c:pt idx="35">
                  <c:v>0.31239669421487604</c:v>
                </c:pt>
                <c:pt idx="36">
                  <c:v>0.31537190082644634</c:v>
                </c:pt>
                <c:pt idx="37">
                  <c:v>0.31801652892561982</c:v>
                </c:pt>
                <c:pt idx="38">
                  <c:v>0.32033057851239666</c:v>
                </c:pt>
                <c:pt idx="39">
                  <c:v>0.32231404958677684</c:v>
                </c:pt>
                <c:pt idx="40">
                  <c:v>0.32396694214876032</c:v>
                </c:pt>
                <c:pt idx="41">
                  <c:v>0.32528925619834709</c:v>
                </c:pt>
                <c:pt idx="42">
                  <c:v>0.32628099173553721</c:v>
                </c:pt>
                <c:pt idx="43">
                  <c:v>0.32694214876033062</c:v>
                </c:pt>
                <c:pt idx="44">
                  <c:v>0.32727272727272727</c:v>
                </c:pt>
                <c:pt idx="45">
                  <c:v>0.32727272727272727</c:v>
                </c:pt>
              </c:numCache>
            </c:numRef>
          </c:val>
          <c:extLst>
            <c:ext xmlns:c16="http://schemas.microsoft.com/office/drawing/2014/chart" uri="{C3380CC4-5D6E-409C-BE32-E72D297353CC}">
              <c16:uniqueId val="{00000008-1207-4F30-8C32-A8708F061D60}"/>
            </c:ext>
          </c:extLst>
        </c:ser>
        <c:ser>
          <c:idx val="9"/>
          <c:order val="9"/>
          <c:tx>
            <c:strRef>
              <c:f>'Ej. 3'!$Z$8</c:f>
              <c:strCache>
                <c:ptCount val="1"/>
                <c:pt idx="0">
                  <c:v>9</c:v>
                </c:pt>
              </c:strCache>
            </c:strRef>
          </c:tx>
          <c:spPr>
            <a:ln w="9525" cap="rnd">
              <a:solidFill>
                <a:schemeClr val="accent6">
                  <a:tint val="61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3'!$Z$9:$Z$54</c:f>
              <c:numCache>
                <c:formatCode>0.00%</c:formatCode>
                <c:ptCount val="46"/>
                <c:pt idx="0">
                  <c:v>0</c:v>
                </c:pt>
                <c:pt idx="1">
                  <c:v>1.6161616161616162E-2</c:v>
                </c:pt>
                <c:pt idx="2">
                  <c:v>3.1955922865013781E-2</c:v>
                </c:pt>
                <c:pt idx="3">
                  <c:v>4.7382920110192843E-2</c:v>
                </c:pt>
                <c:pt idx="4">
                  <c:v>6.2442607897153349E-2</c:v>
                </c:pt>
                <c:pt idx="5">
                  <c:v>7.7134986225895305E-2</c:v>
                </c:pt>
                <c:pt idx="6">
                  <c:v>9.1460055096418733E-2</c:v>
                </c:pt>
                <c:pt idx="7">
                  <c:v>0.10541781450872359</c:v>
                </c:pt>
                <c:pt idx="8">
                  <c:v>0.11900826446280992</c:v>
                </c:pt>
                <c:pt idx="9">
                  <c:v>0.13223140495867769</c:v>
                </c:pt>
                <c:pt idx="10">
                  <c:v>0.14508723599632692</c:v>
                </c:pt>
                <c:pt idx="11">
                  <c:v>0.15757575757575759</c:v>
                </c:pt>
                <c:pt idx="12">
                  <c:v>0.16969696969696971</c:v>
                </c:pt>
                <c:pt idx="13">
                  <c:v>0.18145087235996327</c:v>
                </c:pt>
                <c:pt idx="14">
                  <c:v>0.1928374655647383</c:v>
                </c:pt>
                <c:pt idx="15">
                  <c:v>0.20385674931129474</c:v>
                </c:pt>
                <c:pt idx="16">
                  <c:v>0.21450872359963272</c:v>
                </c:pt>
                <c:pt idx="17">
                  <c:v>0.22479338842975208</c:v>
                </c:pt>
                <c:pt idx="18">
                  <c:v>0.23471074380165291</c:v>
                </c:pt>
                <c:pt idx="19">
                  <c:v>0.24426078971533519</c:v>
                </c:pt>
                <c:pt idx="20">
                  <c:v>0.25344352617079891</c:v>
                </c:pt>
                <c:pt idx="21">
                  <c:v>0.2622589531680441</c:v>
                </c:pt>
                <c:pt idx="22">
                  <c:v>0.27070707070707073</c:v>
                </c:pt>
                <c:pt idx="23">
                  <c:v>0.27878787878787875</c:v>
                </c:pt>
                <c:pt idx="24">
                  <c:v>0.28650137741046833</c:v>
                </c:pt>
                <c:pt idx="25">
                  <c:v>0.29384756657483935</c:v>
                </c:pt>
                <c:pt idx="26">
                  <c:v>0.30082644628099175</c:v>
                </c:pt>
                <c:pt idx="27">
                  <c:v>0.30743801652892561</c:v>
                </c:pt>
                <c:pt idx="28">
                  <c:v>0.31368227731864096</c:v>
                </c:pt>
                <c:pt idx="29">
                  <c:v>0.31955922865013781</c:v>
                </c:pt>
                <c:pt idx="30">
                  <c:v>0.32506887052341593</c:v>
                </c:pt>
                <c:pt idx="31">
                  <c:v>0.33021120293847567</c:v>
                </c:pt>
                <c:pt idx="32">
                  <c:v>0.33498622589531685</c:v>
                </c:pt>
                <c:pt idx="33">
                  <c:v>0.33939393939393941</c:v>
                </c:pt>
                <c:pt idx="34">
                  <c:v>0.34343434343434343</c:v>
                </c:pt>
                <c:pt idx="35">
                  <c:v>0.34710743801652894</c:v>
                </c:pt>
                <c:pt idx="36">
                  <c:v>0.35041322314049589</c:v>
                </c:pt>
                <c:pt idx="37">
                  <c:v>0.35335169880624429</c:v>
                </c:pt>
                <c:pt idx="38">
                  <c:v>0.35592286501377413</c:v>
                </c:pt>
                <c:pt idx="39">
                  <c:v>0.35812672176308541</c:v>
                </c:pt>
                <c:pt idx="40">
                  <c:v>0.35996326905417814</c:v>
                </c:pt>
                <c:pt idx="41">
                  <c:v>0.36143250688705236</c:v>
                </c:pt>
                <c:pt idx="42">
                  <c:v>0.36253443526170798</c:v>
                </c:pt>
                <c:pt idx="43">
                  <c:v>0.36326905417814515</c:v>
                </c:pt>
                <c:pt idx="44">
                  <c:v>0.36363636363636365</c:v>
                </c:pt>
                <c:pt idx="45">
                  <c:v>0.36363636363636365</c:v>
                </c:pt>
              </c:numCache>
            </c:numRef>
          </c:val>
          <c:extLst>
            <c:ext xmlns:c16="http://schemas.microsoft.com/office/drawing/2014/chart" uri="{C3380CC4-5D6E-409C-BE32-E72D297353CC}">
              <c16:uniqueId val="{00000009-1207-4F30-8C32-A8708F061D60}"/>
            </c:ext>
          </c:extLst>
        </c:ser>
        <c:ser>
          <c:idx val="10"/>
          <c:order val="10"/>
          <c:tx>
            <c:strRef>
              <c:f>'Ej. 3'!$AA$8</c:f>
              <c:strCache>
                <c:ptCount val="1"/>
                <c:pt idx="0">
                  <c:v>10</c:v>
                </c:pt>
              </c:strCache>
            </c:strRef>
          </c:tx>
          <c:spPr>
            <a:ln w="9525" cap="rnd">
              <a:solidFill>
                <a:schemeClr val="accent6">
                  <a:tint val="64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3'!$AA$9:$AA$54</c:f>
              <c:numCache>
                <c:formatCode>0.00%</c:formatCode>
                <c:ptCount val="46"/>
                <c:pt idx="0">
                  <c:v>0</c:v>
                </c:pt>
                <c:pt idx="1">
                  <c:v>1.7732884399551067E-2</c:v>
                </c:pt>
                <c:pt idx="2">
                  <c:v>3.5062748699112342E-2</c:v>
                </c:pt>
                <c:pt idx="3">
                  <c:v>5.1989592898683809E-2</c:v>
                </c:pt>
                <c:pt idx="4">
                  <c:v>6.8513416998265478E-2</c:v>
                </c:pt>
                <c:pt idx="5">
                  <c:v>8.4634220997857362E-2</c:v>
                </c:pt>
                <c:pt idx="6">
                  <c:v>0.10035200489745945</c:v>
                </c:pt>
                <c:pt idx="7">
                  <c:v>0.11566676869707172</c:v>
                </c:pt>
                <c:pt idx="8">
                  <c:v>0.13057851239669421</c:v>
                </c:pt>
                <c:pt idx="9">
                  <c:v>0.14508723599632692</c:v>
                </c:pt>
                <c:pt idx="10">
                  <c:v>0.1591929394959698</c:v>
                </c:pt>
                <c:pt idx="11">
                  <c:v>0.17289562289562291</c:v>
                </c:pt>
                <c:pt idx="12">
                  <c:v>0.18619528619528622</c:v>
                </c:pt>
                <c:pt idx="13">
                  <c:v>0.1990919293949597</c:v>
                </c:pt>
                <c:pt idx="14">
                  <c:v>0.21158555249464339</c:v>
                </c:pt>
                <c:pt idx="15">
                  <c:v>0.22367615549433731</c:v>
                </c:pt>
                <c:pt idx="16">
                  <c:v>0.23536373839404146</c:v>
                </c:pt>
                <c:pt idx="17">
                  <c:v>0.24664830119375575</c:v>
                </c:pt>
                <c:pt idx="18">
                  <c:v>0.25752984389348027</c:v>
                </c:pt>
                <c:pt idx="19">
                  <c:v>0.26800836649321497</c:v>
                </c:pt>
                <c:pt idx="20">
                  <c:v>0.27808386899295995</c:v>
                </c:pt>
                <c:pt idx="21">
                  <c:v>0.28775635139271505</c:v>
                </c:pt>
                <c:pt idx="22">
                  <c:v>0.29702581369248038</c:v>
                </c:pt>
                <c:pt idx="23">
                  <c:v>0.30589225589225588</c:v>
                </c:pt>
                <c:pt idx="24">
                  <c:v>0.31435567799204162</c:v>
                </c:pt>
                <c:pt idx="25">
                  <c:v>0.32241607999183763</c:v>
                </c:pt>
                <c:pt idx="26">
                  <c:v>0.33007346189164372</c:v>
                </c:pt>
                <c:pt idx="27">
                  <c:v>0.33732782369146008</c:v>
                </c:pt>
                <c:pt idx="28">
                  <c:v>0.34417916539128662</c:v>
                </c:pt>
                <c:pt idx="29">
                  <c:v>0.35062748699112339</c:v>
                </c:pt>
                <c:pt idx="30">
                  <c:v>0.35667278849097028</c:v>
                </c:pt>
                <c:pt idx="31">
                  <c:v>0.36231506989082746</c:v>
                </c:pt>
                <c:pt idx="32">
                  <c:v>0.36755433119069486</c:v>
                </c:pt>
                <c:pt idx="33">
                  <c:v>0.37239057239057244</c:v>
                </c:pt>
                <c:pt idx="34">
                  <c:v>0.37682379349046013</c:v>
                </c:pt>
                <c:pt idx="35">
                  <c:v>0.38085399449035817</c:v>
                </c:pt>
                <c:pt idx="36">
                  <c:v>0.38448117539026633</c:v>
                </c:pt>
                <c:pt idx="37">
                  <c:v>0.38770533619018471</c:v>
                </c:pt>
                <c:pt idx="38">
                  <c:v>0.39052647689011327</c:v>
                </c:pt>
                <c:pt idx="39">
                  <c:v>0.39294459749005206</c:v>
                </c:pt>
                <c:pt idx="40">
                  <c:v>0.39495969799000102</c:v>
                </c:pt>
                <c:pt idx="41">
                  <c:v>0.39657177838996022</c:v>
                </c:pt>
                <c:pt idx="42">
                  <c:v>0.39778083868992958</c:v>
                </c:pt>
                <c:pt idx="43">
                  <c:v>0.39858687888990924</c:v>
                </c:pt>
                <c:pt idx="44">
                  <c:v>0.39898989898989901</c:v>
                </c:pt>
                <c:pt idx="45">
                  <c:v>0.39898989898989901</c:v>
                </c:pt>
              </c:numCache>
            </c:numRef>
          </c:val>
          <c:extLst>
            <c:ext xmlns:c16="http://schemas.microsoft.com/office/drawing/2014/chart" uri="{C3380CC4-5D6E-409C-BE32-E72D297353CC}">
              <c16:uniqueId val="{0000000A-1207-4F30-8C32-A8708F061D60}"/>
            </c:ext>
          </c:extLst>
        </c:ser>
        <c:ser>
          <c:idx val="11"/>
          <c:order val="11"/>
          <c:tx>
            <c:strRef>
              <c:f>'Ej. 3'!$AB$8</c:f>
              <c:strCache>
                <c:ptCount val="1"/>
                <c:pt idx="0">
                  <c:v>11</c:v>
                </c:pt>
              </c:strCache>
            </c:strRef>
          </c:tx>
          <c:spPr>
            <a:ln w="9525" cap="rnd">
              <a:solidFill>
                <a:schemeClr val="accent6">
                  <a:tint val="67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3'!$AB$9:$AB$54</c:f>
              <c:numCache>
                <c:formatCode>0.00%</c:formatCode>
                <c:ptCount val="46"/>
                <c:pt idx="0">
                  <c:v>0</c:v>
                </c:pt>
                <c:pt idx="1">
                  <c:v>1.9259259259259261E-2</c:v>
                </c:pt>
                <c:pt idx="2">
                  <c:v>3.808080808080809E-2</c:v>
                </c:pt>
                <c:pt idx="3">
                  <c:v>5.6464646464646467E-2</c:v>
                </c:pt>
                <c:pt idx="4">
                  <c:v>7.4410774410774413E-2</c:v>
                </c:pt>
                <c:pt idx="5">
                  <c:v>9.1919191919191914E-2</c:v>
                </c:pt>
                <c:pt idx="6">
                  <c:v>0.108989898989899</c:v>
                </c:pt>
                <c:pt idx="7">
                  <c:v>0.12562289562289561</c:v>
                </c:pt>
                <c:pt idx="8">
                  <c:v>0.14181818181818182</c:v>
                </c:pt>
                <c:pt idx="9">
                  <c:v>0.15757575757575759</c:v>
                </c:pt>
                <c:pt idx="10">
                  <c:v>0.17289562289562291</c:v>
                </c:pt>
                <c:pt idx="11">
                  <c:v>0.18777777777777779</c:v>
                </c:pt>
                <c:pt idx="12">
                  <c:v>0.20222222222222222</c:v>
                </c:pt>
                <c:pt idx="13">
                  <c:v>0.21622895622895624</c:v>
                </c:pt>
                <c:pt idx="14">
                  <c:v>0.22979797979797981</c:v>
                </c:pt>
                <c:pt idx="15">
                  <c:v>0.24292929292929291</c:v>
                </c:pt>
                <c:pt idx="16">
                  <c:v>0.25562289562289564</c:v>
                </c:pt>
                <c:pt idx="17">
                  <c:v>0.26787878787878788</c:v>
                </c:pt>
                <c:pt idx="18">
                  <c:v>0.27969696969696972</c:v>
                </c:pt>
                <c:pt idx="19">
                  <c:v>0.2910774410774411</c:v>
                </c:pt>
                <c:pt idx="20">
                  <c:v>0.30202020202020208</c:v>
                </c:pt>
                <c:pt idx="21">
                  <c:v>0.31252525252525254</c:v>
                </c:pt>
                <c:pt idx="22">
                  <c:v>0.3225925925925926</c:v>
                </c:pt>
                <c:pt idx="23">
                  <c:v>0.3322222222222222</c:v>
                </c:pt>
                <c:pt idx="24">
                  <c:v>0.34141414141414139</c:v>
                </c:pt>
                <c:pt idx="25">
                  <c:v>0.35016835016835024</c:v>
                </c:pt>
                <c:pt idx="26">
                  <c:v>0.35848484848484852</c:v>
                </c:pt>
                <c:pt idx="27">
                  <c:v>0.36636363636363639</c:v>
                </c:pt>
                <c:pt idx="28">
                  <c:v>0.37380471380471381</c:v>
                </c:pt>
                <c:pt idx="29">
                  <c:v>0.38080808080808087</c:v>
                </c:pt>
                <c:pt idx="30">
                  <c:v>0.38737373737373731</c:v>
                </c:pt>
                <c:pt idx="31">
                  <c:v>0.39350168350168352</c:v>
                </c:pt>
                <c:pt idx="32">
                  <c:v>0.39919191919191921</c:v>
                </c:pt>
                <c:pt idx="33">
                  <c:v>0.40444444444444444</c:v>
                </c:pt>
                <c:pt idx="34">
                  <c:v>0.40925925925925927</c:v>
                </c:pt>
                <c:pt idx="35">
                  <c:v>0.41363636363636369</c:v>
                </c:pt>
                <c:pt idx="36">
                  <c:v>0.41757575757575766</c:v>
                </c:pt>
                <c:pt idx="37">
                  <c:v>0.42107744107744111</c:v>
                </c:pt>
                <c:pt idx="38">
                  <c:v>0.42414141414141415</c:v>
                </c:pt>
                <c:pt idx="39">
                  <c:v>0.4267676767676768</c:v>
                </c:pt>
                <c:pt idx="40">
                  <c:v>0.42895622895622892</c:v>
                </c:pt>
                <c:pt idx="41">
                  <c:v>0.4307070707070707</c:v>
                </c:pt>
                <c:pt idx="42">
                  <c:v>0.43202020202020203</c:v>
                </c:pt>
                <c:pt idx="43">
                  <c:v>0.43289562289562294</c:v>
                </c:pt>
                <c:pt idx="44">
                  <c:v>0.43333333333333335</c:v>
                </c:pt>
                <c:pt idx="45">
                  <c:v>0.43333333333333335</c:v>
                </c:pt>
              </c:numCache>
            </c:numRef>
          </c:val>
          <c:extLst>
            <c:ext xmlns:c16="http://schemas.microsoft.com/office/drawing/2014/chart" uri="{C3380CC4-5D6E-409C-BE32-E72D297353CC}">
              <c16:uniqueId val="{0000000B-1207-4F30-8C32-A8708F061D60}"/>
            </c:ext>
          </c:extLst>
        </c:ser>
        <c:ser>
          <c:idx val="12"/>
          <c:order val="12"/>
          <c:tx>
            <c:strRef>
              <c:f>'Ej. 3'!$AC$8</c:f>
              <c:strCache>
                <c:ptCount val="1"/>
                <c:pt idx="0">
                  <c:v>12</c:v>
                </c:pt>
              </c:strCache>
            </c:strRef>
          </c:tx>
          <c:spPr>
            <a:ln w="9525" cap="rnd">
              <a:solidFill>
                <a:schemeClr val="accent6">
                  <a:tint val="70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3'!$AC$9:$AC$54</c:f>
              <c:numCache>
                <c:formatCode>0.00%</c:formatCode>
                <c:ptCount val="46"/>
                <c:pt idx="0">
                  <c:v>0</c:v>
                </c:pt>
                <c:pt idx="1">
                  <c:v>2.074074074074074E-2</c:v>
                </c:pt>
                <c:pt idx="2">
                  <c:v>4.1010101010101017E-2</c:v>
                </c:pt>
                <c:pt idx="3">
                  <c:v>6.0808080808080811E-2</c:v>
                </c:pt>
                <c:pt idx="4">
                  <c:v>8.0134680134680128E-2</c:v>
                </c:pt>
                <c:pt idx="5">
                  <c:v>9.8989898989898975E-2</c:v>
                </c:pt>
                <c:pt idx="6">
                  <c:v>0.11737373737373738</c:v>
                </c:pt>
                <c:pt idx="7">
                  <c:v>0.13528619528619529</c:v>
                </c:pt>
                <c:pt idx="8">
                  <c:v>0.15272727272727274</c:v>
                </c:pt>
                <c:pt idx="9">
                  <c:v>0.16969696969696971</c:v>
                </c:pt>
                <c:pt idx="10">
                  <c:v>0.18619528619528622</c:v>
                </c:pt>
                <c:pt idx="11">
                  <c:v>0.20222222222222222</c:v>
                </c:pt>
                <c:pt idx="12">
                  <c:v>0.21777777777777779</c:v>
                </c:pt>
                <c:pt idx="13">
                  <c:v>0.23286195286195285</c:v>
                </c:pt>
                <c:pt idx="14">
                  <c:v>0.24747474747474746</c:v>
                </c:pt>
                <c:pt idx="15">
                  <c:v>0.26161616161616158</c:v>
                </c:pt>
                <c:pt idx="16">
                  <c:v>0.2752861952861953</c:v>
                </c:pt>
                <c:pt idx="17">
                  <c:v>0.28848484848484846</c:v>
                </c:pt>
                <c:pt idx="18">
                  <c:v>0.30121212121212126</c:v>
                </c:pt>
                <c:pt idx="19">
                  <c:v>0.31346801346801345</c:v>
                </c:pt>
                <c:pt idx="20">
                  <c:v>0.32525252525252529</c:v>
                </c:pt>
                <c:pt idx="21">
                  <c:v>0.33656565656565657</c:v>
                </c:pt>
                <c:pt idx="22">
                  <c:v>0.34740740740740744</c:v>
                </c:pt>
                <c:pt idx="23">
                  <c:v>0.35777777777777775</c:v>
                </c:pt>
                <c:pt idx="24">
                  <c:v>0.36767676767676766</c:v>
                </c:pt>
                <c:pt idx="25">
                  <c:v>0.37710437710437716</c:v>
                </c:pt>
                <c:pt idx="26">
                  <c:v>0.38606060606060605</c:v>
                </c:pt>
                <c:pt idx="27">
                  <c:v>0.39454545454545453</c:v>
                </c:pt>
                <c:pt idx="28">
                  <c:v>0.40255892255892256</c:v>
                </c:pt>
                <c:pt idx="29">
                  <c:v>0.41010101010101013</c:v>
                </c:pt>
                <c:pt idx="30">
                  <c:v>0.41717171717171714</c:v>
                </c:pt>
                <c:pt idx="31">
                  <c:v>0.42377104377104374</c:v>
                </c:pt>
                <c:pt idx="32">
                  <c:v>0.42989898989898995</c:v>
                </c:pt>
                <c:pt idx="33">
                  <c:v>0.43555555555555558</c:v>
                </c:pt>
                <c:pt idx="34">
                  <c:v>0.44074074074074071</c:v>
                </c:pt>
                <c:pt idx="35">
                  <c:v>0.44545454545454549</c:v>
                </c:pt>
                <c:pt idx="36">
                  <c:v>0.44969696969696976</c:v>
                </c:pt>
                <c:pt idx="37">
                  <c:v>0.45346801346801352</c:v>
                </c:pt>
                <c:pt idx="38">
                  <c:v>0.45676767676767677</c:v>
                </c:pt>
                <c:pt idx="39">
                  <c:v>0.45959595959595961</c:v>
                </c:pt>
                <c:pt idx="40">
                  <c:v>0.46195286195286195</c:v>
                </c:pt>
                <c:pt idx="41">
                  <c:v>0.46383838383838383</c:v>
                </c:pt>
                <c:pt idx="42">
                  <c:v>0.46525252525252525</c:v>
                </c:pt>
                <c:pt idx="43">
                  <c:v>0.46619528619528627</c:v>
                </c:pt>
                <c:pt idx="44">
                  <c:v>0.46666666666666667</c:v>
                </c:pt>
                <c:pt idx="45">
                  <c:v>0.46666666666666667</c:v>
                </c:pt>
              </c:numCache>
            </c:numRef>
          </c:val>
          <c:extLst>
            <c:ext xmlns:c16="http://schemas.microsoft.com/office/drawing/2014/chart" uri="{C3380CC4-5D6E-409C-BE32-E72D297353CC}">
              <c16:uniqueId val="{0000000C-1207-4F30-8C32-A8708F061D60}"/>
            </c:ext>
          </c:extLst>
        </c:ser>
        <c:ser>
          <c:idx val="13"/>
          <c:order val="13"/>
          <c:tx>
            <c:strRef>
              <c:f>'Ej. 3'!$AD$8</c:f>
              <c:strCache>
                <c:ptCount val="1"/>
                <c:pt idx="0">
                  <c:v>13</c:v>
                </c:pt>
              </c:strCache>
            </c:strRef>
          </c:tx>
          <c:spPr>
            <a:ln w="9525" cap="rnd">
              <a:solidFill>
                <a:schemeClr val="accent6">
                  <a:tint val="73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3'!$AD$9:$AD$54</c:f>
              <c:numCache>
                <c:formatCode>0.00%</c:formatCode>
                <c:ptCount val="46"/>
                <c:pt idx="0">
                  <c:v>0</c:v>
                </c:pt>
                <c:pt idx="1">
                  <c:v>2.2177328843995512E-2</c:v>
                </c:pt>
                <c:pt idx="2">
                  <c:v>4.3850627486991131E-2</c:v>
                </c:pt>
                <c:pt idx="3">
                  <c:v>6.501989592898684E-2</c:v>
                </c:pt>
                <c:pt idx="4">
                  <c:v>8.5685134169982649E-2</c:v>
                </c:pt>
                <c:pt idx="5">
                  <c:v>0.10584634220997856</c:v>
                </c:pt>
                <c:pt idx="6">
                  <c:v>0.12550352004897461</c:v>
                </c:pt>
                <c:pt idx="7">
                  <c:v>0.14465666768697069</c:v>
                </c:pt>
                <c:pt idx="8">
                  <c:v>0.16330578512396693</c:v>
                </c:pt>
                <c:pt idx="9">
                  <c:v>0.18145087235996327</c:v>
                </c:pt>
                <c:pt idx="10">
                  <c:v>0.1990919293949597</c:v>
                </c:pt>
                <c:pt idx="11">
                  <c:v>0.21622895622895624</c:v>
                </c:pt>
                <c:pt idx="12">
                  <c:v>0.23286195286195285</c:v>
                </c:pt>
                <c:pt idx="13">
                  <c:v>0.24899091929394959</c:v>
                </c:pt>
                <c:pt idx="14">
                  <c:v>0.26461585552494643</c:v>
                </c:pt>
                <c:pt idx="15">
                  <c:v>0.27973676155494337</c:v>
                </c:pt>
                <c:pt idx="16">
                  <c:v>0.29435363738394044</c:v>
                </c:pt>
                <c:pt idx="17">
                  <c:v>0.30846648301193752</c:v>
                </c:pt>
                <c:pt idx="18">
                  <c:v>0.32207529843893484</c:v>
                </c:pt>
                <c:pt idx="19">
                  <c:v>0.33518008366493213</c:v>
                </c:pt>
                <c:pt idx="20">
                  <c:v>0.34778083868992959</c:v>
                </c:pt>
                <c:pt idx="21">
                  <c:v>0.35987756351392713</c:v>
                </c:pt>
                <c:pt idx="22">
                  <c:v>0.3714702581369248</c:v>
                </c:pt>
                <c:pt idx="23">
                  <c:v>0.38255892255892254</c:v>
                </c:pt>
                <c:pt idx="24">
                  <c:v>0.39314355677992041</c:v>
                </c:pt>
                <c:pt idx="25">
                  <c:v>0.40322416079991841</c:v>
                </c:pt>
                <c:pt idx="26">
                  <c:v>0.41280073461891642</c:v>
                </c:pt>
                <c:pt idx="27">
                  <c:v>0.42187327823691462</c:v>
                </c:pt>
                <c:pt idx="28">
                  <c:v>0.43044179165391289</c:v>
                </c:pt>
                <c:pt idx="29">
                  <c:v>0.43850627486991128</c:v>
                </c:pt>
                <c:pt idx="30">
                  <c:v>0.44606672788490964</c:v>
                </c:pt>
                <c:pt idx="31">
                  <c:v>0.45312315069890824</c:v>
                </c:pt>
                <c:pt idx="32">
                  <c:v>0.45967554331190696</c:v>
                </c:pt>
                <c:pt idx="33">
                  <c:v>0.46572390572390571</c:v>
                </c:pt>
                <c:pt idx="34">
                  <c:v>0.47126823793490458</c:v>
                </c:pt>
                <c:pt idx="35">
                  <c:v>0.47630853994490358</c:v>
                </c:pt>
                <c:pt idx="36">
                  <c:v>0.4808448117539027</c:v>
                </c:pt>
                <c:pt idx="37">
                  <c:v>0.48487705336190184</c:v>
                </c:pt>
                <c:pt idx="38">
                  <c:v>0.48840526476890112</c:v>
                </c:pt>
                <c:pt idx="39">
                  <c:v>0.49142944597490051</c:v>
                </c:pt>
                <c:pt idx="40">
                  <c:v>0.49394959697989999</c:v>
                </c:pt>
                <c:pt idx="41">
                  <c:v>0.49596571778389958</c:v>
                </c:pt>
                <c:pt idx="42">
                  <c:v>0.49747780838689926</c:v>
                </c:pt>
                <c:pt idx="43">
                  <c:v>0.49848586878889911</c:v>
                </c:pt>
                <c:pt idx="44">
                  <c:v>0.49898989898989898</c:v>
                </c:pt>
                <c:pt idx="45">
                  <c:v>0.49898989898989898</c:v>
                </c:pt>
              </c:numCache>
            </c:numRef>
          </c:val>
          <c:extLst>
            <c:ext xmlns:c16="http://schemas.microsoft.com/office/drawing/2014/chart" uri="{C3380CC4-5D6E-409C-BE32-E72D297353CC}">
              <c16:uniqueId val="{0000000D-1207-4F30-8C32-A8708F061D60}"/>
            </c:ext>
          </c:extLst>
        </c:ser>
        <c:ser>
          <c:idx val="14"/>
          <c:order val="14"/>
          <c:tx>
            <c:strRef>
              <c:f>'Ej. 3'!$AE$8</c:f>
              <c:strCache>
                <c:ptCount val="1"/>
                <c:pt idx="0">
                  <c:v>14</c:v>
                </c:pt>
              </c:strCache>
            </c:strRef>
          </c:tx>
          <c:spPr>
            <a:ln w="9525" cap="rnd">
              <a:solidFill>
                <a:schemeClr val="accent6">
                  <a:tint val="76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3'!$AE$9:$AE$54</c:f>
              <c:numCache>
                <c:formatCode>0.00%</c:formatCode>
                <c:ptCount val="46"/>
                <c:pt idx="0">
                  <c:v>0</c:v>
                </c:pt>
                <c:pt idx="1">
                  <c:v>2.3569023569023569E-2</c:v>
                </c:pt>
                <c:pt idx="2">
                  <c:v>4.6602387511478424E-2</c:v>
                </c:pt>
                <c:pt idx="3">
                  <c:v>6.9100091827364554E-2</c:v>
                </c:pt>
                <c:pt idx="4">
                  <c:v>9.1062136516681963E-2</c:v>
                </c:pt>
                <c:pt idx="5">
                  <c:v>0.11248852157943065</c:v>
                </c:pt>
                <c:pt idx="6">
                  <c:v>0.13337924701561066</c:v>
                </c:pt>
                <c:pt idx="7">
                  <c:v>0.1537343128252219</c:v>
                </c:pt>
                <c:pt idx="8">
                  <c:v>0.17355371900826444</c:v>
                </c:pt>
                <c:pt idx="9">
                  <c:v>0.1928374655647383</c:v>
                </c:pt>
                <c:pt idx="10">
                  <c:v>0.21158555249464339</c:v>
                </c:pt>
                <c:pt idx="11">
                  <c:v>0.22979797979797981</c:v>
                </c:pt>
                <c:pt idx="12">
                  <c:v>0.24747474747474746</c:v>
                </c:pt>
                <c:pt idx="13">
                  <c:v>0.26461585552494643</c:v>
                </c:pt>
                <c:pt idx="14">
                  <c:v>0.28122130394857664</c:v>
                </c:pt>
                <c:pt idx="15">
                  <c:v>0.29729109274563814</c:v>
                </c:pt>
                <c:pt idx="16">
                  <c:v>0.31282522191613099</c:v>
                </c:pt>
                <c:pt idx="17">
                  <c:v>0.32782369146005508</c:v>
                </c:pt>
                <c:pt idx="18">
                  <c:v>0.34228650137741046</c:v>
                </c:pt>
                <c:pt idx="19">
                  <c:v>0.35621365166819713</c:v>
                </c:pt>
                <c:pt idx="20">
                  <c:v>0.36960514233241509</c:v>
                </c:pt>
                <c:pt idx="21">
                  <c:v>0.38246097337006424</c:v>
                </c:pt>
                <c:pt idx="22">
                  <c:v>0.39478114478114479</c:v>
                </c:pt>
                <c:pt idx="23">
                  <c:v>0.40656565656565652</c:v>
                </c:pt>
                <c:pt idx="24">
                  <c:v>0.4178145087235996</c:v>
                </c:pt>
                <c:pt idx="25">
                  <c:v>0.42852770125497402</c:v>
                </c:pt>
                <c:pt idx="26">
                  <c:v>0.43870523415977958</c:v>
                </c:pt>
                <c:pt idx="27">
                  <c:v>0.44834710743801653</c:v>
                </c:pt>
                <c:pt idx="28">
                  <c:v>0.45745332108968473</c:v>
                </c:pt>
                <c:pt idx="29">
                  <c:v>0.46602387511478421</c:v>
                </c:pt>
                <c:pt idx="30">
                  <c:v>0.47405876951331488</c:v>
                </c:pt>
                <c:pt idx="31">
                  <c:v>0.48155800428527695</c:v>
                </c:pt>
                <c:pt idx="32">
                  <c:v>0.48852157943067032</c:v>
                </c:pt>
                <c:pt idx="33">
                  <c:v>0.49494949494949492</c:v>
                </c:pt>
                <c:pt idx="34">
                  <c:v>0.50084175084175075</c:v>
                </c:pt>
                <c:pt idx="35">
                  <c:v>0.50619834710743805</c:v>
                </c:pt>
                <c:pt idx="36">
                  <c:v>0.51101928374655647</c:v>
                </c:pt>
                <c:pt idx="37">
                  <c:v>0.51530456075910624</c:v>
                </c:pt>
                <c:pt idx="38">
                  <c:v>0.51905417814508714</c:v>
                </c:pt>
                <c:pt idx="39">
                  <c:v>0.5222681359044995</c:v>
                </c:pt>
                <c:pt idx="40">
                  <c:v>0.52494643403734309</c:v>
                </c:pt>
                <c:pt idx="41">
                  <c:v>0.52708907254361792</c:v>
                </c:pt>
                <c:pt idx="42">
                  <c:v>0.5286960514233241</c:v>
                </c:pt>
                <c:pt idx="43">
                  <c:v>0.52976737067646162</c:v>
                </c:pt>
                <c:pt idx="44">
                  <c:v>0.53030303030303028</c:v>
                </c:pt>
                <c:pt idx="45">
                  <c:v>0.53030303030303028</c:v>
                </c:pt>
              </c:numCache>
            </c:numRef>
          </c:val>
          <c:extLst>
            <c:ext xmlns:c16="http://schemas.microsoft.com/office/drawing/2014/chart" uri="{C3380CC4-5D6E-409C-BE32-E72D297353CC}">
              <c16:uniqueId val="{0000000E-1207-4F30-8C32-A8708F061D60}"/>
            </c:ext>
          </c:extLst>
        </c:ser>
        <c:ser>
          <c:idx val="15"/>
          <c:order val="15"/>
          <c:tx>
            <c:strRef>
              <c:f>'Ej. 3'!$AF$8</c:f>
              <c:strCache>
                <c:ptCount val="1"/>
                <c:pt idx="0">
                  <c:v>15</c:v>
                </c:pt>
              </c:strCache>
            </c:strRef>
          </c:tx>
          <c:spPr>
            <a:ln w="9525" cap="rnd">
              <a:solidFill>
                <a:schemeClr val="accent6">
                  <a:tint val="79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3'!$AF$9:$AF$54</c:f>
              <c:numCache>
                <c:formatCode>0.00%</c:formatCode>
                <c:ptCount val="46"/>
                <c:pt idx="0">
                  <c:v>0</c:v>
                </c:pt>
                <c:pt idx="1">
                  <c:v>2.4915824915824916E-2</c:v>
                </c:pt>
                <c:pt idx="2">
                  <c:v>4.9265381083562904E-2</c:v>
                </c:pt>
                <c:pt idx="3">
                  <c:v>7.3048668503213954E-2</c:v>
                </c:pt>
                <c:pt idx="4">
                  <c:v>9.626568717477807E-2</c:v>
                </c:pt>
                <c:pt idx="5">
                  <c:v>0.11891643709825525</c:v>
                </c:pt>
                <c:pt idx="6">
                  <c:v>0.14100091827364553</c:v>
                </c:pt>
                <c:pt idx="7">
                  <c:v>0.16251913070094887</c:v>
                </c:pt>
                <c:pt idx="8">
                  <c:v>0.18347107438016527</c:v>
                </c:pt>
                <c:pt idx="9">
                  <c:v>0.20385674931129474</c:v>
                </c:pt>
                <c:pt idx="10">
                  <c:v>0.22367615549433731</c:v>
                </c:pt>
                <c:pt idx="11">
                  <c:v>0.24292929292929291</c:v>
                </c:pt>
                <c:pt idx="12">
                  <c:v>0.26161616161616158</c:v>
                </c:pt>
                <c:pt idx="13">
                  <c:v>0.27973676155494337</c:v>
                </c:pt>
                <c:pt idx="14">
                  <c:v>0.29729109274563814</c:v>
                </c:pt>
                <c:pt idx="15">
                  <c:v>0.31427915518824606</c:v>
                </c:pt>
                <c:pt idx="16">
                  <c:v>0.33070094888276702</c:v>
                </c:pt>
                <c:pt idx="17">
                  <c:v>0.34655647382920107</c:v>
                </c:pt>
                <c:pt idx="18">
                  <c:v>0.36184573002754822</c:v>
                </c:pt>
                <c:pt idx="19">
                  <c:v>0.37656871747780835</c:v>
                </c:pt>
                <c:pt idx="20">
                  <c:v>0.39072543617998162</c:v>
                </c:pt>
                <c:pt idx="21">
                  <c:v>0.40431588613406788</c:v>
                </c:pt>
                <c:pt idx="22">
                  <c:v>0.41734006734006729</c:v>
                </c:pt>
                <c:pt idx="23">
                  <c:v>0.42979797979797973</c:v>
                </c:pt>
                <c:pt idx="24">
                  <c:v>0.44168962350780527</c:v>
                </c:pt>
                <c:pt idx="25">
                  <c:v>0.45301499846954396</c:v>
                </c:pt>
                <c:pt idx="26">
                  <c:v>0.46377410468319552</c:v>
                </c:pt>
                <c:pt idx="27">
                  <c:v>0.47396694214876028</c:v>
                </c:pt>
                <c:pt idx="28">
                  <c:v>0.48359351086623809</c:v>
                </c:pt>
                <c:pt idx="29">
                  <c:v>0.49265381083562904</c:v>
                </c:pt>
                <c:pt idx="30">
                  <c:v>0.50114784205693286</c:v>
                </c:pt>
                <c:pt idx="31">
                  <c:v>0.50907560453014988</c:v>
                </c:pt>
                <c:pt idx="32">
                  <c:v>0.51643709825528006</c:v>
                </c:pt>
                <c:pt idx="33">
                  <c:v>0.52323232323232316</c:v>
                </c:pt>
                <c:pt idx="34">
                  <c:v>0.52946127946127941</c:v>
                </c:pt>
                <c:pt idx="35">
                  <c:v>0.5351239669421487</c:v>
                </c:pt>
                <c:pt idx="36">
                  <c:v>0.54022038567493114</c:v>
                </c:pt>
                <c:pt idx="37">
                  <c:v>0.5447505356596265</c:v>
                </c:pt>
                <c:pt idx="38">
                  <c:v>0.54871441689623501</c:v>
                </c:pt>
                <c:pt idx="39">
                  <c:v>0.55211202938475656</c:v>
                </c:pt>
                <c:pt idx="40">
                  <c:v>0.55494337312519126</c:v>
                </c:pt>
                <c:pt idx="41">
                  <c:v>0.557208448117539</c:v>
                </c:pt>
                <c:pt idx="42">
                  <c:v>0.55890725436179978</c:v>
                </c:pt>
                <c:pt idx="43">
                  <c:v>0.5600397918579737</c:v>
                </c:pt>
                <c:pt idx="44">
                  <c:v>0.56060606060606055</c:v>
                </c:pt>
                <c:pt idx="45">
                  <c:v>0.56060606060606055</c:v>
                </c:pt>
              </c:numCache>
            </c:numRef>
          </c:val>
          <c:extLst>
            <c:ext xmlns:c16="http://schemas.microsoft.com/office/drawing/2014/chart" uri="{C3380CC4-5D6E-409C-BE32-E72D297353CC}">
              <c16:uniqueId val="{0000000F-1207-4F30-8C32-A8708F061D60}"/>
            </c:ext>
          </c:extLst>
        </c:ser>
        <c:ser>
          <c:idx val="16"/>
          <c:order val="16"/>
          <c:tx>
            <c:strRef>
              <c:f>'Ej. 3'!$AG$8</c:f>
              <c:strCache>
                <c:ptCount val="1"/>
                <c:pt idx="0">
                  <c:v>16</c:v>
                </c:pt>
              </c:strCache>
            </c:strRef>
          </c:tx>
          <c:spPr>
            <a:ln w="9525" cap="rnd">
              <a:solidFill>
                <a:schemeClr val="accent6">
                  <a:tint val="82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3'!$AG$9:$AG$54</c:f>
              <c:numCache>
                <c:formatCode>0.00%</c:formatCode>
                <c:ptCount val="46"/>
                <c:pt idx="0">
                  <c:v>0</c:v>
                </c:pt>
                <c:pt idx="1">
                  <c:v>2.6217732884399554E-2</c:v>
                </c:pt>
                <c:pt idx="2">
                  <c:v>5.1839608203244576E-2</c:v>
                </c:pt>
                <c:pt idx="3">
                  <c:v>7.6865625956535052E-2</c:v>
                </c:pt>
                <c:pt idx="4">
                  <c:v>0.101295786144271</c:v>
                </c:pt>
                <c:pt idx="5">
                  <c:v>0.1251300887664524</c:v>
                </c:pt>
                <c:pt idx="6">
                  <c:v>0.1483685338230793</c:v>
                </c:pt>
                <c:pt idx="7">
                  <c:v>0.17101112131415161</c:v>
                </c:pt>
                <c:pt idx="8">
                  <c:v>0.19305785123966943</c:v>
                </c:pt>
                <c:pt idx="9">
                  <c:v>0.21450872359963272</c:v>
                </c:pt>
                <c:pt idx="10">
                  <c:v>0.23536373839404146</c:v>
                </c:pt>
                <c:pt idx="11">
                  <c:v>0.25562289562289564</c:v>
                </c:pt>
                <c:pt idx="12">
                  <c:v>0.2752861952861953</c:v>
                </c:pt>
                <c:pt idx="13">
                  <c:v>0.29435363738394044</c:v>
                </c:pt>
                <c:pt idx="14">
                  <c:v>0.31282522191613099</c:v>
                </c:pt>
                <c:pt idx="15">
                  <c:v>0.33070094888276702</c:v>
                </c:pt>
                <c:pt idx="16">
                  <c:v>0.34798081828384864</c:v>
                </c:pt>
                <c:pt idx="17">
                  <c:v>0.36466483011937556</c:v>
                </c:pt>
                <c:pt idx="18">
                  <c:v>0.38075298438934807</c:v>
                </c:pt>
                <c:pt idx="19">
                  <c:v>0.39624528109376594</c:v>
                </c:pt>
                <c:pt idx="20">
                  <c:v>0.41114172023262935</c:v>
                </c:pt>
                <c:pt idx="21">
                  <c:v>0.42544230180593817</c:v>
                </c:pt>
                <c:pt idx="22">
                  <c:v>0.43914702581369253</c:v>
                </c:pt>
                <c:pt idx="23">
                  <c:v>0.45225589225589224</c:v>
                </c:pt>
                <c:pt idx="24">
                  <c:v>0.46476890113253749</c:v>
                </c:pt>
                <c:pt idx="25">
                  <c:v>0.47668605244362827</c:v>
                </c:pt>
                <c:pt idx="26">
                  <c:v>0.48800734618916441</c:v>
                </c:pt>
                <c:pt idx="27">
                  <c:v>0.49873278236914603</c:v>
                </c:pt>
                <c:pt idx="28">
                  <c:v>0.50886236098357318</c:v>
                </c:pt>
                <c:pt idx="29">
                  <c:v>0.5183960820324458</c:v>
                </c:pt>
                <c:pt idx="30">
                  <c:v>0.52733394551576362</c:v>
                </c:pt>
                <c:pt idx="31">
                  <c:v>0.5356759514335272</c:v>
                </c:pt>
                <c:pt idx="32">
                  <c:v>0.54342209978573619</c:v>
                </c:pt>
                <c:pt idx="33">
                  <c:v>0.5505723905723906</c:v>
                </c:pt>
                <c:pt idx="34">
                  <c:v>0.55712682379349043</c:v>
                </c:pt>
                <c:pt idx="35">
                  <c:v>0.56308539944903591</c:v>
                </c:pt>
                <c:pt idx="36">
                  <c:v>0.56844811753902669</c:v>
                </c:pt>
                <c:pt idx="37">
                  <c:v>0.573214978063463</c:v>
                </c:pt>
                <c:pt idx="38">
                  <c:v>0.57738598102234462</c:v>
                </c:pt>
                <c:pt idx="39">
                  <c:v>0.58096112641567188</c:v>
                </c:pt>
                <c:pt idx="40">
                  <c:v>0.58394041424344456</c:v>
                </c:pt>
                <c:pt idx="41">
                  <c:v>0.58632384450566266</c:v>
                </c:pt>
                <c:pt idx="42">
                  <c:v>0.58811141720232629</c:v>
                </c:pt>
                <c:pt idx="43">
                  <c:v>0.58930313233343545</c:v>
                </c:pt>
                <c:pt idx="44">
                  <c:v>0.58989898989898992</c:v>
                </c:pt>
                <c:pt idx="45">
                  <c:v>0.58989898989898992</c:v>
                </c:pt>
              </c:numCache>
            </c:numRef>
          </c:val>
          <c:extLst>
            <c:ext xmlns:c16="http://schemas.microsoft.com/office/drawing/2014/chart" uri="{C3380CC4-5D6E-409C-BE32-E72D297353CC}">
              <c16:uniqueId val="{00000010-1207-4F30-8C32-A8708F061D60}"/>
            </c:ext>
          </c:extLst>
        </c:ser>
        <c:ser>
          <c:idx val="17"/>
          <c:order val="17"/>
          <c:tx>
            <c:strRef>
              <c:f>'Ej. 3'!$AH$8</c:f>
              <c:strCache>
                <c:ptCount val="1"/>
                <c:pt idx="0">
                  <c:v>17</c:v>
                </c:pt>
              </c:strCache>
            </c:strRef>
          </c:tx>
          <c:spPr>
            <a:ln w="9525" cap="rnd">
              <a:solidFill>
                <a:schemeClr val="accent6">
                  <a:tint val="85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3'!$AH$9:$AH$54</c:f>
              <c:numCache>
                <c:formatCode>0.00%</c:formatCode>
                <c:ptCount val="46"/>
                <c:pt idx="0">
                  <c:v>0</c:v>
                </c:pt>
                <c:pt idx="1">
                  <c:v>2.7474747474747475E-2</c:v>
                </c:pt>
                <c:pt idx="2">
                  <c:v>5.4325068870523421E-2</c:v>
                </c:pt>
                <c:pt idx="3">
                  <c:v>8.0550964187327823E-2</c:v>
                </c:pt>
                <c:pt idx="4">
                  <c:v>0.10615243342516069</c:v>
                </c:pt>
                <c:pt idx="5">
                  <c:v>0.13112947658402202</c:v>
                </c:pt>
                <c:pt idx="6">
                  <c:v>0.15548209366391186</c:v>
                </c:pt>
                <c:pt idx="7">
                  <c:v>0.17921028466483011</c:v>
                </c:pt>
                <c:pt idx="8">
                  <c:v>0.20231404958677685</c:v>
                </c:pt>
                <c:pt idx="9">
                  <c:v>0.22479338842975208</c:v>
                </c:pt>
                <c:pt idx="10">
                  <c:v>0.24664830119375575</c:v>
                </c:pt>
                <c:pt idx="11">
                  <c:v>0.26787878787878788</c:v>
                </c:pt>
                <c:pt idx="12">
                  <c:v>0.28848484848484846</c:v>
                </c:pt>
                <c:pt idx="13">
                  <c:v>0.30846648301193752</c:v>
                </c:pt>
                <c:pt idx="14">
                  <c:v>0.32782369146005508</c:v>
                </c:pt>
                <c:pt idx="15">
                  <c:v>0.34655647382920107</c:v>
                </c:pt>
                <c:pt idx="16">
                  <c:v>0.36466483011937556</c:v>
                </c:pt>
                <c:pt idx="17">
                  <c:v>0.38214876033057849</c:v>
                </c:pt>
                <c:pt idx="18">
                  <c:v>0.39900826446280996</c:v>
                </c:pt>
                <c:pt idx="19">
                  <c:v>0.41524334251606976</c:v>
                </c:pt>
                <c:pt idx="20">
                  <c:v>0.43085399449035816</c:v>
                </c:pt>
                <c:pt idx="21">
                  <c:v>0.44584022038567489</c:v>
                </c:pt>
                <c:pt idx="22">
                  <c:v>0.46020202020202022</c:v>
                </c:pt>
                <c:pt idx="23">
                  <c:v>0.47393939393939388</c:v>
                </c:pt>
                <c:pt idx="24">
                  <c:v>0.48705234159779609</c:v>
                </c:pt>
                <c:pt idx="25">
                  <c:v>0.49954086317722685</c:v>
                </c:pt>
                <c:pt idx="26">
                  <c:v>0.51140495867768598</c:v>
                </c:pt>
                <c:pt idx="27">
                  <c:v>0.52264462809917356</c:v>
                </c:pt>
                <c:pt idx="28">
                  <c:v>0.53325987144168963</c:v>
                </c:pt>
                <c:pt idx="29">
                  <c:v>0.54325068870523419</c:v>
                </c:pt>
                <c:pt idx="30">
                  <c:v>0.55261707988980702</c:v>
                </c:pt>
                <c:pt idx="31">
                  <c:v>0.56135904499540856</c:v>
                </c:pt>
                <c:pt idx="32">
                  <c:v>0.5694765840220386</c:v>
                </c:pt>
                <c:pt idx="33">
                  <c:v>0.57696969696969691</c:v>
                </c:pt>
                <c:pt idx="34">
                  <c:v>0.58383838383838382</c:v>
                </c:pt>
                <c:pt idx="35">
                  <c:v>0.59008264462809923</c:v>
                </c:pt>
                <c:pt idx="36">
                  <c:v>0.59570247933884302</c:v>
                </c:pt>
                <c:pt idx="37">
                  <c:v>0.6006978879706153</c:v>
                </c:pt>
                <c:pt idx="38">
                  <c:v>0.60506887052341596</c:v>
                </c:pt>
                <c:pt idx="39">
                  <c:v>0.60881542699724522</c:v>
                </c:pt>
                <c:pt idx="40">
                  <c:v>0.61193755739210276</c:v>
                </c:pt>
                <c:pt idx="41">
                  <c:v>0.6144352617079889</c:v>
                </c:pt>
                <c:pt idx="42">
                  <c:v>0.61630853994490353</c:v>
                </c:pt>
                <c:pt idx="43">
                  <c:v>0.61755739210284666</c:v>
                </c:pt>
                <c:pt idx="44">
                  <c:v>0.61818181818181817</c:v>
                </c:pt>
                <c:pt idx="45">
                  <c:v>0.61818181818181817</c:v>
                </c:pt>
              </c:numCache>
            </c:numRef>
          </c:val>
          <c:extLst>
            <c:ext xmlns:c16="http://schemas.microsoft.com/office/drawing/2014/chart" uri="{C3380CC4-5D6E-409C-BE32-E72D297353CC}">
              <c16:uniqueId val="{00000011-1207-4F30-8C32-A8708F061D60}"/>
            </c:ext>
          </c:extLst>
        </c:ser>
        <c:ser>
          <c:idx val="18"/>
          <c:order val="18"/>
          <c:tx>
            <c:strRef>
              <c:f>'Ej. 3'!$AI$8</c:f>
              <c:strCache>
                <c:ptCount val="1"/>
                <c:pt idx="0">
                  <c:v>18</c:v>
                </c:pt>
              </c:strCache>
            </c:strRef>
          </c:tx>
          <c:spPr>
            <a:ln w="9525" cap="rnd">
              <a:solidFill>
                <a:schemeClr val="accent6">
                  <a:tint val="88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3'!$AI$9:$AI$54</c:f>
              <c:numCache>
                <c:formatCode>0.00%</c:formatCode>
                <c:ptCount val="46"/>
                <c:pt idx="0">
                  <c:v>0</c:v>
                </c:pt>
                <c:pt idx="1">
                  <c:v>2.8686868686868691E-2</c:v>
                </c:pt>
                <c:pt idx="2">
                  <c:v>5.672176308539946E-2</c:v>
                </c:pt>
                <c:pt idx="3">
                  <c:v>8.4104683195592292E-2</c:v>
                </c:pt>
                <c:pt idx="4">
                  <c:v>0.1108356290174472</c:v>
                </c:pt>
                <c:pt idx="5">
                  <c:v>0.13691460055096419</c:v>
                </c:pt>
                <c:pt idx="6">
                  <c:v>0.16234159779614327</c:v>
                </c:pt>
                <c:pt idx="7">
                  <c:v>0.18711662075298438</c:v>
                </c:pt>
                <c:pt idx="8">
                  <c:v>0.21123966942148761</c:v>
                </c:pt>
                <c:pt idx="9">
                  <c:v>0.23471074380165291</c:v>
                </c:pt>
                <c:pt idx="10">
                  <c:v>0.25752984389348027</c:v>
                </c:pt>
                <c:pt idx="11">
                  <c:v>0.27969696969696972</c:v>
                </c:pt>
                <c:pt idx="12">
                  <c:v>0.30121212121212126</c:v>
                </c:pt>
                <c:pt idx="13">
                  <c:v>0.32207529843893484</c:v>
                </c:pt>
                <c:pt idx="14">
                  <c:v>0.34228650137741046</c:v>
                </c:pt>
                <c:pt idx="15">
                  <c:v>0.36184573002754822</c:v>
                </c:pt>
                <c:pt idx="16">
                  <c:v>0.38075298438934807</c:v>
                </c:pt>
                <c:pt idx="17">
                  <c:v>0.39900826446280996</c:v>
                </c:pt>
                <c:pt idx="18">
                  <c:v>0.41661157024793394</c:v>
                </c:pt>
                <c:pt idx="19">
                  <c:v>0.43356290174471995</c:v>
                </c:pt>
                <c:pt idx="20">
                  <c:v>0.44986225895316811</c:v>
                </c:pt>
                <c:pt idx="21">
                  <c:v>0.46550964187327826</c:v>
                </c:pt>
                <c:pt idx="22">
                  <c:v>0.48050505050505055</c:v>
                </c:pt>
                <c:pt idx="23">
                  <c:v>0.49484848484848487</c:v>
                </c:pt>
                <c:pt idx="24">
                  <c:v>0.50853994490358123</c:v>
                </c:pt>
                <c:pt idx="25">
                  <c:v>0.52157943067033985</c:v>
                </c:pt>
                <c:pt idx="26">
                  <c:v>0.53396694214876039</c:v>
                </c:pt>
                <c:pt idx="27">
                  <c:v>0.54570247933884297</c:v>
                </c:pt>
                <c:pt idx="28">
                  <c:v>0.5567860422405877</c:v>
                </c:pt>
                <c:pt idx="29">
                  <c:v>0.56721763085399457</c:v>
                </c:pt>
                <c:pt idx="30">
                  <c:v>0.57699724517906337</c:v>
                </c:pt>
                <c:pt idx="31">
                  <c:v>0.58612488521579431</c:v>
                </c:pt>
                <c:pt idx="32">
                  <c:v>0.5946005509641874</c:v>
                </c:pt>
                <c:pt idx="33">
                  <c:v>0.60242424242424253</c:v>
                </c:pt>
                <c:pt idx="34">
                  <c:v>0.60959595959595958</c:v>
                </c:pt>
                <c:pt idx="35">
                  <c:v>0.61611570247933889</c:v>
                </c:pt>
                <c:pt idx="36">
                  <c:v>0.62198347107438023</c:v>
                </c:pt>
                <c:pt idx="37">
                  <c:v>0.62719926538108361</c:v>
                </c:pt>
                <c:pt idx="38">
                  <c:v>0.63176308539944903</c:v>
                </c:pt>
                <c:pt idx="39">
                  <c:v>0.63567493112947659</c:v>
                </c:pt>
                <c:pt idx="40">
                  <c:v>0.63893480257116619</c:v>
                </c:pt>
                <c:pt idx="41">
                  <c:v>0.64154269972451794</c:v>
                </c:pt>
                <c:pt idx="42">
                  <c:v>0.64349862258953172</c:v>
                </c:pt>
                <c:pt idx="43">
                  <c:v>0.64480257116620765</c:v>
                </c:pt>
                <c:pt idx="44">
                  <c:v>0.6454545454545455</c:v>
                </c:pt>
                <c:pt idx="45">
                  <c:v>0.6454545454545455</c:v>
                </c:pt>
              </c:numCache>
            </c:numRef>
          </c:val>
          <c:extLst>
            <c:ext xmlns:c16="http://schemas.microsoft.com/office/drawing/2014/chart" uri="{C3380CC4-5D6E-409C-BE32-E72D297353CC}">
              <c16:uniqueId val="{00000012-1207-4F30-8C32-A8708F061D60}"/>
            </c:ext>
          </c:extLst>
        </c:ser>
        <c:ser>
          <c:idx val="19"/>
          <c:order val="19"/>
          <c:tx>
            <c:strRef>
              <c:f>'Ej. 3'!$AJ$8</c:f>
              <c:strCache>
                <c:ptCount val="1"/>
                <c:pt idx="0">
                  <c:v>19</c:v>
                </c:pt>
              </c:strCache>
            </c:strRef>
          </c:tx>
          <c:spPr>
            <a:ln w="9525" cap="rnd">
              <a:solidFill>
                <a:schemeClr val="accent6">
                  <a:tint val="91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3'!$AJ$9:$AJ$54</c:f>
              <c:numCache>
                <c:formatCode>0.00%</c:formatCode>
                <c:ptCount val="46"/>
                <c:pt idx="0">
                  <c:v>0</c:v>
                </c:pt>
                <c:pt idx="1">
                  <c:v>2.985409652076319E-2</c:v>
                </c:pt>
                <c:pt idx="2">
                  <c:v>5.9029690847872671E-2</c:v>
                </c:pt>
                <c:pt idx="3">
                  <c:v>8.7526782981328446E-2</c:v>
                </c:pt>
                <c:pt idx="4">
                  <c:v>0.11534537292113049</c:v>
                </c:pt>
                <c:pt idx="5">
                  <c:v>0.14248546066727882</c:v>
                </c:pt>
                <c:pt idx="6">
                  <c:v>0.16894704621977349</c:v>
                </c:pt>
                <c:pt idx="7">
                  <c:v>0.19473012957861441</c:v>
                </c:pt>
                <c:pt idx="8">
                  <c:v>0.21983471074380165</c:v>
                </c:pt>
                <c:pt idx="9">
                  <c:v>0.24426078971533519</c:v>
                </c:pt>
                <c:pt idx="10">
                  <c:v>0.26800836649321497</c:v>
                </c:pt>
                <c:pt idx="11">
                  <c:v>0.2910774410774411</c:v>
                </c:pt>
                <c:pt idx="12">
                  <c:v>0.31346801346801345</c:v>
                </c:pt>
                <c:pt idx="13">
                  <c:v>0.33518008366493213</c:v>
                </c:pt>
                <c:pt idx="14">
                  <c:v>0.35621365166819713</c:v>
                </c:pt>
                <c:pt idx="15">
                  <c:v>0.37656871747780835</c:v>
                </c:pt>
                <c:pt idx="16">
                  <c:v>0.39624528109376594</c:v>
                </c:pt>
                <c:pt idx="17">
                  <c:v>0.41524334251606976</c:v>
                </c:pt>
                <c:pt idx="18">
                  <c:v>0.43356290174471995</c:v>
                </c:pt>
                <c:pt idx="19">
                  <c:v>0.45120395877971636</c:v>
                </c:pt>
                <c:pt idx="20">
                  <c:v>0.4681665136210591</c:v>
                </c:pt>
                <c:pt idx="21">
                  <c:v>0.48445056626874805</c:v>
                </c:pt>
                <c:pt idx="22">
                  <c:v>0.50005611672278338</c:v>
                </c:pt>
                <c:pt idx="23">
                  <c:v>0.51498316498316499</c:v>
                </c:pt>
                <c:pt idx="24">
                  <c:v>0.52923171104989286</c:v>
                </c:pt>
                <c:pt idx="25">
                  <c:v>0.54280175492296712</c:v>
                </c:pt>
                <c:pt idx="26">
                  <c:v>0.55569329660238753</c:v>
                </c:pt>
                <c:pt idx="27">
                  <c:v>0.56790633608815422</c:v>
                </c:pt>
                <c:pt idx="28">
                  <c:v>0.57944087338026729</c:v>
                </c:pt>
                <c:pt idx="29">
                  <c:v>0.59029690847872673</c:v>
                </c:pt>
                <c:pt idx="30">
                  <c:v>0.60047444138353223</c:v>
                </c:pt>
                <c:pt idx="31">
                  <c:v>0.60997347209468422</c:v>
                </c:pt>
                <c:pt idx="32">
                  <c:v>0.61879400061218248</c:v>
                </c:pt>
                <c:pt idx="33">
                  <c:v>0.6269360269360269</c:v>
                </c:pt>
                <c:pt idx="34">
                  <c:v>0.6343995510662177</c:v>
                </c:pt>
                <c:pt idx="35">
                  <c:v>0.64118457300275489</c:v>
                </c:pt>
                <c:pt idx="36">
                  <c:v>0.64729109274563823</c:v>
                </c:pt>
                <c:pt idx="37">
                  <c:v>0.65271911029486784</c:v>
                </c:pt>
                <c:pt idx="38">
                  <c:v>0.65746862565044384</c:v>
                </c:pt>
                <c:pt idx="39">
                  <c:v>0.6615396388123661</c:v>
                </c:pt>
                <c:pt idx="40">
                  <c:v>0.66493214978063453</c:v>
                </c:pt>
                <c:pt idx="41">
                  <c:v>0.66764615855524945</c:v>
                </c:pt>
                <c:pt idx="42">
                  <c:v>0.66968166513621052</c:v>
                </c:pt>
                <c:pt idx="43">
                  <c:v>0.67103866952351809</c:v>
                </c:pt>
                <c:pt idx="44">
                  <c:v>0.67171717171717171</c:v>
                </c:pt>
                <c:pt idx="45">
                  <c:v>0.67171717171717171</c:v>
                </c:pt>
              </c:numCache>
            </c:numRef>
          </c:val>
          <c:extLst>
            <c:ext xmlns:c16="http://schemas.microsoft.com/office/drawing/2014/chart" uri="{C3380CC4-5D6E-409C-BE32-E72D297353CC}">
              <c16:uniqueId val="{00000013-1207-4F30-8C32-A8708F061D60}"/>
            </c:ext>
          </c:extLst>
        </c:ser>
        <c:ser>
          <c:idx val="20"/>
          <c:order val="20"/>
          <c:tx>
            <c:strRef>
              <c:f>'Ej. 3'!$AK$8</c:f>
              <c:strCache>
                <c:ptCount val="1"/>
                <c:pt idx="0">
                  <c:v>20</c:v>
                </c:pt>
              </c:strCache>
            </c:strRef>
          </c:tx>
          <c:spPr>
            <a:ln w="9525" cap="rnd">
              <a:solidFill>
                <a:schemeClr val="accent6">
                  <a:tint val="94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3'!$AK$9:$AK$54</c:f>
              <c:numCache>
                <c:formatCode>0.00%</c:formatCode>
                <c:ptCount val="46"/>
                <c:pt idx="0">
                  <c:v>0</c:v>
                </c:pt>
                <c:pt idx="1">
                  <c:v>3.097643097643098E-2</c:v>
                </c:pt>
                <c:pt idx="2">
                  <c:v>6.1248852157943082E-2</c:v>
                </c:pt>
                <c:pt idx="3">
                  <c:v>9.0817263544536286E-2</c:v>
                </c:pt>
                <c:pt idx="4">
                  <c:v>0.11968166513621059</c:v>
                </c:pt>
                <c:pt idx="5">
                  <c:v>0.14784205693296601</c:v>
                </c:pt>
                <c:pt idx="6">
                  <c:v>0.1752984389348026</c:v>
                </c:pt>
                <c:pt idx="7">
                  <c:v>0.20205081114172024</c:v>
                </c:pt>
                <c:pt idx="8">
                  <c:v>0.22809917355371903</c:v>
                </c:pt>
                <c:pt idx="9">
                  <c:v>0.25344352617079891</c:v>
                </c:pt>
                <c:pt idx="10">
                  <c:v>0.27808386899295995</c:v>
                </c:pt>
                <c:pt idx="11">
                  <c:v>0.30202020202020208</c:v>
                </c:pt>
                <c:pt idx="12">
                  <c:v>0.32525252525252529</c:v>
                </c:pt>
                <c:pt idx="13">
                  <c:v>0.34778083868992959</c:v>
                </c:pt>
                <c:pt idx="14">
                  <c:v>0.36960514233241509</c:v>
                </c:pt>
                <c:pt idx="15">
                  <c:v>0.39072543617998162</c:v>
                </c:pt>
                <c:pt idx="16">
                  <c:v>0.41114172023262935</c:v>
                </c:pt>
                <c:pt idx="17">
                  <c:v>0.43085399449035816</c:v>
                </c:pt>
                <c:pt idx="18">
                  <c:v>0.44986225895316811</c:v>
                </c:pt>
                <c:pt idx="19">
                  <c:v>0.4681665136210591</c:v>
                </c:pt>
                <c:pt idx="20">
                  <c:v>0.48576675849403128</c:v>
                </c:pt>
                <c:pt idx="21">
                  <c:v>0.50266299357208455</c:v>
                </c:pt>
                <c:pt idx="22">
                  <c:v>0.5188552188552189</c:v>
                </c:pt>
                <c:pt idx="23">
                  <c:v>0.53434343434343434</c:v>
                </c:pt>
                <c:pt idx="24">
                  <c:v>0.54912764003673098</c:v>
                </c:pt>
                <c:pt idx="25">
                  <c:v>0.56320783593510881</c:v>
                </c:pt>
                <c:pt idx="26">
                  <c:v>0.57658402203856751</c:v>
                </c:pt>
                <c:pt idx="27">
                  <c:v>0.58925619834710752</c:v>
                </c:pt>
                <c:pt idx="28">
                  <c:v>0.6012243648607285</c:v>
                </c:pt>
                <c:pt idx="29">
                  <c:v>0.61248852157943079</c:v>
                </c:pt>
                <c:pt idx="30">
                  <c:v>0.62304866850321394</c:v>
                </c:pt>
                <c:pt idx="31">
                  <c:v>0.6329048056320784</c:v>
                </c:pt>
                <c:pt idx="32">
                  <c:v>0.64205693296602395</c:v>
                </c:pt>
                <c:pt idx="33">
                  <c:v>0.65050505050505059</c:v>
                </c:pt>
                <c:pt idx="34">
                  <c:v>0.65824915824915831</c:v>
                </c:pt>
                <c:pt idx="35">
                  <c:v>0.66528925619834722</c:v>
                </c:pt>
                <c:pt idx="36">
                  <c:v>0.67162534435261723</c:v>
                </c:pt>
                <c:pt idx="37">
                  <c:v>0.6772574227119682</c:v>
                </c:pt>
                <c:pt idx="38">
                  <c:v>0.68218549127640038</c:v>
                </c:pt>
                <c:pt idx="39">
                  <c:v>0.68640955004591375</c:v>
                </c:pt>
                <c:pt idx="40">
                  <c:v>0.6899295990205081</c:v>
                </c:pt>
                <c:pt idx="41">
                  <c:v>0.69274563820018364</c:v>
                </c:pt>
                <c:pt idx="42">
                  <c:v>0.69485766758494039</c:v>
                </c:pt>
                <c:pt idx="43">
                  <c:v>0.69626568717477821</c:v>
                </c:pt>
                <c:pt idx="44">
                  <c:v>0.69696969696969702</c:v>
                </c:pt>
                <c:pt idx="45">
                  <c:v>0.69696969696969702</c:v>
                </c:pt>
              </c:numCache>
            </c:numRef>
          </c:val>
          <c:extLst>
            <c:ext xmlns:c16="http://schemas.microsoft.com/office/drawing/2014/chart" uri="{C3380CC4-5D6E-409C-BE32-E72D297353CC}">
              <c16:uniqueId val="{00000014-1207-4F30-8C32-A8708F061D60}"/>
            </c:ext>
          </c:extLst>
        </c:ser>
        <c:ser>
          <c:idx val="21"/>
          <c:order val="21"/>
          <c:tx>
            <c:strRef>
              <c:f>'Ej. 3'!$AL$8</c:f>
              <c:strCache>
                <c:ptCount val="1"/>
                <c:pt idx="0">
                  <c:v>21</c:v>
                </c:pt>
              </c:strCache>
            </c:strRef>
          </c:tx>
          <c:spPr>
            <a:ln w="9525" cap="rnd">
              <a:solidFill>
                <a:schemeClr val="accent6">
                  <a:tint val="97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3'!$AL$9:$AL$54</c:f>
              <c:numCache>
                <c:formatCode>0.00%</c:formatCode>
                <c:ptCount val="46"/>
                <c:pt idx="0">
                  <c:v>0</c:v>
                </c:pt>
                <c:pt idx="1">
                  <c:v>3.2053872053872057E-2</c:v>
                </c:pt>
                <c:pt idx="2">
                  <c:v>6.3379247015610651E-2</c:v>
                </c:pt>
                <c:pt idx="3">
                  <c:v>9.3976124885215798E-2</c:v>
                </c:pt>
                <c:pt idx="4">
                  <c:v>0.12384450566268747</c:v>
                </c:pt>
                <c:pt idx="5">
                  <c:v>0.15298438934802569</c:v>
                </c:pt>
                <c:pt idx="6">
                  <c:v>0.18139577594123049</c:v>
                </c:pt>
                <c:pt idx="7">
                  <c:v>0.20907866544230178</c:v>
                </c:pt>
                <c:pt idx="8">
                  <c:v>0.23603305785123965</c:v>
                </c:pt>
                <c:pt idx="9">
                  <c:v>0.2622589531680441</c:v>
                </c:pt>
                <c:pt idx="10">
                  <c:v>0.28775635139271505</c:v>
                </c:pt>
                <c:pt idx="11">
                  <c:v>0.31252525252525254</c:v>
                </c:pt>
                <c:pt idx="12">
                  <c:v>0.33656565656565657</c:v>
                </c:pt>
                <c:pt idx="13">
                  <c:v>0.35987756351392713</c:v>
                </c:pt>
                <c:pt idx="14">
                  <c:v>0.38246097337006424</c:v>
                </c:pt>
                <c:pt idx="15">
                  <c:v>0.40431588613406788</c:v>
                </c:pt>
                <c:pt idx="16">
                  <c:v>0.42544230180593817</c:v>
                </c:pt>
                <c:pt idx="17">
                  <c:v>0.44584022038567489</c:v>
                </c:pt>
                <c:pt idx="18">
                  <c:v>0.46550964187327826</c:v>
                </c:pt>
                <c:pt idx="19">
                  <c:v>0.48445056626874805</c:v>
                </c:pt>
                <c:pt idx="20">
                  <c:v>0.50266299357208455</c:v>
                </c:pt>
                <c:pt idx="21">
                  <c:v>0.52014692378328742</c:v>
                </c:pt>
                <c:pt idx="22">
                  <c:v>0.53690235690235688</c:v>
                </c:pt>
                <c:pt idx="23">
                  <c:v>0.55292929292929283</c:v>
                </c:pt>
                <c:pt idx="24">
                  <c:v>0.56822773186409548</c:v>
                </c:pt>
                <c:pt idx="25">
                  <c:v>0.58279767370676472</c:v>
                </c:pt>
                <c:pt idx="26">
                  <c:v>0.59663911845730022</c:v>
                </c:pt>
                <c:pt idx="27">
                  <c:v>0.60975206611570243</c:v>
                </c:pt>
                <c:pt idx="28">
                  <c:v>0.62213651668197123</c:v>
                </c:pt>
                <c:pt idx="29">
                  <c:v>0.63379247015610662</c:v>
                </c:pt>
                <c:pt idx="30">
                  <c:v>0.64471992653810828</c:v>
                </c:pt>
                <c:pt idx="31">
                  <c:v>0.65491888582797675</c:v>
                </c:pt>
                <c:pt idx="32">
                  <c:v>0.6643893480257117</c:v>
                </c:pt>
                <c:pt idx="33">
                  <c:v>0.67313131313131314</c:v>
                </c:pt>
                <c:pt idx="34">
                  <c:v>0.68114478114478116</c:v>
                </c:pt>
                <c:pt idx="35">
                  <c:v>0.68842975206611567</c:v>
                </c:pt>
                <c:pt idx="36">
                  <c:v>0.69498622589531689</c:v>
                </c:pt>
                <c:pt idx="37">
                  <c:v>0.70081420263238448</c:v>
                </c:pt>
                <c:pt idx="38">
                  <c:v>0.70591368227731865</c:v>
                </c:pt>
                <c:pt idx="39">
                  <c:v>0.71028466483011932</c:v>
                </c:pt>
                <c:pt idx="40">
                  <c:v>0.71392715029078657</c:v>
                </c:pt>
                <c:pt idx="41">
                  <c:v>0.71684113865932042</c:v>
                </c:pt>
                <c:pt idx="42">
                  <c:v>0.71902662993572086</c:v>
                </c:pt>
                <c:pt idx="43">
                  <c:v>0.72048362411998779</c:v>
                </c:pt>
                <c:pt idx="44">
                  <c:v>0.72121212121212119</c:v>
                </c:pt>
                <c:pt idx="45">
                  <c:v>0.72121212121212119</c:v>
                </c:pt>
              </c:numCache>
            </c:numRef>
          </c:val>
          <c:extLst>
            <c:ext xmlns:c16="http://schemas.microsoft.com/office/drawing/2014/chart" uri="{C3380CC4-5D6E-409C-BE32-E72D297353CC}">
              <c16:uniqueId val="{00000015-1207-4F30-8C32-A8708F061D60}"/>
            </c:ext>
          </c:extLst>
        </c:ser>
        <c:ser>
          <c:idx val="22"/>
          <c:order val="22"/>
          <c:tx>
            <c:strRef>
              <c:f>'Ej. 3'!$AM$8</c:f>
              <c:strCache>
                <c:ptCount val="1"/>
                <c:pt idx="0">
                  <c:v>22</c:v>
                </c:pt>
              </c:strCache>
            </c:strRef>
          </c:tx>
          <c:spPr>
            <a:ln w="9525" cap="rnd">
              <a:solidFill>
                <a:schemeClr val="accent6"/>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3'!$AM$9:$AM$54</c:f>
              <c:numCache>
                <c:formatCode>0.00%</c:formatCode>
                <c:ptCount val="46"/>
                <c:pt idx="0">
                  <c:v>0</c:v>
                </c:pt>
                <c:pt idx="1">
                  <c:v>3.3086419753086418E-2</c:v>
                </c:pt>
                <c:pt idx="2">
                  <c:v>6.5420875420875435E-2</c:v>
                </c:pt>
                <c:pt idx="3">
                  <c:v>9.7003367003367008E-2</c:v>
                </c:pt>
                <c:pt idx="4">
                  <c:v>0.12783389450056118</c:v>
                </c:pt>
                <c:pt idx="5">
                  <c:v>0.15791245791245789</c:v>
                </c:pt>
                <c:pt idx="6">
                  <c:v>0.18723905723905726</c:v>
                </c:pt>
                <c:pt idx="7">
                  <c:v>0.21581369248035914</c:v>
                </c:pt>
                <c:pt idx="8">
                  <c:v>0.24363636363636365</c:v>
                </c:pt>
                <c:pt idx="9">
                  <c:v>0.27070707070707073</c:v>
                </c:pt>
                <c:pt idx="10">
                  <c:v>0.29702581369248038</c:v>
                </c:pt>
                <c:pt idx="11">
                  <c:v>0.3225925925925926</c:v>
                </c:pt>
                <c:pt idx="12">
                  <c:v>0.34740740740740744</c:v>
                </c:pt>
                <c:pt idx="13">
                  <c:v>0.3714702581369248</c:v>
                </c:pt>
                <c:pt idx="14">
                  <c:v>0.39478114478114479</c:v>
                </c:pt>
                <c:pt idx="15">
                  <c:v>0.41734006734006729</c:v>
                </c:pt>
                <c:pt idx="16">
                  <c:v>0.43914702581369253</c:v>
                </c:pt>
                <c:pt idx="17">
                  <c:v>0.46020202020202022</c:v>
                </c:pt>
                <c:pt idx="18">
                  <c:v>0.48050505050505055</c:v>
                </c:pt>
                <c:pt idx="19">
                  <c:v>0.50005611672278338</c:v>
                </c:pt>
                <c:pt idx="20">
                  <c:v>0.5188552188552189</c:v>
                </c:pt>
                <c:pt idx="21">
                  <c:v>0.53690235690235688</c:v>
                </c:pt>
                <c:pt idx="22">
                  <c:v>0.55419753086419754</c:v>
                </c:pt>
                <c:pt idx="23">
                  <c:v>0.57074074074074066</c:v>
                </c:pt>
                <c:pt idx="24">
                  <c:v>0.58653198653198657</c:v>
                </c:pt>
                <c:pt idx="25">
                  <c:v>0.60157126823793494</c:v>
                </c:pt>
                <c:pt idx="26">
                  <c:v>0.61585858585858588</c:v>
                </c:pt>
                <c:pt idx="27">
                  <c:v>0.62939393939393939</c:v>
                </c:pt>
                <c:pt idx="28">
                  <c:v>0.64217732884399548</c:v>
                </c:pt>
                <c:pt idx="29">
                  <c:v>0.65420875420875435</c:v>
                </c:pt>
                <c:pt idx="30">
                  <c:v>0.66548821548821546</c:v>
                </c:pt>
                <c:pt idx="31">
                  <c:v>0.67601571268237937</c:v>
                </c:pt>
                <c:pt idx="32">
                  <c:v>0.68579124579124584</c:v>
                </c:pt>
                <c:pt idx="33">
                  <c:v>0.69481481481481489</c:v>
                </c:pt>
                <c:pt idx="34">
                  <c:v>0.70308641975308639</c:v>
                </c:pt>
                <c:pt idx="35">
                  <c:v>0.71060606060606069</c:v>
                </c:pt>
                <c:pt idx="36">
                  <c:v>0.71737373737373744</c:v>
                </c:pt>
                <c:pt idx="37">
                  <c:v>0.72338945005611677</c:v>
                </c:pt>
                <c:pt idx="38">
                  <c:v>0.72865319865319866</c:v>
                </c:pt>
                <c:pt idx="39">
                  <c:v>0.73316498316498324</c:v>
                </c:pt>
                <c:pt idx="40">
                  <c:v>0.73692480359147028</c:v>
                </c:pt>
                <c:pt idx="41">
                  <c:v>0.73993265993265989</c:v>
                </c:pt>
                <c:pt idx="42">
                  <c:v>0.74218855218855218</c:v>
                </c:pt>
                <c:pt idx="43">
                  <c:v>0.74369248035914715</c:v>
                </c:pt>
                <c:pt idx="44">
                  <c:v>0.74444444444444446</c:v>
                </c:pt>
                <c:pt idx="45">
                  <c:v>0.74444444444444446</c:v>
                </c:pt>
              </c:numCache>
            </c:numRef>
          </c:val>
          <c:extLst>
            <c:ext xmlns:c16="http://schemas.microsoft.com/office/drawing/2014/chart" uri="{C3380CC4-5D6E-409C-BE32-E72D297353CC}">
              <c16:uniqueId val="{00000016-1207-4F30-8C32-A8708F061D60}"/>
            </c:ext>
          </c:extLst>
        </c:ser>
        <c:ser>
          <c:idx val="23"/>
          <c:order val="23"/>
          <c:tx>
            <c:strRef>
              <c:f>'Ej. 3'!$AN$8</c:f>
              <c:strCache>
                <c:ptCount val="1"/>
                <c:pt idx="0">
                  <c:v>23</c:v>
                </c:pt>
              </c:strCache>
            </c:strRef>
          </c:tx>
          <c:spPr>
            <a:ln w="9525" cap="rnd">
              <a:solidFill>
                <a:schemeClr val="accent6">
                  <a:shade val="96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3'!$AN$9:$AN$54</c:f>
              <c:numCache>
                <c:formatCode>0.00%</c:formatCode>
                <c:ptCount val="46"/>
                <c:pt idx="0">
                  <c:v>0</c:v>
                </c:pt>
                <c:pt idx="1">
                  <c:v>3.4074074074074076E-2</c:v>
                </c:pt>
                <c:pt idx="2">
                  <c:v>6.7373737373737377E-2</c:v>
                </c:pt>
                <c:pt idx="3">
                  <c:v>9.989898989898989E-2</c:v>
                </c:pt>
                <c:pt idx="4">
                  <c:v>0.13164983164983163</c:v>
                </c:pt>
                <c:pt idx="5">
                  <c:v>0.16262626262626259</c:v>
                </c:pt>
                <c:pt idx="6">
                  <c:v>0.19282828282828282</c:v>
                </c:pt>
                <c:pt idx="7">
                  <c:v>0.22225589225589223</c:v>
                </c:pt>
                <c:pt idx="8">
                  <c:v>0.25090909090909091</c:v>
                </c:pt>
                <c:pt idx="9">
                  <c:v>0.27878787878787875</c:v>
                </c:pt>
                <c:pt idx="10">
                  <c:v>0.30589225589225588</c:v>
                </c:pt>
                <c:pt idx="11">
                  <c:v>0.3322222222222222</c:v>
                </c:pt>
                <c:pt idx="12">
                  <c:v>0.35777777777777775</c:v>
                </c:pt>
                <c:pt idx="13">
                  <c:v>0.38255892255892254</c:v>
                </c:pt>
                <c:pt idx="14">
                  <c:v>0.40656565656565652</c:v>
                </c:pt>
                <c:pt idx="15">
                  <c:v>0.42979797979797973</c:v>
                </c:pt>
                <c:pt idx="16">
                  <c:v>0.45225589225589224</c:v>
                </c:pt>
                <c:pt idx="17">
                  <c:v>0.47393939393939388</c:v>
                </c:pt>
                <c:pt idx="18">
                  <c:v>0.49484848484848487</c:v>
                </c:pt>
                <c:pt idx="19">
                  <c:v>0.51498316498316499</c:v>
                </c:pt>
                <c:pt idx="20">
                  <c:v>0.53434343434343434</c:v>
                </c:pt>
                <c:pt idx="21">
                  <c:v>0.55292929292929283</c:v>
                </c:pt>
                <c:pt idx="22">
                  <c:v>0.57074074074074066</c:v>
                </c:pt>
                <c:pt idx="23">
                  <c:v>0.58777777777777773</c:v>
                </c:pt>
                <c:pt idx="24">
                  <c:v>0.60404040404040393</c:v>
                </c:pt>
                <c:pt idx="25">
                  <c:v>0.6195286195286196</c:v>
                </c:pt>
                <c:pt idx="26">
                  <c:v>0.63424242424242416</c:v>
                </c:pt>
                <c:pt idx="27">
                  <c:v>0.64818181818181808</c:v>
                </c:pt>
                <c:pt idx="28">
                  <c:v>0.66134680134680135</c:v>
                </c:pt>
                <c:pt idx="29">
                  <c:v>0.67373737373737375</c:v>
                </c:pt>
                <c:pt idx="30">
                  <c:v>0.68535353535353516</c:v>
                </c:pt>
                <c:pt idx="31">
                  <c:v>0.69619528619528614</c:v>
                </c:pt>
                <c:pt idx="32">
                  <c:v>0.70626262626262626</c:v>
                </c:pt>
                <c:pt idx="33">
                  <c:v>0.7155555555555555</c:v>
                </c:pt>
                <c:pt idx="34">
                  <c:v>0.72407407407407398</c:v>
                </c:pt>
                <c:pt idx="35">
                  <c:v>0.73181818181818181</c:v>
                </c:pt>
                <c:pt idx="36">
                  <c:v>0.73878787878787877</c:v>
                </c:pt>
                <c:pt idx="37">
                  <c:v>0.74498316498316497</c:v>
                </c:pt>
                <c:pt idx="38">
                  <c:v>0.7504040404040403</c:v>
                </c:pt>
                <c:pt idx="39">
                  <c:v>0.75505050505050497</c:v>
                </c:pt>
                <c:pt idx="40">
                  <c:v>0.75892255892255878</c:v>
                </c:pt>
                <c:pt idx="41">
                  <c:v>0.76202020202020193</c:v>
                </c:pt>
                <c:pt idx="42">
                  <c:v>0.76434343434343432</c:v>
                </c:pt>
                <c:pt idx="43">
                  <c:v>0.76589225589225596</c:v>
                </c:pt>
                <c:pt idx="44">
                  <c:v>0.76666666666666661</c:v>
                </c:pt>
                <c:pt idx="45">
                  <c:v>0.76666666666666661</c:v>
                </c:pt>
              </c:numCache>
            </c:numRef>
          </c:val>
          <c:extLst>
            <c:ext xmlns:c16="http://schemas.microsoft.com/office/drawing/2014/chart" uri="{C3380CC4-5D6E-409C-BE32-E72D297353CC}">
              <c16:uniqueId val="{00000017-1207-4F30-8C32-A8708F061D60}"/>
            </c:ext>
          </c:extLst>
        </c:ser>
        <c:ser>
          <c:idx val="24"/>
          <c:order val="24"/>
          <c:tx>
            <c:strRef>
              <c:f>'Ej. 3'!$AO$8</c:f>
              <c:strCache>
                <c:ptCount val="1"/>
                <c:pt idx="0">
                  <c:v>24</c:v>
                </c:pt>
              </c:strCache>
            </c:strRef>
          </c:tx>
          <c:spPr>
            <a:ln w="9525" cap="rnd">
              <a:solidFill>
                <a:schemeClr val="accent6">
                  <a:shade val="93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3'!$AO$9:$AO$54</c:f>
              <c:numCache>
                <c:formatCode>0.00%</c:formatCode>
                <c:ptCount val="46"/>
                <c:pt idx="0">
                  <c:v>0</c:v>
                </c:pt>
                <c:pt idx="1">
                  <c:v>3.5016835016835016E-2</c:v>
                </c:pt>
                <c:pt idx="2">
                  <c:v>6.923783287419652E-2</c:v>
                </c:pt>
                <c:pt idx="3">
                  <c:v>0.10266299357208448</c:v>
                </c:pt>
                <c:pt idx="4">
                  <c:v>0.13529231711049891</c:v>
                </c:pt>
                <c:pt idx="5">
                  <c:v>0.16712580348943984</c:v>
                </c:pt>
                <c:pt idx="6">
                  <c:v>0.19816345270890726</c:v>
                </c:pt>
                <c:pt idx="7">
                  <c:v>0.22840526476890111</c:v>
                </c:pt>
                <c:pt idx="8">
                  <c:v>0.25785123966942147</c:v>
                </c:pt>
                <c:pt idx="9">
                  <c:v>0.28650137741046833</c:v>
                </c:pt>
                <c:pt idx="10">
                  <c:v>0.31435567799204162</c:v>
                </c:pt>
                <c:pt idx="11">
                  <c:v>0.34141414141414139</c:v>
                </c:pt>
                <c:pt idx="12">
                  <c:v>0.36767676767676766</c:v>
                </c:pt>
                <c:pt idx="13">
                  <c:v>0.39314355677992041</c:v>
                </c:pt>
                <c:pt idx="14">
                  <c:v>0.4178145087235996</c:v>
                </c:pt>
                <c:pt idx="15">
                  <c:v>0.44168962350780527</c:v>
                </c:pt>
                <c:pt idx="16">
                  <c:v>0.46476890113253749</c:v>
                </c:pt>
                <c:pt idx="17">
                  <c:v>0.48705234159779609</c:v>
                </c:pt>
                <c:pt idx="18">
                  <c:v>0.50853994490358123</c:v>
                </c:pt>
                <c:pt idx="19">
                  <c:v>0.52923171104989286</c:v>
                </c:pt>
                <c:pt idx="20">
                  <c:v>0.54912764003673098</c:v>
                </c:pt>
                <c:pt idx="21">
                  <c:v>0.56822773186409548</c:v>
                </c:pt>
                <c:pt idx="22">
                  <c:v>0.58653198653198657</c:v>
                </c:pt>
                <c:pt idx="23">
                  <c:v>0.60404040404040393</c:v>
                </c:pt>
                <c:pt idx="24">
                  <c:v>0.62075298438934801</c:v>
                </c:pt>
                <c:pt idx="25">
                  <c:v>0.63666972757881857</c:v>
                </c:pt>
                <c:pt idx="26">
                  <c:v>0.6517906336088154</c:v>
                </c:pt>
                <c:pt idx="27">
                  <c:v>0.66611570247933882</c:v>
                </c:pt>
                <c:pt idx="28">
                  <c:v>0.67964493419038874</c:v>
                </c:pt>
                <c:pt idx="29">
                  <c:v>0.69237832874196514</c:v>
                </c:pt>
                <c:pt idx="30">
                  <c:v>0.70431588613406781</c:v>
                </c:pt>
                <c:pt idx="31">
                  <c:v>0.7154576063666972</c:v>
                </c:pt>
                <c:pt idx="32">
                  <c:v>0.72580348943985307</c:v>
                </c:pt>
                <c:pt idx="33">
                  <c:v>0.73535353535353531</c:v>
                </c:pt>
                <c:pt idx="34">
                  <c:v>0.74410774410774405</c:v>
                </c:pt>
                <c:pt idx="35">
                  <c:v>0.75206611570247939</c:v>
                </c:pt>
                <c:pt idx="36">
                  <c:v>0.7592286501377411</c:v>
                </c:pt>
                <c:pt idx="37">
                  <c:v>0.76559534741352919</c:v>
                </c:pt>
                <c:pt idx="38">
                  <c:v>0.77116620752984388</c:v>
                </c:pt>
                <c:pt idx="39">
                  <c:v>0.77594123048668506</c:v>
                </c:pt>
                <c:pt idx="40">
                  <c:v>0.77992041628405251</c:v>
                </c:pt>
                <c:pt idx="41">
                  <c:v>0.78310376492194667</c:v>
                </c:pt>
                <c:pt idx="42">
                  <c:v>0.78549127640036731</c:v>
                </c:pt>
                <c:pt idx="43">
                  <c:v>0.78708295071931444</c:v>
                </c:pt>
                <c:pt idx="44">
                  <c:v>0.78787878787878785</c:v>
                </c:pt>
                <c:pt idx="45">
                  <c:v>0.78787878787878785</c:v>
                </c:pt>
              </c:numCache>
            </c:numRef>
          </c:val>
          <c:extLst>
            <c:ext xmlns:c16="http://schemas.microsoft.com/office/drawing/2014/chart" uri="{C3380CC4-5D6E-409C-BE32-E72D297353CC}">
              <c16:uniqueId val="{00000018-1207-4F30-8C32-A8708F061D60}"/>
            </c:ext>
          </c:extLst>
        </c:ser>
        <c:ser>
          <c:idx val="25"/>
          <c:order val="25"/>
          <c:tx>
            <c:strRef>
              <c:f>'Ej. 3'!$AP$8</c:f>
              <c:strCache>
                <c:ptCount val="1"/>
                <c:pt idx="0">
                  <c:v>25</c:v>
                </c:pt>
              </c:strCache>
            </c:strRef>
          </c:tx>
          <c:spPr>
            <a:ln w="9525" cap="rnd">
              <a:solidFill>
                <a:schemeClr val="accent6">
                  <a:shade val="90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3'!$AP$9:$AP$54</c:f>
              <c:numCache>
                <c:formatCode>0.00%</c:formatCode>
                <c:ptCount val="46"/>
                <c:pt idx="0">
                  <c:v>0</c:v>
                </c:pt>
                <c:pt idx="1">
                  <c:v>3.5914702581369251E-2</c:v>
                </c:pt>
                <c:pt idx="2">
                  <c:v>7.1013161922252849E-2</c:v>
                </c:pt>
                <c:pt idx="3">
                  <c:v>0.10529537802265077</c:v>
                </c:pt>
                <c:pt idx="4">
                  <c:v>0.13876135088256303</c:v>
                </c:pt>
                <c:pt idx="5">
                  <c:v>0.17141108050198958</c:v>
                </c:pt>
                <c:pt idx="6">
                  <c:v>0.20324456688093054</c:v>
                </c:pt>
                <c:pt idx="7">
                  <c:v>0.23426181001938579</c:v>
                </c:pt>
                <c:pt idx="8">
                  <c:v>0.26446280991735538</c:v>
                </c:pt>
                <c:pt idx="9">
                  <c:v>0.29384756657483935</c:v>
                </c:pt>
                <c:pt idx="10">
                  <c:v>0.32241607999183763</c:v>
                </c:pt>
                <c:pt idx="11">
                  <c:v>0.35016835016835024</c:v>
                </c:pt>
                <c:pt idx="12">
                  <c:v>0.37710437710437716</c:v>
                </c:pt>
                <c:pt idx="13">
                  <c:v>0.40322416079991841</c:v>
                </c:pt>
                <c:pt idx="14">
                  <c:v>0.42852770125497402</c:v>
                </c:pt>
                <c:pt idx="15">
                  <c:v>0.45301499846954396</c:v>
                </c:pt>
                <c:pt idx="16">
                  <c:v>0.47668605244362827</c:v>
                </c:pt>
                <c:pt idx="17">
                  <c:v>0.49954086317722685</c:v>
                </c:pt>
                <c:pt idx="18">
                  <c:v>0.52157943067033985</c:v>
                </c:pt>
                <c:pt idx="19">
                  <c:v>0.54280175492296712</c:v>
                </c:pt>
                <c:pt idx="20">
                  <c:v>0.56320783593510881</c:v>
                </c:pt>
                <c:pt idx="21">
                  <c:v>0.58279767370676472</c:v>
                </c:pt>
                <c:pt idx="22">
                  <c:v>0.60157126823793494</c:v>
                </c:pt>
                <c:pt idx="23">
                  <c:v>0.6195286195286196</c:v>
                </c:pt>
                <c:pt idx="24">
                  <c:v>0.63666972757881857</c:v>
                </c:pt>
                <c:pt idx="25">
                  <c:v>0.65299459238853197</c:v>
                </c:pt>
                <c:pt idx="26">
                  <c:v>0.66850321395775947</c:v>
                </c:pt>
                <c:pt idx="27">
                  <c:v>0.68319559228650151</c:v>
                </c:pt>
                <c:pt idx="28">
                  <c:v>0.69707172737475775</c:v>
                </c:pt>
                <c:pt idx="29">
                  <c:v>0.71013161922252843</c:v>
                </c:pt>
                <c:pt idx="30">
                  <c:v>0.72237526782981332</c:v>
                </c:pt>
                <c:pt idx="31">
                  <c:v>0.73380267319661263</c:v>
                </c:pt>
                <c:pt idx="32">
                  <c:v>0.74441383532292638</c:v>
                </c:pt>
                <c:pt idx="33">
                  <c:v>0.75420875420875433</c:v>
                </c:pt>
                <c:pt idx="34">
                  <c:v>0.7631874298540966</c:v>
                </c:pt>
                <c:pt idx="35">
                  <c:v>0.7713498622589533</c:v>
                </c:pt>
                <c:pt idx="36">
                  <c:v>0.77869605142332432</c:v>
                </c:pt>
                <c:pt idx="37">
                  <c:v>0.78522599734720955</c:v>
                </c:pt>
                <c:pt idx="38">
                  <c:v>0.79093970003060921</c:v>
                </c:pt>
                <c:pt idx="39">
                  <c:v>0.79583715947352318</c:v>
                </c:pt>
                <c:pt idx="40">
                  <c:v>0.79991837567595148</c:v>
                </c:pt>
                <c:pt idx="41">
                  <c:v>0.8031833486378942</c:v>
                </c:pt>
                <c:pt idx="42">
                  <c:v>0.80563207835935113</c:v>
                </c:pt>
                <c:pt idx="43">
                  <c:v>0.80726456484032261</c:v>
                </c:pt>
                <c:pt idx="44">
                  <c:v>0.80808080808080818</c:v>
                </c:pt>
                <c:pt idx="45">
                  <c:v>0.80808080808080818</c:v>
                </c:pt>
              </c:numCache>
            </c:numRef>
          </c:val>
          <c:extLst>
            <c:ext xmlns:c16="http://schemas.microsoft.com/office/drawing/2014/chart" uri="{C3380CC4-5D6E-409C-BE32-E72D297353CC}">
              <c16:uniqueId val="{00000019-1207-4F30-8C32-A8708F061D60}"/>
            </c:ext>
          </c:extLst>
        </c:ser>
        <c:ser>
          <c:idx val="26"/>
          <c:order val="26"/>
          <c:tx>
            <c:strRef>
              <c:f>'Ej. 3'!$AQ$8</c:f>
              <c:strCache>
                <c:ptCount val="1"/>
                <c:pt idx="0">
                  <c:v>26</c:v>
                </c:pt>
              </c:strCache>
            </c:strRef>
          </c:tx>
          <c:spPr>
            <a:ln w="9525" cap="rnd">
              <a:solidFill>
                <a:schemeClr val="accent6">
                  <a:shade val="87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3'!$AQ$9:$AQ$54</c:f>
              <c:numCache>
                <c:formatCode>0.00%</c:formatCode>
                <c:ptCount val="46"/>
                <c:pt idx="0">
                  <c:v>0</c:v>
                </c:pt>
                <c:pt idx="1">
                  <c:v>3.6767676767676769E-2</c:v>
                </c:pt>
                <c:pt idx="2">
                  <c:v>7.269972451790635E-2</c:v>
                </c:pt>
                <c:pt idx="3">
                  <c:v>0.10779614325068872</c:v>
                </c:pt>
                <c:pt idx="4">
                  <c:v>0.14205693296602387</c:v>
                </c:pt>
                <c:pt idx="5">
                  <c:v>0.17548209366391182</c:v>
                </c:pt>
                <c:pt idx="6">
                  <c:v>0.20807162534435261</c:v>
                </c:pt>
                <c:pt idx="7">
                  <c:v>0.23982552800734616</c:v>
                </c:pt>
                <c:pt idx="8">
                  <c:v>0.27074380165289258</c:v>
                </c:pt>
                <c:pt idx="9">
                  <c:v>0.30082644628099175</c:v>
                </c:pt>
                <c:pt idx="10">
                  <c:v>0.33007346189164372</c:v>
                </c:pt>
                <c:pt idx="11">
                  <c:v>0.35848484848484852</c:v>
                </c:pt>
                <c:pt idx="12">
                  <c:v>0.38606060606060605</c:v>
                </c:pt>
                <c:pt idx="13">
                  <c:v>0.41280073461891642</c:v>
                </c:pt>
                <c:pt idx="14">
                  <c:v>0.43870523415977958</c:v>
                </c:pt>
                <c:pt idx="15">
                  <c:v>0.46377410468319552</c:v>
                </c:pt>
                <c:pt idx="16">
                  <c:v>0.48800734618916441</c:v>
                </c:pt>
                <c:pt idx="17">
                  <c:v>0.51140495867768598</c:v>
                </c:pt>
                <c:pt idx="18">
                  <c:v>0.53396694214876039</c:v>
                </c:pt>
                <c:pt idx="19">
                  <c:v>0.55569329660238753</c:v>
                </c:pt>
                <c:pt idx="20">
                  <c:v>0.57658402203856751</c:v>
                </c:pt>
                <c:pt idx="21">
                  <c:v>0.59663911845730022</c:v>
                </c:pt>
                <c:pt idx="22">
                  <c:v>0.61585858585858588</c:v>
                </c:pt>
                <c:pt idx="23">
                  <c:v>0.63424242424242416</c:v>
                </c:pt>
                <c:pt idx="24">
                  <c:v>0.6517906336088154</c:v>
                </c:pt>
                <c:pt idx="25">
                  <c:v>0.66850321395775947</c:v>
                </c:pt>
                <c:pt idx="26">
                  <c:v>0.68438016528925616</c:v>
                </c:pt>
                <c:pt idx="27">
                  <c:v>0.6994214876033058</c:v>
                </c:pt>
                <c:pt idx="28">
                  <c:v>0.71362718089990818</c:v>
                </c:pt>
                <c:pt idx="29">
                  <c:v>0.7269972451790635</c:v>
                </c:pt>
                <c:pt idx="30">
                  <c:v>0.73953168044077122</c:v>
                </c:pt>
                <c:pt idx="31">
                  <c:v>0.75123048668503212</c:v>
                </c:pt>
                <c:pt idx="32">
                  <c:v>0.76209366391184574</c:v>
                </c:pt>
                <c:pt idx="33">
                  <c:v>0.7721212121212121</c:v>
                </c:pt>
                <c:pt idx="34">
                  <c:v>0.78131313131313129</c:v>
                </c:pt>
                <c:pt idx="35">
                  <c:v>0.78966942148760333</c:v>
                </c:pt>
                <c:pt idx="36">
                  <c:v>0.79719008264462821</c:v>
                </c:pt>
                <c:pt idx="37">
                  <c:v>0.8038751147842057</c:v>
                </c:pt>
                <c:pt idx="38">
                  <c:v>0.80972451790633604</c:v>
                </c:pt>
                <c:pt idx="39">
                  <c:v>0.81473829201101933</c:v>
                </c:pt>
                <c:pt idx="40">
                  <c:v>0.81891643709825523</c:v>
                </c:pt>
                <c:pt idx="41">
                  <c:v>0.82225895316804409</c:v>
                </c:pt>
                <c:pt idx="42">
                  <c:v>0.82476584022038568</c:v>
                </c:pt>
                <c:pt idx="43">
                  <c:v>0.82643709825528011</c:v>
                </c:pt>
                <c:pt idx="44">
                  <c:v>0.82727272727272727</c:v>
                </c:pt>
                <c:pt idx="45">
                  <c:v>0.82727272727272727</c:v>
                </c:pt>
              </c:numCache>
            </c:numRef>
          </c:val>
          <c:extLst>
            <c:ext xmlns:c16="http://schemas.microsoft.com/office/drawing/2014/chart" uri="{C3380CC4-5D6E-409C-BE32-E72D297353CC}">
              <c16:uniqueId val="{0000001A-1207-4F30-8C32-A8708F061D60}"/>
            </c:ext>
          </c:extLst>
        </c:ser>
        <c:ser>
          <c:idx val="27"/>
          <c:order val="27"/>
          <c:tx>
            <c:strRef>
              <c:f>'Ej. 3'!$AR$8</c:f>
              <c:strCache>
                <c:ptCount val="1"/>
                <c:pt idx="0">
                  <c:v>27</c:v>
                </c:pt>
              </c:strCache>
            </c:strRef>
          </c:tx>
          <c:spPr>
            <a:ln w="9525" cap="rnd">
              <a:solidFill>
                <a:schemeClr val="accent6">
                  <a:shade val="84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3'!$AR$9:$AR$54</c:f>
              <c:numCache>
                <c:formatCode>0.00%</c:formatCode>
                <c:ptCount val="46"/>
                <c:pt idx="0">
                  <c:v>0</c:v>
                </c:pt>
                <c:pt idx="1">
                  <c:v>3.7575757575757575E-2</c:v>
                </c:pt>
                <c:pt idx="2">
                  <c:v>7.4297520661157038E-2</c:v>
                </c:pt>
                <c:pt idx="3">
                  <c:v>0.11016528925619835</c:v>
                </c:pt>
                <c:pt idx="4">
                  <c:v>0.14517906336088154</c:v>
                </c:pt>
                <c:pt idx="5">
                  <c:v>0.17933884297520658</c:v>
                </c:pt>
                <c:pt idx="6">
                  <c:v>0.21264462809917356</c:v>
                </c:pt>
                <c:pt idx="7">
                  <c:v>0.24509641873278235</c:v>
                </c:pt>
                <c:pt idx="8">
                  <c:v>0.27669421487603307</c:v>
                </c:pt>
                <c:pt idx="9">
                  <c:v>0.30743801652892561</c:v>
                </c:pt>
                <c:pt idx="10">
                  <c:v>0.33732782369146008</c:v>
                </c:pt>
                <c:pt idx="11">
                  <c:v>0.36636363636363639</c:v>
                </c:pt>
                <c:pt idx="12">
                  <c:v>0.39454545454545453</c:v>
                </c:pt>
                <c:pt idx="13">
                  <c:v>0.42187327823691462</c:v>
                </c:pt>
                <c:pt idx="14">
                  <c:v>0.44834710743801653</c:v>
                </c:pt>
                <c:pt idx="15">
                  <c:v>0.47396694214876028</c:v>
                </c:pt>
                <c:pt idx="16">
                  <c:v>0.49873278236914603</c:v>
                </c:pt>
                <c:pt idx="17">
                  <c:v>0.52264462809917356</c:v>
                </c:pt>
                <c:pt idx="18">
                  <c:v>0.54570247933884297</c:v>
                </c:pt>
                <c:pt idx="19">
                  <c:v>0.56790633608815422</c:v>
                </c:pt>
                <c:pt idx="20">
                  <c:v>0.58925619834710752</c:v>
                </c:pt>
                <c:pt idx="21">
                  <c:v>0.60975206611570243</c:v>
                </c:pt>
                <c:pt idx="22">
                  <c:v>0.62939393939393939</c:v>
                </c:pt>
                <c:pt idx="23">
                  <c:v>0.64818181818181808</c:v>
                </c:pt>
                <c:pt idx="24">
                  <c:v>0.66611570247933882</c:v>
                </c:pt>
                <c:pt idx="25">
                  <c:v>0.68319559228650151</c:v>
                </c:pt>
                <c:pt idx="26">
                  <c:v>0.6994214876033058</c:v>
                </c:pt>
                <c:pt idx="27">
                  <c:v>0.71479338842975204</c:v>
                </c:pt>
                <c:pt idx="28">
                  <c:v>0.72931129476584022</c:v>
                </c:pt>
                <c:pt idx="29">
                  <c:v>0.74297520661157035</c:v>
                </c:pt>
                <c:pt idx="30">
                  <c:v>0.75578512396694209</c:v>
                </c:pt>
                <c:pt idx="31">
                  <c:v>0.76774104683195588</c:v>
                </c:pt>
                <c:pt idx="32">
                  <c:v>0.77884297520661161</c:v>
                </c:pt>
                <c:pt idx="33">
                  <c:v>0.78909090909090907</c:v>
                </c:pt>
                <c:pt idx="34">
                  <c:v>0.79848484848484846</c:v>
                </c:pt>
                <c:pt idx="35">
                  <c:v>0.80702479338842981</c:v>
                </c:pt>
                <c:pt idx="36">
                  <c:v>0.81471074380165298</c:v>
                </c:pt>
                <c:pt idx="37">
                  <c:v>0.82154269972451799</c:v>
                </c:pt>
                <c:pt idx="38">
                  <c:v>0.82752066115702483</c:v>
                </c:pt>
                <c:pt idx="39">
                  <c:v>0.83264462809917361</c:v>
                </c:pt>
                <c:pt idx="40">
                  <c:v>0.83691460055096412</c:v>
                </c:pt>
                <c:pt idx="41">
                  <c:v>0.84033057851239668</c:v>
                </c:pt>
                <c:pt idx="42">
                  <c:v>0.84289256198347107</c:v>
                </c:pt>
                <c:pt idx="43">
                  <c:v>0.8446005509641874</c:v>
                </c:pt>
                <c:pt idx="44">
                  <c:v>0.84545454545454546</c:v>
                </c:pt>
                <c:pt idx="45">
                  <c:v>0.84545454545454546</c:v>
                </c:pt>
              </c:numCache>
            </c:numRef>
          </c:val>
          <c:extLst>
            <c:ext xmlns:c16="http://schemas.microsoft.com/office/drawing/2014/chart" uri="{C3380CC4-5D6E-409C-BE32-E72D297353CC}">
              <c16:uniqueId val="{0000001B-1207-4F30-8C32-A8708F061D60}"/>
            </c:ext>
          </c:extLst>
        </c:ser>
        <c:ser>
          <c:idx val="28"/>
          <c:order val="28"/>
          <c:tx>
            <c:strRef>
              <c:f>'Ej. 3'!$AS$8</c:f>
              <c:strCache>
                <c:ptCount val="1"/>
                <c:pt idx="0">
                  <c:v>28</c:v>
                </c:pt>
              </c:strCache>
            </c:strRef>
          </c:tx>
          <c:spPr>
            <a:ln w="9525" cap="rnd">
              <a:solidFill>
                <a:schemeClr val="accent6">
                  <a:shade val="81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3'!$AS$9:$AS$54</c:f>
              <c:numCache>
                <c:formatCode>0.00%</c:formatCode>
                <c:ptCount val="46"/>
                <c:pt idx="0">
                  <c:v>0</c:v>
                </c:pt>
                <c:pt idx="1">
                  <c:v>3.8338945005611677E-2</c:v>
                </c:pt>
                <c:pt idx="2">
                  <c:v>7.5806550352004912E-2</c:v>
                </c:pt>
                <c:pt idx="3">
                  <c:v>0.11240281603917968</c:v>
                </c:pt>
                <c:pt idx="4">
                  <c:v>0.148127742067136</c:v>
                </c:pt>
                <c:pt idx="5">
                  <c:v>0.18298132843587386</c:v>
                </c:pt>
                <c:pt idx="6">
                  <c:v>0.21696357514539333</c:v>
                </c:pt>
                <c:pt idx="7">
                  <c:v>0.25007448219569428</c:v>
                </c:pt>
                <c:pt idx="8">
                  <c:v>0.28231404958677686</c:v>
                </c:pt>
                <c:pt idx="9">
                  <c:v>0.31368227731864096</c:v>
                </c:pt>
                <c:pt idx="10">
                  <c:v>0.34417916539128662</c:v>
                </c:pt>
                <c:pt idx="11">
                  <c:v>0.37380471380471381</c:v>
                </c:pt>
                <c:pt idx="12">
                  <c:v>0.40255892255892256</c:v>
                </c:pt>
                <c:pt idx="13">
                  <c:v>0.43044179165391289</c:v>
                </c:pt>
                <c:pt idx="14">
                  <c:v>0.45745332108968473</c:v>
                </c:pt>
                <c:pt idx="15">
                  <c:v>0.48359351086623809</c:v>
                </c:pt>
                <c:pt idx="16">
                  <c:v>0.50886236098357318</c:v>
                </c:pt>
                <c:pt idx="17">
                  <c:v>0.53325987144168963</c:v>
                </c:pt>
                <c:pt idx="18">
                  <c:v>0.5567860422405877</c:v>
                </c:pt>
                <c:pt idx="19">
                  <c:v>0.57944087338026729</c:v>
                </c:pt>
                <c:pt idx="20">
                  <c:v>0.6012243648607285</c:v>
                </c:pt>
                <c:pt idx="21">
                  <c:v>0.62213651668197123</c:v>
                </c:pt>
                <c:pt idx="22">
                  <c:v>0.64217732884399548</c:v>
                </c:pt>
                <c:pt idx="23">
                  <c:v>0.66134680134680135</c:v>
                </c:pt>
                <c:pt idx="24">
                  <c:v>0.67964493419038874</c:v>
                </c:pt>
                <c:pt idx="25">
                  <c:v>0.69707172737475775</c:v>
                </c:pt>
                <c:pt idx="26">
                  <c:v>0.71362718089990818</c:v>
                </c:pt>
                <c:pt idx="27">
                  <c:v>0.72931129476584022</c:v>
                </c:pt>
                <c:pt idx="28">
                  <c:v>0.74412406897255379</c:v>
                </c:pt>
                <c:pt idx="29">
                  <c:v>0.75806550352004909</c:v>
                </c:pt>
                <c:pt idx="30">
                  <c:v>0.77113559840832557</c:v>
                </c:pt>
                <c:pt idx="31">
                  <c:v>0.78333435363738391</c:v>
                </c:pt>
                <c:pt idx="32">
                  <c:v>0.79466176920722376</c:v>
                </c:pt>
                <c:pt idx="33">
                  <c:v>0.80511784511784512</c:v>
                </c:pt>
                <c:pt idx="34">
                  <c:v>0.814702581369248</c:v>
                </c:pt>
                <c:pt idx="35">
                  <c:v>0.82341597796143251</c:v>
                </c:pt>
                <c:pt idx="36">
                  <c:v>0.83125803489439865</c:v>
                </c:pt>
                <c:pt idx="37">
                  <c:v>0.83822875216814619</c:v>
                </c:pt>
                <c:pt idx="38">
                  <c:v>0.84432812978267524</c:v>
                </c:pt>
                <c:pt idx="39">
                  <c:v>0.84955616773798592</c:v>
                </c:pt>
                <c:pt idx="40">
                  <c:v>0.85391286603407812</c:v>
                </c:pt>
                <c:pt idx="41">
                  <c:v>0.85739822467095195</c:v>
                </c:pt>
                <c:pt idx="42">
                  <c:v>0.86001224364860729</c:v>
                </c:pt>
                <c:pt idx="43">
                  <c:v>0.86175492296704426</c:v>
                </c:pt>
                <c:pt idx="44">
                  <c:v>0.86262626262626263</c:v>
                </c:pt>
                <c:pt idx="45">
                  <c:v>0.86262626262626263</c:v>
                </c:pt>
              </c:numCache>
            </c:numRef>
          </c:val>
          <c:extLst>
            <c:ext xmlns:c16="http://schemas.microsoft.com/office/drawing/2014/chart" uri="{C3380CC4-5D6E-409C-BE32-E72D297353CC}">
              <c16:uniqueId val="{0000001C-1207-4F30-8C32-A8708F061D60}"/>
            </c:ext>
          </c:extLst>
        </c:ser>
        <c:ser>
          <c:idx val="29"/>
          <c:order val="29"/>
          <c:tx>
            <c:strRef>
              <c:f>'Ej. 3'!$AT$8</c:f>
              <c:strCache>
                <c:ptCount val="1"/>
                <c:pt idx="0">
                  <c:v>29</c:v>
                </c:pt>
              </c:strCache>
            </c:strRef>
          </c:tx>
          <c:spPr>
            <a:ln w="9525" cap="rnd">
              <a:solidFill>
                <a:schemeClr val="accent6">
                  <a:shade val="78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3'!$AT$9:$AT$54</c:f>
              <c:numCache>
                <c:formatCode>0.00%</c:formatCode>
                <c:ptCount val="46"/>
                <c:pt idx="0">
                  <c:v>0</c:v>
                </c:pt>
                <c:pt idx="1">
                  <c:v>3.9057239057239061E-2</c:v>
                </c:pt>
                <c:pt idx="2">
                  <c:v>7.7226813590449972E-2</c:v>
                </c:pt>
                <c:pt idx="3">
                  <c:v>0.11450872359963271</c:v>
                </c:pt>
                <c:pt idx="4">
                  <c:v>0.15090296908478729</c:v>
                </c:pt>
                <c:pt idx="5">
                  <c:v>0.1864095500459137</c:v>
                </c:pt>
                <c:pt idx="6">
                  <c:v>0.22102846648301197</c:v>
                </c:pt>
                <c:pt idx="7">
                  <c:v>0.25475971839608202</c:v>
                </c:pt>
                <c:pt idx="8">
                  <c:v>0.287603305785124</c:v>
                </c:pt>
                <c:pt idx="9">
                  <c:v>0.31955922865013781</c:v>
                </c:pt>
                <c:pt idx="10">
                  <c:v>0.35062748699112339</c:v>
                </c:pt>
                <c:pt idx="11">
                  <c:v>0.38080808080808087</c:v>
                </c:pt>
                <c:pt idx="12">
                  <c:v>0.41010101010101013</c:v>
                </c:pt>
                <c:pt idx="13">
                  <c:v>0.43850627486991128</c:v>
                </c:pt>
                <c:pt idx="14">
                  <c:v>0.46602387511478421</c:v>
                </c:pt>
                <c:pt idx="15">
                  <c:v>0.49265381083562904</c:v>
                </c:pt>
                <c:pt idx="16">
                  <c:v>0.5183960820324458</c:v>
                </c:pt>
                <c:pt idx="17">
                  <c:v>0.54325068870523419</c:v>
                </c:pt>
                <c:pt idx="18">
                  <c:v>0.56721763085399457</c:v>
                </c:pt>
                <c:pt idx="19">
                  <c:v>0.59029690847872673</c:v>
                </c:pt>
                <c:pt idx="20">
                  <c:v>0.61248852157943079</c:v>
                </c:pt>
                <c:pt idx="21">
                  <c:v>0.63379247015610662</c:v>
                </c:pt>
                <c:pt idx="22">
                  <c:v>0.65420875420875435</c:v>
                </c:pt>
                <c:pt idx="23">
                  <c:v>0.67373737373737375</c:v>
                </c:pt>
                <c:pt idx="24">
                  <c:v>0.69237832874196514</c:v>
                </c:pt>
                <c:pt idx="25">
                  <c:v>0.71013161922252843</c:v>
                </c:pt>
                <c:pt idx="26">
                  <c:v>0.7269972451790635</c:v>
                </c:pt>
                <c:pt idx="27">
                  <c:v>0.74297520661157035</c:v>
                </c:pt>
                <c:pt idx="28">
                  <c:v>0.75806550352004909</c:v>
                </c:pt>
                <c:pt idx="29">
                  <c:v>0.77226813590449972</c:v>
                </c:pt>
                <c:pt idx="30">
                  <c:v>0.78558310376492191</c:v>
                </c:pt>
                <c:pt idx="31">
                  <c:v>0.79801040710131621</c:v>
                </c:pt>
                <c:pt idx="32">
                  <c:v>0.8095500459136824</c:v>
                </c:pt>
                <c:pt idx="33">
                  <c:v>0.82020202020202027</c:v>
                </c:pt>
                <c:pt idx="34">
                  <c:v>0.82996632996633002</c:v>
                </c:pt>
                <c:pt idx="35">
                  <c:v>0.83884297520661166</c:v>
                </c:pt>
                <c:pt idx="36">
                  <c:v>0.8468319559228652</c:v>
                </c:pt>
                <c:pt idx="37">
                  <c:v>0.8539332721150904</c:v>
                </c:pt>
                <c:pt idx="38">
                  <c:v>0.8601469237832875</c:v>
                </c:pt>
                <c:pt idx="39">
                  <c:v>0.86547291092745648</c:v>
                </c:pt>
                <c:pt idx="40">
                  <c:v>0.86991123354759725</c:v>
                </c:pt>
                <c:pt idx="41">
                  <c:v>0.87346189164370991</c:v>
                </c:pt>
                <c:pt idx="42">
                  <c:v>0.87612488521579435</c:v>
                </c:pt>
                <c:pt idx="43">
                  <c:v>0.87790021426385079</c:v>
                </c:pt>
                <c:pt idx="44">
                  <c:v>0.8787878787878789</c:v>
                </c:pt>
                <c:pt idx="45">
                  <c:v>0.8787878787878789</c:v>
                </c:pt>
              </c:numCache>
            </c:numRef>
          </c:val>
          <c:extLst>
            <c:ext xmlns:c16="http://schemas.microsoft.com/office/drawing/2014/chart" uri="{C3380CC4-5D6E-409C-BE32-E72D297353CC}">
              <c16:uniqueId val="{0000001D-1207-4F30-8C32-A8708F061D60}"/>
            </c:ext>
          </c:extLst>
        </c:ser>
        <c:ser>
          <c:idx val="30"/>
          <c:order val="30"/>
          <c:tx>
            <c:strRef>
              <c:f>'Ej. 3'!$AU$8</c:f>
              <c:strCache>
                <c:ptCount val="1"/>
                <c:pt idx="0">
                  <c:v>30</c:v>
                </c:pt>
              </c:strCache>
            </c:strRef>
          </c:tx>
          <c:spPr>
            <a:ln w="9525" cap="rnd">
              <a:solidFill>
                <a:schemeClr val="accent6">
                  <a:shade val="75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3'!$AU$9:$AU$54</c:f>
              <c:numCache>
                <c:formatCode>0.00%</c:formatCode>
                <c:ptCount val="46"/>
                <c:pt idx="0">
                  <c:v>0</c:v>
                </c:pt>
                <c:pt idx="1">
                  <c:v>3.9730639730639727E-2</c:v>
                </c:pt>
                <c:pt idx="2">
                  <c:v>7.8558310376492191E-2</c:v>
                </c:pt>
                <c:pt idx="3">
                  <c:v>0.11648301193755738</c:v>
                </c:pt>
                <c:pt idx="4">
                  <c:v>0.1535047444138353</c:v>
                </c:pt>
                <c:pt idx="5">
                  <c:v>0.18962350780532594</c:v>
                </c:pt>
                <c:pt idx="6">
                  <c:v>0.22483930211202935</c:v>
                </c:pt>
                <c:pt idx="7">
                  <c:v>0.25915212733394544</c:v>
                </c:pt>
                <c:pt idx="8">
                  <c:v>0.29256198347107432</c:v>
                </c:pt>
                <c:pt idx="9">
                  <c:v>0.32506887052341593</c:v>
                </c:pt>
                <c:pt idx="10">
                  <c:v>0.35667278849097028</c:v>
                </c:pt>
                <c:pt idx="11">
                  <c:v>0.38737373737373731</c:v>
                </c:pt>
                <c:pt idx="12">
                  <c:v>0.41717171717171714</c:v>
                </c:pt>
                <c:pt idx="13">
                  <c:v>0.44606672788490964</c:v>
                </c:pt>
                <c:pt idx="14">
                  <c:v>0.47405876951331488</c:v>
                </c:pt>
                <c:pt idx="15">
                  <c:v>0.50114784205693286</c:v>
                </c:pt>
                <c:pt idx="16">
                  <c:v>0.52733394551576362</c:v>
                </c:pt>
                <c:pt idx="17">
                  <c:v>0.55261707988980702</c:v>
                </c:pt>
                <c:pt idx="18">
                  <c:v>0.57699724517906337</c:v>
                </c:pt>
                <c:pt idx="19">
                  <c:v>0.60047444138353223</c:v>
                </c:pt>
                <c:pt idx="20">
                  <c:v>0.62304866850321394</c:v>
                </c:pt>
                <c:pt idx="21">
                  <c:v>0.64471992653810828</c:v>
                </c:pt>
                <c:pt idx="22">
                  <c:v>0.66548821548821546</c:v>
                </c:pt>
                <c:pt idx="23">
                  <c:v>0.68535353535353516</c:v>
                </c:pt>
                <c:pt idx="24">
                  <c:v>0.70431588613406781</c:v>
                </c:pt>
                <c:pt idx="25">
                  <c:v>0.72237526782981332</c:v>
                </c:pt>
                <c:pt idx="26">
                  <c:v>0.73953168044077122</c:v>
                </c:pt>
                <c:pt idx="27">
                  <c:v>0.75578512396694209</c:v>
                </c:pt>
                <c:pt idx="28">
                  <c:v>0.77113559840832557</c:v>
                </c:pt>
                <c:pt idx="29">
                  <c:v>0.78558310376492191</c:v>
                </c:pt>
                <c:pt idx="30">
                  <c:v>0.79912764003673076</c:v>
                </c:pt>
                <c:pt idx="31">
                  <c:v>0.81176920722375256</c:v>
                </c:pt>
                <c:pt idx="32">
                  <c:v>0.82350780532598711</c:v>
                </c:pt>
                <c:pt idx="33">
                  <c:v>0.83434343434343428</c:v>
                </c:pt>
                <c:pt idx="34">
                  <c:v>0.84427609427609418</c:v>
                </c:pt>
                <c:pt idx="35">
                  <c:v>0.85330578512396682</c:v>
                </c:pt>
                <c:pt idx="36">
                  <c:v>0.86143250688705231</c:v>
                </c:pt>
                <c:pt idx="37">
                  <c:v>0.86865625956535042</c:v>
                </c:pt>
                <c:pt idx="38">
                  <c:v>0.87497704315886116</c:v>
                </c:pt>
                <c:pt idx="39">
                  <c:v>0.88039485766758485</c:v>
                </c:pt>
                <c:pt idx="40">
                  <c:v>0.88490970309152106</c:v>
                </c:pt>
                <c:pt idx="41">
                  <c:v>0.88852157943067023</c:v>
                </c:pt>
                <c:pt idx="42">
                  <c:v>0.89123048668503202</c:v>
                </c:pt>
                <c:pt idx="43">
                  <c:v>0.89303642485460666</c:v>
                </c:pt>
                <c:pt idx="44">
                  <c:v>0.89393939393939381</c:v>
                </c:pt>
                <c:pt idx="45">
                  <c:v>0.89393939393939381</c:v>
                </c:pt>
              </c:numCache>
            </c:numRef>
          </c:val>
          <c:extLst>
            <c:ext xmlns:c16="http://schemas.microsoft.com/office/drawing/2014/chart" uri="{C3380CC4-5D6E-409C-BE32-E72D297353CC}">
              <c16:uniqueId val="{0000001E-1207-4F30-8C32-A8708F061D60}"/>
            </c:ext>
          </c:extLst>
        </c:ser>
        <c:ser>
          <c:idx val="31"/>
          <c:order val="31"/>
          <c:tx>
            <c:strRef>
              <c:f>'Ej. 3'!$AV$8</c:f>
              <c:strCache>
                <c:ptCount val="1"/>
                <c:pt idx="0">
                  <c:v>31</c:v>
                </c:pt>
              </c:strCache>
            </c:strRef>
          </c:tx>
          <c:spPr>
            <a:ln w="9525" cap="rnd">
              <a:solidFill>
                <a:schemeClr val="accent6">
                  <a:shade val="72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3'!$AV$9:$AV$54</c:f>
              <c:numCache>
                <c:formatCode>0.00%</c:formatCode>
                <c:ptCount val="46"/>
                <c:pt idx="0">
                  <c:v>0</c:v>
                </c:pt>
                <c:pt idx="1">
                  <c:v>4.0359147025813689E-2</c:v>
                </c:pt>
                <c:pt idx="2">
                  <c:v>7.9801040710131624E-2</c:v>
                </c:pt>
                <c:pt idx="3">
                  <c:v>0.11832568105295378</c:v>
                </c:pt>
                <c:pt idx="4">
                  <c:v>0.15593306805428017</c:v>
                </c:pt>
                <c:pt idx="5">
                  <c:v>0.19262320171411076</c:v>
                </c:pt>
                <c:pt idx="6">
                  <c:v>0.22839608203244566</c:v>
                </c:pt>
                <c:pt idx="7">
                  <c:v>0.26325170900928474</c:v>
                </c:pt>
                <c:pt idx="8">
                  <c:v>0.2971900826446281</c:v>
                </c:pt>
                <c:pt idx="9">
                  <c:v>0.33021120293847567</c:v>
                </c:pt>
                <c:pt idx="10">
                  <c:v>0.36231506989082746</c:v>
                </c:pt>
                <c:pt idx="11">
                  <c:v>0.39350168350168352</c:v>
                </c:pt>
                <c:pt idx="12">
                  <c:v>0.42377104377104374</c:v>
                </c:pt>
                <c:pt idx="13">
                  <c:v>0.45312315069890824</c:v>
                </c:pt>
                <c:pt idx="14">
                  <c:v>0.48155800428527695</c:v>
                </c:pt>
                <c:pt idx="15">
                  <c:v>0.50907560453014988</c:v>
                </c:pt>
                <c:pt idx="16">
                  <c:v>0.5356759514335272</c:v>
                </c:pt>
                <c:pt idx="17">
                  <c:v>0.56135904499540856</c:v>
                </c:pt>
                <c:pt idx="18">
                  <c:v>0.58612488521579431</c:v>
                </c:pt>
                <c:pt idx="19">
                  <c:v>0.60997347209468422</c:v>
                </c:pt>
                <c:pt idx="20">
                  <c:v>0.6329048056320784</c:v>
                </c:pt>
                <c:pt idx="21">
                  <c:v>0.65491888582797675</c:v>
                </c:pt>
                <c:pt idx="22">
                  <c:v>0.67601571268237937</c:v>
                </c:pt>
                <c:pt idx="23">
                  <c:v>0.69619528619528614</c:v>
                </c:pt>
                <c:pt idx="24">
                  <c:v>0.7154576063666972</c:v>
                </c:pt>
                <c:pt idx="25">
                  <c:v>0.73380267319661263</c:v>
                </c:pt>
                <c:pt idx="26">
                  <c:v>0.75123048668503212</c:v>
                </c:pt>
                <c:pt idx="27">
                  <c:v>0.76774104683195588</c:v>
                </c:pt>
                <c:pt idx="28">
                  <c:v>0.78333435363738391</c:v>
                </c:pt>
                <c:pt idx="29">
                  <c:v>0.79801040710131621</c:v>
                </c:pt>
                <c:pt idx="30">
                  <c:v>0.81176920722375256</c:v>
                </c:pt>
                <c:pt idx="31">
                  <c:v>0.8246107540046933</c:v>
                </c:pt>
                <c:pt idx="32">
                  <c:v>0.83653504744413831</c:v>
                </c:pt>
                <c:pt idx="33">
                  <c:v>0.84754208754208749</c:v>
                </c:pt>
                <c:pt idx="34">
                  <c:v>0.85763187429854093</c:v>
                </c:pt>
                <c:pt idx="35">
                  <c:v>0.86680440771349865</c:v>
                </c:pt>
                <c:pt idx="36">
                  <c:v>0.87505968778696053</c:v>
                </c:pt>
                <c:pt idx="37">
                  <c:v>0.88239771451892668</c:v>
                </c:pt>
                <c:pt idx="38">
                  <c:v>0.88881848790939699</c:v>
                </c:pt>
                <c:pt idx="39">
                  <c:v>0.89432200795837158</c:v>
                </c:pt>
                <c:pt idx="40">
                  <c:v>0.89890827466585033</c:v>
                </c:pt>
                <c:pt idx="41">
                  <c:v>0.90257728803183346</c:v>
                </c:pt>
                <c:pt idx="42">
                  <c:v>0.90532904805632075</c:v>
                </c:pt>
                <c:pt idx="43">
                  <c:v>0.90716355473931243</c:v>
                </c:pt>
                <c:pt idx="44">
                  <c:v>0.90808080808080804</c:v>
                </c:pt>
                <c:pt idx="45">
                  <c:v>0.90808080808080804</c:v>
                </c:pt>
              </c:numCache>
            </c:numRef>
          </c:val>
          <c:extLst>
            <c:ext xmlns:c16="http://schemas.microsoft.com/office/drawing/2014/chart" uri="{C3380CC4-5D6E-409C-BE32-E72D297353CC}">
              <c16:uniqueId val="{0000001F-1207-4F30-8C32-A8708F061D60}"/>
            </c:ext>
          </c:extLst>
        </c:ser>
        <c:ser>
          <c:idx val="32"/>
          <c:order val="32"/>
          <c:tx>
            <c:strRef>
              <c:f>'Ej. 3'!$AW$8</c:f>
              <c:strCache>
                <c:ptCount val="1"/>
                <c:pt idx="0">
                  <c:v>32</c:v>
                </c:pt>
              </c:strCache>
            </c:strRef>
          </c:tx>
          <c:spPr>
            <a:ln w="9525" cap="rnd">
              <a:solidFill>
                <a:schemeClr val="accent6">
                  <a:shade val="69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3'!$AW$9:$AW$54</c:f>
              <c:numCache>
                <c:formatCode>0.00%</c:formatCode>
                <c:ptCount val="46"/>
                <c:pt idx="0">
                  <c:v>0</c:v>
                </c:pt>
                <c:pt idx="1">
                  <c:v>4.0942760942760947E-2</c:v>
                </c:pt>
                <c:pt idx="2">
                  <c:v>8.0955004591368243E-2</c:v>
                </c:pt>
                <c:pt idx="3">
                  <c:v>0.12003673094582187</c:v>
                </c:pt>
                <c:pt idx="4">
                  <c:v>0.15818794000612182</c:v>
                </c:pt>
                <c:pt idx="5">
                  <c:v>0.19540863177226814</c:v>
                </c:pt>
                <c:pt idx="6">
                  <c:v>0.23169880624426081</c:v>
                </c:pt>
                <c:pt idx="7">
                  <c:v>0.26705846342209977</c:v>
                </c:pt>
                <c:pt idx="8">
                  <c:v>0.30148760330578511</c:v>
                </c:pt>
                <c:pt idx="9">
                  <c:v>0.33498622589531685</c:v>
                </c:pt>
                <c:pt idx="10">
                  <c:v>0.36755433119069486</c:v>
                </c:pt>
                <c:pt idx="11">
                  <c:v>0.39919191919191921</c:v>
                </c:pt>
                <c:pt idx="12">
                  <c:v>0.42989898989898995</c:v>
                </c:pt>
                <c:pt idx="13">
                  <c:v>0.45967554331190696</c:v>
                </c:pt>
                <c:pt idx="14">
                  <c:v>0.48852157943067032</c:v>
                </c:pt>
                <c:pt idx="15">
                  <c:v>0.51643709825528006</c:v>
                </c:pt>
                <c:pt idx="16">
                  <c:v>0.54342209978573619</c:v>
                </c:pt>
                <c:pt idx="17">
                  <c:v>0.5694765840220386</c:v>
                </c:pt>
                <c:pt idx="18">
                  <c:v>0.5946005509641874</c:v>
                </c:pt>
                <c:pt idx="19">
                  <c:v>0.61879400061218248</c:v>
                </c:pt>
                <c:pt idx="20">
                  <c:v>0.64205693296602395</c:v>
                </c:pt>
                <c:pt idx="21">
                  <c:v>0.6643893480257117</c:v>
                </c:pt>
                <c:pt idx="22">
                  <c:v>0.68579124579124584</c:v>
                </c:pt>
                <c:pt idx="23">
                  <c:v>0.70626262626262626</c:v>
                </c:pt>
                <c:pt idx="24">
                  <c:v>0.72580348943985307</c:v>
                </c:pt>
                <c:pt idx="25">
                  <c:v>0.74441383532292638</c:v>
                </c:pt>
                <c:pt idx="26">
                  <c:v>0.76209366391184574</c:v>
                </c:pt>
                <c:pt idx="27">
                  <c:v>0.77884297520661161</c:v>
                </c:pt>
                <c:pt idx="28">
                  <c:v>0.79466176920722376</c:v>
                </c:pt>
                <c:pt idx="29">
                  <c:v>0.8095500459136824</c:v>
                </c:pt>
                <c:pt idx="30">
                  <c:v>0.82350780532598711</c:v>
                </c:pt>
                <c:pt idx="31">
                  <c:v>0.83653504744413831</c:v>
                </c:pt>
                <c:pt idx="32">
                  <c:v>0.84863177226813602</c:v>
                </c:pt>
                <c:pt idx="33">
                  <c:v>0.85979797979797989</c:v>
                </c:pt>
                <c:pt idx="34">
                  <c:v>0.87003367003367005</c:v>
                </c:pt>
                <c:pt idx="35">
                  <c:v>0.8793388429752067</c:v>
                </c:pt>
                <c:pt idx="36">
                  <c:v>0.88771349862258964</c:v>
                </c:pt>
                <c:pt idx="37">
                  <c:v>0.89515763697581885</c:v>
                </c:pt>
                <c:pt idx="38">
                  <c:v>0.90167125803489445</c:v>
                </c:pt>
                <c:pt idx="39">
                  <c:v>0.90725436179981644</c:v>
                </c:pt>
                <c:pt idx="40">
                  <c:v>0.91190694827058461</c:v>
                </c:pt>
                <c:pt idx="41">
                  <c:v>0.91562901744719927</c:v>
                </c:pt>
                <c:pt idx="42">
                  <c:v>0.91842056932966032</c:v>
                </c:pt>
                <c:pt idx="43">
                  <c:v>0.92028160391796765</c:v>
                </c:pt>
                <c:pt idx="44">
                  <c:v>0.92121212121212126</c:v>
                </c:pt>
                <c:pt idx="45">
                  <c:v>0.92121212121212126</c:v>
                </c:pt>
              </c:numCache>
            </c:numRef>
          </c:val>
          <c:extLst>
            <c:ext xmlns:c16="http://schemas.microsoft.com/office/drawing/2014/chart" uri="{C3380CC4-5D6E-409C-BE32-E72D297353CC}">
              <c16:uniqueId val="{00000020-1207-4F30-8C32-A8708F061D60}"/>
            </c:ext>
          </c:extLst>
        </c:ser>
        <c:ser>
          <c:idx val="33"/>
          <c:order val="33"/>
          <c:tx>
            <c:strRef>
              <c:f>'Ej. 3'!$AX$8</c:f>
              <c:strCache>
                <c:ptCount val="1"/>
                <c:pt idx="0">
                  <c:v>33</c:v>
                </c:pt>
              </c:strCache>
            </c:strRef>
          </c:tx>
          <c:spPr>
            <a:ln w="9525" cap="rnd">
              <a:solidFill>
                <a:schemeClr val="accent6">
                  <a:shade val="66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3'!$AX$9:$AX$54</c:f>
              <c:numCache>
                <c:formatCode>0.00%</c:formatCode>
                <c:ptCount val="46"/>
                <c:pt idx="0">
                  <c:v>0</c:v>
                </c:pt>
                <c:pt idx="1">
                  <c:v>4.148148148148148E-2</c:v>
                </c:pt>
                <c:pt idx="2">
                  <c:v>8.2020202020202035E-2</c:v>
                </c:pt>
                <c:pt idx="3">
                  <c:v>0.12161616161616162</c:v>
                </c:pt>
                <c:pt idx="4">
                  <c:v>0.16026936026936026</c:v>
                </c:pt>
                <c:pt idx="5">
                  <c:v>0.19797979797979795</c:v>
                </c:pt>
                <c:pt idx="6">
                  <c:v>0.23474747474747476</c:v>
                </c:pt>
                <c:pt idx="7">
                  <c:v>0.27057239057239058</c:v>
                </c:pt>
                <c:pt idx="8">
                  <c:v>0.30545454545454548</c:v>
                </c:pt>
                <c:pt idx="9">
                  <c:v>0.33939393939393941</c:v>
                </c:pt>
                <c:pt idx="10">
                  <c:v>0.37239057239057244</c:v>
                </c:pt>
                <c:pt idx="11">
                  <c:v>0.40444444444444444</c:v>
                </c:pt>
                <c:pt idx="12">
                  <c:v>0.43555555555555558</c:v>
                </c:pt>
                <c:pt idx="13">
                  <c:v>0.46572390572390571</c:v>
                </c:pt>
                <c:pt idx="14">
                  <c:v>0.49494949494949492</c:v>
                </c:pt>
                <c:pt idx="15">
                  <c:v>0.52323232323232316</c:v>
                </c:pt>
                <c:pt idx="16">
                  <c:v>0.5505723905723906</c:v>
                </c:pt>
                <c:pt idx="17">
                  <c:v>0.57696969696969691</c:v>
                </c:pt>
                <c:pt idx="18">
                  <c:v>0.60242424242424253</c:v>
                </c:pt>
                <c:pt idx="19">
                  <c:v>0.6269360269360269</c:v>
                </c:pt>
                <c:pt idx="20">
                  <c:v>0.65050505050505059</c:v>
                </c:pt>
                <c:pt idx="21">
                  <c:v>0.67313131313131314</c:v>
                </c:pt>
                <c:pt idx="22">
                  <c:v>0.69481481481481489</c:v>
                </c:pt>
                <c:pt idx="23">
                  <c:v>0.7155555555555555</c:v>
                </c:pt>
                <c:pt idx="24">
                  <c:v>0.73535353535353531</c:v>
                </c:pt>
                <c:pt idx="25">
                  <c:v>0.75420875420875433</c:v>
                </c:pt>
                <c:pt idx="26">
                  <c:v>0.7721212121212121</c:v>
                </c:pt>
                <c:pt idx="27">
                  <c:v>0.78909090909090907</c:v>
                </c:pt>
                <c:pt idx="28">
                  <c:v>0.80511784511784512</c:v>
                </c:pt>
                <c:pt idx="29">
                  <c:v>0.82020202020202027</c:v>
                </c:pt>
                <c:pt idx="30">
                  <c:v>0.83434343434343428</c:v>
                </c:pt>
                <c:pt idx="31">
                  <c:v>0.84754208754208749</c:v>
                </c:pt>
                <c:pt idx="32">
                  <c:v>0.85979797979797989</c:v>
                </c:pt>
                <c:pt idx="33">
                  <c:v>0.87111111111111117</c:v>
                </c:pt>
                <c:pt idx="34">
                  <c:v>0.88148148148148142</c:v>
                </c:pt>
                <c:pt idx="35">
                  <c:v>0.89090909090909098</c:v>
                </c:pt>
                <c:pt idx="36">
                  <c:v>0.89939393939393952</c:v>
                </c:pt>
                <c:pt idx="37">
                  <c:v>0.90693602693602704</c:v>
                </c:pt>
                <c:pt idx="38">
                  <c:v>0.91353535353535353</c:v>
                </c:pt>
                <c:pt idx="39">
                  <c:v>0.91919191919191923</c:v>
                </c:pt>
                <c:pt idx="40">
                  <c:v>0.9239057239057239</c:v>
                </c:pt>
                <c:pt idx="41">
                  <c:v>0.92767676767676766</c:v>
                </c:pt>
                <c:pt idx="42">
                  <c:v>0.9305050505050505</c:v>
                </c:pt>
                <c:pt idx="43">
                  <c:v>0.93239057239057255</c:v>
                </c:pt>
                <c:pt idx="44">
                  <c:v>0.93333333333333335</c:v>
                </c:pt>
                <c:pt idx="45">
                  <c:v>0.93333333333333335</c:v>
                </c:pt>
              </c:numCache>
            </c:numRef>
          </c:val>
          <c:extLst>
            <c:ext xmlns:c16="http://schemas.microsoft.com/office/drawing/2014/chart" uri="{C3380CC4-5D6E-409C-BE32-E72D297353CC}">
              <c16:uniqueId val="{00000021-1207-4F30-8C32-A8708F061D60}"/>
            </c:ext>
          </c:extLst>
        </c:ser>
        <c:ser>
          <c:idx val="34"/>
          <c:order val="34"/>
          <c:tx>
            <c:strRef>
              <c:f>'Ej. 3'!$AY$8</c:f>
              <c:strCache>
                <c:ptCount val="1"/>
                <c:pt idx="0">
                  <c:v>34</c:v>
                </c:pt>
              </c:strCache>
            </c:strRef>
          </c:tx>
          <c:spPr>
            <a:ln w="9525" cap="rnd">
              <a:solidFill>
                <a:schemeClr val="accent6">
                  <a:shade val="63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3'!$AY$9:$AY$54</c:f>
              <c:numCache>
                <c:formatCode>0.00%</c:formatCode>
                <c:ptCount val="46"/>
                <c:pt idx="0">
                  <c:v>0</c:v>
                </c:pt>
                <c:pt idx="1">
                  <c:v>4.1975308641975309E-2</c:v>
                </c:pt>
                <c:pt idx="2">
                  <c:v>8.2996632996632999E-2</c:v>
                </c:pt>
                <c:pt idx="3">
                  <c:v>0.12306397306397307</c:v>
                </c:pt>
                <c:pt idx="4">
                  <c:v>0.16217732884399549</c:v>
                </c:pt>
                <c:pt idx="5">
                  <c:v>0.20033670033670031</c:v>
                </c:pt>
                <c:pt idx="6">
                  <c:v>0.23754208754208755</c:v>
                </c:pt>
                <c:pt idx="7">
                  <c:v>0.27379349046015711</c:v>
                </c:pt>
                <c:pt idx="8">
                  <c:v>0.30909090909090908</c:v>
                </c:pt>
                <c:pt idx="9">
                  <c:v>0.34343434343434343</c:v>
                </c:pt>
                <c:pt idx="10">
                  <c:v>0.37682379349046013</c:v>
                </c:pt>
                <c:pt idx="11">
                  <c:v>0.40925925925925927</c:v>
                </c:pt>
                <c:pt idx="12">
                  <c:v>0.44074074074074071</c:v>
                </c:pt>
                <c:pt idx="13">
                  <c:v>0.47126823793490458</c:v>
                </c:pt>
                <c:pt idx="14">
                  <c:v>0.50084175084175075</c:v>
                </c:pt>
                <c:pt idx="15">
                  <c:v>0.52946127946127941</c:v>
                </c:pt>
                <c:pt idx="16">
                  <c:v>0.55712682379349043</c:v>
                </c:pt>
                <c:pt idx="17">
                  <c:v>0.58383838383838382</c:v>
                </c:pt>
                <c:pt idx="18">
                  <c:v>0.60959595959595958</c:v>
                </c:pt>
                <c:pt idx="19">
                  <c:v>0.6343995510662177</c:v>
                </c:pt>
                <c:pt idx="20">
                  <c:v>0.65824915824915831</c:v>
                </c:pt>
                <c:pt idx="21">
                  <c:v>0.68114478114478116</c:v>
                </c:pt>
                <c:pt idx="22">
                  <c:v>0.70308641975308639</c:v>
                </c:pt>
                <c:pt idx="23">
                  <c:v>0.72407407407407398</c:v>
                </c:pt>
                <c:pt idx="24">
                  <c:v>0.74410774410774405</c:v>
                </c:pt>
                <c:pt idx="25">
                  <c:v>0.7631874298540966</c:v>
                </c:pt>
                <c:pt idx="26">
                  <c:v>0.78131313131313129</c:v>
                </c:pt>
                <c:pt idx="27">
                  <c:v>0.79848484848484846</c:v>
                </c:pt>
                <c:pt idx="28">
                  <c:v>0.814702581369248</c:v>
                </c:pt>
                <c:pt idx="29">
                  <c:v>0.82996632996633002</c:v>
                </c:pt>
                <c:pt idx="30">
                  <c:v>0.84427609427609418</c:v>
                </c:pt>
                <c:pt idx="31">
                  <c:v>0.85763187429854093</c:v>
                </c:pt>
                <c:pt idx="32">
                  <c:v>0.87003367003367005</c:v>
                </c:pt>
                <c:pt idx="33">
                  <c:v>0.88148148148148142</c:v>
                </c:pt>
                <c:pt idx="34">
                  <c:v>0.89197530864197527</c:v>
                </c:pt>
                <c:pt idx="35">
                  <c:v>0.90151515151515149</c:v>
                </c:pt>
                <c:pt idx="36">
                  <c:v>0.91010101010101019</c:v>
                </c:pt>
                <c:pt idx="37">
                  <c:v>0.91773288439955103</c:v>
                </c:pt>
                <c:pt idx="38">
                  <c:v>0.92441077441077435</c:v>
                </c:pt>
                <c:pt idx="39">
                  <c:v>0.93013468013468015</c:v>
                </c:pt>
                <c:pt idx="40">
                  <c:v>0.9349046015712682</c:v>
                </c:pt>
                <c:pt idx="41">
                  <c:v>0.93872053872053862</c:v>
                </c:pt>
                <c:pt idx="42">
                  <c:v>0.94158249158249152</c:v>
                </c:pt>
                <c:pt idx="43">
                  <c:v>0.9434904601571269</c:v>
                </c:pt>
                <c:pt idx="44">
                  <c:v>0.94444444444444442</c:v>
                </c:pt>
                <c:pt idx="45">
                  <c:v>0.94444444444444442</c:v>
                </c:pt>
              </c:numCache>
            </c:numRef>
          </c:val>
          <c:extLst>
            <c:ext xmlns:c16="http://schemas.microsoft.com/office/drawing/2014/chart" uri="{C3380CC4-5D6E-409C-BE32-E72D297353CC}">
              <c16:uniqueId val="{00000022-1207-4F30-8C32-A8708F061D60}"/>
            </c:ext>
          </c:extLst>
        </c:ser>
        <c:ser>
          <c:idx val="35"/>
          <c:order val="35"/>
          <c:tx>
            <c:strRef>
              <c:f>'Ej. 3'!$AZ$8</c:f>
              <c:strCache>
                <c:ptCount val="1"/>
                <c:pt idx="0">
                  <c:v>35</c:v>
                </c:pt>
              </c:strCache>
            </c:strRef>
          </c:tx>
          <c:spPr>
            <a:ln w="9525" cap="rnd">
              <a:solidFill>
                <a:schemeClr val="accent6">
                  <a:shade val="60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3'!$AZ$9:$AZ$54</c:f>
              <c:numCache>
                <c:formatCode>0.00%</c:formatCode>
                <c:ptCount val="46"/>
                <c:pt idx="0">
                  <c:v>0</c:v>
                </c:pt>
                <c:pt idx="1">
                  <c:v>4.2424242424242427E-2</c:v>
                </c:pt>
                <c:pt idx="2">
                  <c:v>8.3884297520661177E-2</c:v>
                </c:pt>
                <c:pt idx="3">
                  <c:v>0.1243801652892562</c:v>
                </c:pt>
                <c:pt idx="4">
                  <c:v>0.16391184573002754</c:v>
                </c:pt>
                <c:pt idx="5">
                  <c:v>0.2024793388429752</c:v>
                </c:pt>
                <c:pt idx="6">
                  <c:v>0.2400826446280992</c:v>
                </c:pt>
                <c:pt idx="7">
                  <c:v>0.27672176308539942</c:v>
                </c:pt>
                <c:pt idx="8">
                  <c:v>0.31239669421487604</c:v>
                </c:pt>
                <c:pt idx="9">
                  <c:v>0.34710743801652894</c:v>
                </c:pt>
                <c:pt idx="10">
                  <c:v>0.38085399449035817</c:v>
                </c:pt>
                <c:pt idx="11">
                  <c:v>0.41363636363636369</c:v>
                </c:pt>
                <c:pt idx="12">
                  <c:v>0.44545454545454549</c:v>
                </c:pt>
                <c:pt idx="13">
                  <c:v>0.47630853994490358</c:v>
                </c:pt>
                <c:pt idx="14">
                  <c:v>0.50619834710743805</c:v>
                </c:pt>
                <c:pt idx="15">
                  <c:v>0.5351239669421487</c:v>
                </c:pt>
                <c:pt idx="16">
                  <c:v>0.56308539944903591</c:v>
                </c:pt>
                <c:pt idx="17">
                  <c:v>0.59008264462809923</c:v>
                </c:pt>
                <c:pt idx="18">
                  <c:v>0.61611570247933889</c:v>
                </c:pt>
                <c:pt idx="19">
                  <c:v>0.64118457300275489</c:v>
                </c:pt>
                <c:pt idx="20">
                  <c:v>0.66528925619834722</c:v>
                </c:pt>
                <c:pt idx="21">
                  <c:v>0.68842975206611567</c:v>
                </c:pt>
                <c:pt idx="22">
                  <c:v>0.71060606060606069</c:v>
                </c:pt>
                <c:pt idx="23">
                  <c:v>0.73181818181818181</c:v>
                </c:pt>
                <c:pt idx="24">
                  <c:v>0.75206611570247939</c:v>
                </c:pt>
                <c:pt idx="25">
                  <c:v>0.7713498622589533</c:v>
                </c:pt>
                <c:pt idx="26">
                  <c:v>0.78966942148760333</c:v>
                </c:pt>
                <c:pt idx="27">
                  <c:v>0.80702479338842981</c:v>
                </c:pt>
                <c:pt idx="28">
                  <c:v>0.82341597796143251</c:v>
                </c:pt>
                <c:pt idx="29">
                  <c:v>0.83884297520661166</c:v>
                </c:pt>
                <c:pt idx="30">
                  <c:v>0.85330578512396682</c:v>
                </c:pt>
                <c:pt idx="31">
                  <c:v>0.86680440771349865</c:v>
                </c:pt>
                <c:pt idx="32">
                  <c:v>0.8793388429752067</c:v>
                </c:pt>
                <c:pt idx="33">
                  <c:v>0.89090909090909098</c:v>
                </c:pt>
                <c:pt idx="34">
                  <c:v>0.90151515151515149</c:v>
                </c:pt>
                <c:pt idx="35">
                  <c:v>0.91115702479338856</c:v>
                </c:pt>
                <c:pt idx="36">
                  <c:v>0.91983471074380174</c:v>
                </c:pt>
                <c:pt idx="37">
                  <c:v>0.92754820936639126</c:v>
                </c:pt>
                <c:pt idx="38">
                  <c:v>0.93429752066115701</c:v>
                </c:pt>
                <c:pt idx="39">
                  <c:v>0.94008264462809921</c:v>
                </c:pt>
                <c:pt idx="40">
                  <c:v>0.94490358126721763</c:v>
                </c:pt>
                <c:pt idx="41">
                  <c:v>0.94876033057851239</c:v>
                </c:pt>
                <c:pt idx="42">
                  <c:v>0.95165289256198349</c:v>
                </c:pt>
                <c:pt idx="43">
                  <c:v>0.95358126721763103</c:v>
                </c:pt>
                <c:pt idx="44">
                  <c:v>0.95454545454545459</c:v>
                </c:pt>
                <c:pt idx="45">
                  <c:v>0.95454545454545459</c:v>
                </c:pt>
              </c:numCache>
            </c:numRef>
          </c:val>
          <c:extLst>
            <c:ext xmlns:c16="http://schemas.microsoft.com/office/drawing/2014/chart" uri="{C3380CC4-5D6E-409C-BE32-E72D297353CC}">
              <c16:uniqueId val="{00000023-1207-4F30-8C32-A8708F061D60}"/>
            </c:ext>
          </c:extLst>
        </c:ser>
        <c:ser>
          <c:idx val="36"/>
          <c:order val="36"/>
          <c:tx>
            <c:strRef>
              <c:f>'Ej. 3'!$BA$8</c:f>
              <c:strCache>
                <c:ptCount val="1"/>
                <c:pt idx="0">
                  <c:v>36</c:v>
                </c:pt>
              </c:strCache>
            </c:strRef>
          </c:tx>
          <c:spPr>
            <a:ln w="9525" cap="rnd">
              <a:solidFill>
                <a:schemeClr val="accent6">
                  <a:shade val="57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3'!$BA$9:$BA$54</c:f>
              <c:numCache>
                <c:formatCode>0.00%</c:formatCode>
                <c:ptCount val="46"/>
                <c:pt idx="0">
                  <c:v>0</c:v>
                </c:pt>
                <c:pt idx="1">
                  <c:v>4.2828282828282833E-2</c:v>
                </c:pt>
                <c:pt idx="2">
                  <c:v>8.4683195592286514E-2</c:v>
                </c:pt>
                <c:pt idx="3">
                  <c:v>0.12556473829201104</c:v>
                </c:pt>
                <c:pt idx="4">
                  <c:v>0.16547291092745639</c:v>
                </c:pt>
                <c:pt idx="5">
                  <c:v>0.20440771349862258</c:v>
                </c:pt>
                <c:pt idx="6">
                  <c:v>0.24236914600550968</c:v>
                </c:pt>
                <c:pt idx="7">
                  <c:v>0.27935720844811757</c:v>
                </c:pt>
                <c:pt idx="8">
                  <c:v>0.31537190082644634</c:v>
                </c:pt>
                <c:pt idx="9">
                  <c:v>0.35041322314049589</c:v>
                </c:pt>
                <c:pt idx="10">
                  <c:v>0.38448117539026633</c:v>
                </c:pt>
                <c:pt idx="11">
                  <c:v>0.41757575757575766</c:v>
                </c:pt>
                <c:pt idx="12">
                  <c:v>0.44969696969696976</c:v>
                </c:pt>
                <c:pt idx="13">
                  <c:v>0.4808448117539027</c:v>
                </c:pt>
                <c:pt idx="14">
                  <c:v>0.51101928374655647</c:v>
                </c:pt>
                <c:pt idx="15">
                  <c:v>0.54022038567493114</c:v>
                </c:pt>
                <c:pt idx="16">
                  <c:v>0.56844811753902669</c:v>
                </c:pt>
                <c:pt idx="17">
                  <c:v>0.59570247933884302</c:v>
                </c:pt>
                <c:pt idx="18">
                  <c:v>0.62198347107438023</c:v>
                </c:pt>
                <c:pt idx="19">
                  <c:v>0.64729109274563823</c:v>
                </c:pt>
                <c:pt idx="20">
                  <c:v>0.67162534435261723</c:v>
                </c:pt>
                <c:pt idx="21">
                  <c:v>0.69498622589531689</c:v>
                </c:pt>
                <c:pt idx="22">
                  <c:v>0.71737373737373744</c:v>
                </c:pt>
                <c:pt idx="23">
                  <c:v>0.73878787878787877</c:v>
                </c:pt>
                <c:pt idx="24">
                  <c:v>0.7592286501377411</c:v>
                </c:pt>
                <c:pt idx="25">
                  <c:v>0.77869605142332432</c:v>
                </c:pt>
                <c:pt idx="26">
                  <c:v>0.79719008264462821</c:v>
                </c:pt>
                <c:pt idx="27">
                  <c:v>0.81471074380165298</c:v>
                </c:pt>
                <c:pt idx="28">
                  <c:v>0.83125803489439865</c:v>
                </c:pt>
                <c:pt idx="29">
                  <c:v>0.8468319559228652</c:v>
                </c:pt>
                <c:pt idx="30">
                  <c:v>0.86143250688705231</c:v>
                </c:pt>
                <c:pt idx="31">
                  <c:v>0.87505968778696053</c:v>
                </c:pt>
                <c:pt idx="32">
                  <c:v>0.88771349862258964</c:v>
                </c:pt>
                <c:pt idx="33">
                  <c:v>0.89939393939393952</c:v>
                </c:pt>
                <c:pt idx="34">
                  <c:v>0.91010101010101019</c:v>
                </c:pt>
                <c:pt idx="35">
                  <c:v>0.91983471074380174</c:v>
                </c:pt>
                <c:pt idx="36">
                  <c:v>0.92859504132231419</c:v>
                </c:pt>
                <c:pt idx="37">
                  <c:v>0.93638200183654741</c:v>
                </c:pt>
                <c:pt idx="38">
                  <c:v>0.94319559228650141</c:v>
                </c:pt>
                <c:pt idx="39">
                  <c:v>0.9490358126721764</c:v>
                </c:pt>
                <c:pt idx="40">
                  <c:v>0.95390266299357207</c:v>
                </c:pt>
                <c:pt idx="41">
                  <c:v>0.95779614325068874</c:v>
                </c:pt>
                <c:pt idx="42">
                  <c:v>0.96071625344352629</c:v>
                </c:pt>
                <c:pt idx="43">
                  <c:v>0.96266299357208474</c:v>
                </c:pt>
                <c:pt idx="44">
                  <c:v>0.96363636363636374</c:v>
                </c:pt>
                <c:pt idx="45">
                  <c:v>0.96363636363636374</c:v>
                </c:pt>
              </c:numCache>
            </c:numRef>
          </c:val>
          <c:extLst>
            <c:ext xmlns:c16="http://schemas.microsoft.com/office/drawing/2014/chart" uri="{C3380CC4-5D6E-409C-BE32-E72D297353CC}">
              <c16:uniqueId val="{00000024-1207-4F30-8C32-A8708F061D60}"/>
            </c:ext>
          </c:extLst>
        </c:ser>
        <c:ser>
          <c:idx val="37"/>
          <c:order val="37"/>
          <c:tx>
            <c:strRef>
              <c:f>'Ej. 3'!$BB$8</c:f>
              <c:strCache>
                <c:ptCount val="1"/>
                <c:pt idx="0">
                  <c:v>37</c:v>
                </c:pt>
              </c:strCache>
            </c:strRef>
          </c:tx>
          <c:spPr>
            <a:ln w="9525" cap="rnd">
              <a:solidFill>
                <a:schemeClr val="accent6">
                  <a:shade val="54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3'!$BB$9:$BB$54</c:f>
              <c:numCache>
                <c:formatCode>0.00%</c:formatCode>
                <c:ptCount val="46"/>
                <c:pt idx="0">
                  <c:v>0</c:v>
                </c:pt>
                <c:pt idx="1">
                  <c:v>4.3187429854096522E-2</c:v>
                </c:pt>
                <c:pt idx="2">
                  <c:v>8.5393327211509037E-2</c:v>
                </c:pt>
                <c:pt idx="3">
                  <c:v>0.12661769207223753</c:v>
                </c:pt>
                <c:pt idx="4">
                  <c:v>0.16686052443628202</c:v>
                </c:pt>
                <c:pt idx="5">
                  <c:v>0.20612182430364248</c:v>
                </c:pt>
                <c:pt idx="6">
                  <c:v>0.24440159167431896</c:v>
                </c:pt>
                <c:pt idx="7">
                  <c:v>0.28169982654831138</c:v>
                </c:pt>
                <c:pt idx="8">
                  <c:v>0.31801652892561982</c:v>
                </c:pt>
                <c:pt idx="9">
                  <c:v>0.35335169880624429</c:v>
                </c:pt>
                <c:pt idx="10">
                  <c:v>0.38770533619018471</c:v>
                </c:pt>
                <c:pt idx="11">
                  <c:v>0.42107744107744111</c:v>
                </c:pt>
                <c:pt idx="12">
                  <c:v>0.45346801346801352</c:v>
                </c:pt>
                <c:pt idx="13">
                  <c:v>0.48487705336190184</c:v>
                </c:pt>
                <c:pt idx="14">
                  <c:v>0.51530456075910624</c:v>
                </c:pt>
                <c:pt idx="15">
                  <c:v>0.5447505356596265</c:v>
                </c:pt>
                <c:pt idx="16">
                  <c:v>0.573214978063463</c:v>
                </c:pt>
                <c:pt idx="17">
                  <c:v>0.6006978879706153</c:v>
                </c:pt>
                <c:pt idx="18">
                  <c:v>0.62719926538108361</c:v>
                </c:pt>
                <c:pt idx="19">
                  <c:v>0.65271911029486784</c:v>
                </c:pt>
                <c:pt idx="20">
                  <c:v>0.6772574227119682</c:v>
                </c:pt>
                <c:pt idx="21">
                  <c:v>0.70081420263238448</c:v>
                </c:pt>
                <c:pt idx="22">
                  <c:v>0.72338945005611677</c:v>
                </c:pt>
                <c:pt idx="23">
                  <c:v>0.74498316498316497</c:v>
                </c:pt>
                <c:pt idx="24">
                  <c:v>0.76559534741352919</c:v>
                </c:pt>
                <c:pt idx="25">
                  <c:v>0.78522599734720955</c:v>
                </c:pt>
                <c:pt idx="26">
                  <c:v>0.8038751147842057</c:v>
                </c:pt>
                <c:pt idx="27">
                  <c:v>0.82154269972451799</c:v>
                </c:pt>
                <c:pt idx="28">
                  <c:v>0.83822875216814619</c:v>
                </c:pt>
                <c:pt idx="29">
                  <c:v>0.8539332721150904</c:v>
                </c:pt>
                <c:pt idx="30">
                  <c:v>0.86865625956535042</c:v>
                </c:pt>
                <c:pt idx="31">
                  <c:v>0.88239771451892668</c:v>
                </c:pt>
                <c:pt idx="32">
                  <c:v>0.89515763697581885</c:v>
                </c:pt>
                <c:pt idx="33">
                  <c:v>0.90693602693602704</c:v>
                </c:pt>
                <c:pt idx="34">
                  <c:v>0.91773288439955103</c:v>
                </c:pt>
                <c:pt idx="35">
                  <c:v>0.92754820936639126</c:v>
                </c:pt>
                <c:pt idx="36">
                  <c:v>0.93638200183654741</c:v>
                </c:pt>
                <c:pt idx="37">
                  <c:v>0.94423426181001946</c:v>
                </c:pt>
                <c:pt idx="38">
                  <c:v>0.95110498928680753</c:v>
                </c:pt>
                <c:pt idx="39">
                  <c:v>0.95699418426691163</c:v>
                </c:pt>
                <c:pt idx="40">
                  <c:v>0.96190184675033152</c:v>
                </c:pt>
                <c:pt idx="41">
                  <c:v>0.96582797673706766</c:v>
                </c:pt>
                <c:pt idx="42">
                  <c:v>0.96877257422711971</c:v>
                </c:pt>
                <c:pt idx="43">
                  <c:v>0.97073563922048789</c:v>
                </c:pt>
                <c:pt idx="44">
                  <c:v>0.97171717171717176</c:v>
                </c:pt>
                <c:pt idx="45">
                  <c:v>0.97171717171717176</c:v>
                </c:pt>
              </c:numCache>
            </c:numRef>
          </c:val>
          <c:extLst>
            <c:ext xmlns:c16="http://schemas.microsoft.com/office/drawing/2014/chart" uri="{C3380CC4-5D6E-409C-BE32-E72D297353CC}">
              <c16:uniqueId val="{00000025-1207-4F30-8C32-A8708F061D60}"/>
            </c:ext>
          </c:extLst>
        </c:ser>
        <c:ser>
          <c:idx val="38"/>
          <c:order val="38"/>
          <c:tx>
            <c:strRef>
              <c:f>'Ej. 3'!$BC$8</c:f>
              <c:strCache>
                <c:ptCount val="1"/>
                <c:pt idx="0">
                  <c:v>38</c:v>
                </c:pt>
              </c:strCache>
            </c:strRef>
          </c:tx>
          <c:spPr>
            <a:ln w="9525" cap="rnd">
              <a:solidFill>
                <a:schemeClr val="accent6">
                  <a:shade val="51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3'!$BC$9:$BC$54</c:f>
              <c:numCache>
                <c:formatCode>0.00%</c:formatCode>
                <c:ptCount val="46"/>
                <c:pt idx="0">
                  <c:v>0</c:v>
                </c:pt>
                <c:pt idx="1">
                  <c:v>4.35016835016835E-2</c:v>
                </c:pt>
                <c:pt idx="2">
                  <c:v>8.6014692378328747E-2</c:v>
                </c:pt>
                <c:pt idx="3">
                  <c:v>0.12753902662993571</c:v>
                </c:pt>
                <c:pt idx="4">
                  <c:v>0.16807468625650443</c:v>
                </c:pt>
                <c:pt idx="5">
                  <c:v>0.20762167125803488</c:v>
                </c:pt>
                <c:pt idx="6">
                  <c:v>0.24617998163452709</c:v>
                </c:pt>
                <c:pt idx="7">
                  <c:v>0.28374961738598098</c:v>
                </c:pt>
                <c:pt idx="8">
                  <c:v>0.32033057851239666</c:v>
                </c:pt>
                <c:pt idx="9">
                  <c:v>0.35592286501377413</c:v>
                </c:pt>
                <c:pt idx="10">
                  <c:v>0.39052647689011327</c:v>
                </c:pt>
                <c:pt idx="11">
                  <c:v>0.42414141414141415</c:v>
                </c:pt>
                <c:pt idx="12">
                  <c:v>0.45676767676767677</c:v>
                </c:pt>
                <c:pt idx="13">
                  <c:v>0.48840526476890112</c:v>
                </c:pt>
                <c:pt idx="14">
                  <c:v>0.51905417814508714</c:v>
                </c:pt>
                <c:pt idx="15">
                  <c:v>0.54871441689623501</c:v>
                </c:pt>
                <c:pt idx="16">
                  <c:v>0.57738598102234462</c:v>
                </c:pt>
                <c:pt idx="17">
                  <c:v>0.60506887052341596</c:v>
                </c:pt>
                <c:pt idx="18">
                  <c:v>0.63176308539944903</c:v>
                </c:pt>
                <c:pt idx="19">
                  <c:v>0.65746862565044384</c:v>
                </c:pt>
                <c:pt idx="20">
                  <c:v>0.68218549127640038</c:v>
                </c:pt>
                <c:pt idx="21">
                  <c:v>0.70591368227731865</c:v>
                </c:pt>
                <c:pt idx="22">
                  <c:v>0.72865319865319866</c:v>
                </c:pt>
                <c:pt idx="23">
                  <c:v>0.7504040404040403</c:v>
                </c:pt>
                <c:pt idx="24">
                  <c:v>0.77116620752984388</c:v>
                </c:pt>
                <c:pt idx="25">
                  <c:v>0.79093970003060921</c:v>
                </c:pt>
                <c:pt idx="26">
                  <c:v>0.80972451790633604</c:v>
                </c:pt>
                <c:pt idx="27">
                  <c:v>0.82752066115702483</c:v>
                </c:pt>
                <c:pt idx="28">
                  <c:v>0.84432812978267524</c:v>
                </c:pt>
                <c:pt idx="29">
                  <c:v>0.8601469237832875</c:v>
                </c:pt>
                <c:pt idx="30">
                  <c:v>0.87497704315886116</c:v>
                </c:pt>
                <c:pt idx="31">
                  <c:v>0.88881848790939699</c:v>
                </c:pt>
                <c:pt idx="32">
                  <c:v>0.90167125803489445</c:v>
                </c:pt>
                <c:pt idx="33">
                  <c:v>0.91353535353535353</c:v>
                </c:pt>
                <c:pt idx="34">
                  <c:v>0.92441077441077435</c:v>
                </c:pt>
                <c:pt idx="35">
                  <c:v>0.93429752066115701</c:v>
                </c:pt>
                <c:pt idx="36">
                  <c:v>0.94319559228650141</c:v>
                </c:pt>
                <c:pt idx="37">
                  <c:v>0.95110498928680753</c:v>
                </c:pt>
                <c:pt idx="38">
                  <c:v>0.95802571166207529</c:v>
                </c:pt>
                <c:pt idx="39">
                  <c:v>0.96395775941230488</c:v>
                </c:pt>
                <c:pt idx="40">
                  <c:v>0.9689011325374961</c:v>
                </c:pt>
                <c:pt idx="41">
                  <c:v>0.97285583103764917</c:v>
                </c:pt>
                <c:pt idx="42">
                  <c:v>0.97582185491276396</c:v>
                </c:pt>
                <c:pt idx="43">
                  <c:v>0.97779920416284061</c:v>
                </c:pt>
                <c:pt idx="44">
                  <c:v>0.97878787878787876</c:v>
                </c:pt>
                <c:pt idx="45">
                  <c:v>0.97878787878787876</c:v>
                </c:pt>
              </c:numCache>
            </c:numRef>
          </c:val>
          <c:extLst>
            <c:ext xmlns:c16="http://schemas.microsoft.com/office/drawing/2014/chart" uri="{C3380CC4-5D6E-409C-BE32-E72D297353CC}">
              <c16:uniqueId val="{00000026-1207-4F30-8C32-A8708F061D60}"/>
            </c:ext>
          </c:extLst>
        </c:ser>
        <c:ser>
          <c:idx val="39"/>
          <c:order val="39"/>
          <c:tx>
            <c:strRef>
              <c:f>'Ej. 3'!$BD$8</c:f>
              <c:strCache>
                <c:ptCount val="1"/>
                <c:pt idx="0">
                  <c:v>39</c:v>
                </c:pt>
              </c:strCache>
            </c:strRef>
          </c:tx>
          <c:spPr>
            <a:ln w="9525" cap="rnd">
              <a:solidFill>
                <a:schemeClr val="accent6">
                  <a:shade val="48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3'!$BD$9:$BD$54</c:f>
              <c:numCache>
                <c:formatCode>0.00%</c:formatCode>
                <c:ptCount val="46"/>
                <c:pt idx="0">
                  <c:v>0</c:v>
                </c:pt>
                <c:pt idx="1">
                  <c:v>4.3771043771043773E-2</c:v>
                </c:pt>
                <c:pt idx="2">
                  <c:v>8.6547291092745657E-2</c:v>
                </c:pt>
                <c:pt idx="3">
                  <c:v>0.1283287419651056</c:v>
                </c:pt>
                <c:pt idx="4">
                  <c:v>0.16911539638812365</c:v>
                </c:pt>
                <c:pt idx="5">
                  <c:v>0.2089072543617998</c:v>
                </c:pt>
                <c:pt idx="6">
                  <c:v>0.24770431588613409</c:v>
                </c:pt>
                <c:pt idx="7">
                  <c:v>0.28550658096112641</c:v>
                </c:pt>
                <c:pt idx="8">
                  <c:v>0.32231404958677684</c:v>
                </c:pt>
                <c:pt idx="9">
                  <c:v>0.35812672176308541</c:v>
                </c:pt>
                <c:pt idx="10">
                  <c:v>0.39294459749005206</c:v>
                </c:pt>
                <c:pt idx="11">
                  <c:v>0.4267676767676768</c:v>
                </c:pt>
                <c:pt idx="12">
                  <c:v>0.45959595959595961</c:v>
                </c:pt>
                <c:pt idx="13">
                  <c:v>0.49142944597490051</c:v>
                </c:pt>
                <c:pt idx="14">
                  <c:v>0.5222681359044995</c:v>
                </c:pt>
                <c:pt idx="15">
                  <c:v>0.55211202938475656</c:v>
                </c:pt>
                <c:pt idx="16">
                  <c:v>0.58096112641567188</c:v>
                </c:pt>
                <c:pt idx="17">
                  <c:v>0.60881542699724522</c:v>
                </c:pt>
                <c:pt idx="18">
                  <c:v>0.63567493112947659</c:v>
                </c:pt>
                <c:pt idx="19">
                  <c:v>0.6615396388123661</c:v>
                </c:pt>
                <c:pt idx="20">
                  <c:v>0.68640955004591375</c:v>
                </c:pt>
                <c:pt idx="21">
                  <c:v>0.71028466483011932</c:v>
                </c:pt>
                <c:pt idx="22">
                  <c:v>0.73316498316498324</c:v>
                </c:pt>
                <c:pt idx="23">
                  <c:v>0.75505050505050497</c:v>
                </c:pt>
                <c:pt idx="24">
                  <c:v>0.77594123048668506</c:v>
                </c:pt>
                <c:pt idx="25">
                  <c:v>0.79583715947352318</c:v>
                </c:pt>
                <c:pt idx="26">
                  <c:v>0.81473829201101933</c:v>
                </c:pt>
                <c:pt idx="27">
                  <c:v>0.83264462809917361</c:v>
                </c:pt>
                <c:pt idx="28">
                  <c:v>0.84955616773798592</c:v>
                </c:pt>
                <c:pt idx="29">
                  <c:v>0.86547291092745648</c:v>
                </c:pt>
                <c:pt idx="30">
                  <c:v>0.88039485766758485</c:v>
                </c:pt>
                <c:pt idx="31">
                  <c:v>0.89432200795837158</c:v>
                </c:pt>
                <c:pt idx="32">
                  <c:v>0.90725436179981644</c:v>
                </c:pt>
                <c:pt idx="33">
                  <c:v>0.91919191919191923</c:v>
                </c:pt>
                <c:pt idx="34">
                  <c:v>0.93013468013468015</c:v>
                </c:pt>
                <c:pt idx="35">
                  <c:v>0.94008264462809921</c:v>
                </c:pt>
                <c:pt idx="36">
                  <c:v>0.9490358126721764</c:v>
                </c:pt>
                <c:pt idx="37">
                  <c:v>0.95699418426691163</c:v>
                </c:pt>
                <c:pt idx="38">
                  <c:v>0.96395775941230488</c:v>
                </c:pt>
                <c:pt idx="39">
                  <c:v>0.96992653810835627</c:v>
                </c:pt>
                <c:pt idx="40">
                  <c:v>0.9749005203550658</c:v>
                </c:pt>
                <c:pt idx="41">
                  <c:v>0.97887970615243336</c:v>
                </c:pt>
                <c:pt idx="42">
                  <c:v>0.98186409550045917</c:v>
                </c:pt>
                <c:pt idx="43">
                  <c:v>0.98385368839914311</c:v>
                </c:pt>
                <c:pt idx="44">
                  <c:v>0.98484848484848486</c:v>
                </c:pt>
                <c:pt idx="45">
                  <c:v>0.98484848484848486</c:v>
                </c:pt>
              </c:numCache>
            </c:numRef>
          </c:val>
          <c:extLst>
            <c:ext xmlns:c16="http://schemas.microsoft.com/office/drawing/2014/chart" uri="{C3380CC4-5D6E-409C-BE32-E72D297353CC}">
              <c16:uniqueId val="{00000027-1207-4F30-8C32-A8708F061D60}"/>
            </c:ext>
          </c:extLst>
        </c:ser>
        <c:ser>
          <c:idx val="40"/>
          <c:order val="40"/>
          <c:tx>
            <c:strRef>
              <c:f>'Ej. 3'!$BE$8</c:f>
              <c:strCache>
                <c:ptCount val="1"/>
                <c:pt idx="0">
                  <c:v>40</c:v>
                </c:pt>
              </c:strCache>
            </c:strRef>
          </c:tx>
          <c:spPr>
            <a:ln w="9525" cap="rnd">
              <a:solidFill>
                <a:schemeClr val="accent6">
                  <a:shade val="45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3'!$BE$9:$BE$54</c:f>
              <c:numCache>
                <c:formatCode>0.00%</c:formatCode>
                <c:ptCount val="46"/>
                <c:pt idx="0">
                  <c:v>0</c:v>
                </c:pt>
                <c:pt idx="1">
                  <c:v>4.3995510662177328E-2</c:v>
                </c:pt>
                <c:pt idx="2">
                  <c:v>8.6991123354759725E-2</c:v>
                </c:pt>
                <c:pt idx="3">
                  <c:v>0.12898683807774716</c:v>
                </c:pt>
                <c:pt idx="4">
                  <c:v>0.16998265483113967</c:v>
                </c:pt>
                <c:pt idx="5">
                  <c:v>0.20997857361493721</c:v>
                </c:pt>
                <c:pt idx="6">
                  <c:v>0.24897459442913988</c:v>
                </c:pt>
                <c:pt idx="7">
                  <c:v>0.28697071727374751</c:v>
                </c:pt>
                <c:pt idx="8">
                  <c:v>0.32396694214876032</c:v>
                </c:pt>
                <c:pt idx="9">
                  <c:v>0.35996326905417814</c:v>
                </c:pt>
                <c:pt idx="10">
                  <c:v>0.39495969799000102</c:v>
                </c:pt>
                <c:pt idx="11">
                  <c:v>0.42895622895622892</c:v>
                </c:pt>
                <c:pt idx="12">
                  <c:v>0.46195286195286195</c:v>
                </c:pt>
                <c:pt idx="13">
                  <c:v>0.49394959697989999</c:v>
                </c:pt>
                <c:pt idx="14">
                  <c:v>0.52494643403734309</c:v>
                </c:pt>
                <c:pt idx="15">
                  <c:v>0.55494337312519126</c:v>
                </c:pt>
                <c:pt idx="16">
                  <c:v>0.58394041424344456</c:v>
                </c:pt>
                <c:pt idx="17">
                  <c:v>0.61193755739210276</c:v>
                </c:pt>
                <c:pt idx="18">
                  <c:v>0.63893480257116619</c:v>
                </c:pt>
                <c:pt idx="19">
                  <c:v>0.66493214978063453</c:v>
                </c:pt>
                <c:pt idx="20">
                  <c:v>0.6899295990205081</c:v>
                </c:pt>
                <c:pt idx="21">
                  <c:v>0.71392715029078657</c:v>
                </c:pt>
                <c:pt idx="22">
                  <c:v>0.73692480359147028</c:v>
                </c:pt>
                <c:pt idx="23">
                  <c:v>0.75892255892255878</c:v>
                </c:pt>
                <c:pt idx="24">
                  <c:v>0.77992041628405251</c:v>
                </c:pt>
                <c:pt idx="25">
                  <c:v>0.79991837567595148</c:v>
                </c:pt>
                <c:pt idx="26">
                  <c:v>0.81891643709825523</c:v>
                </c:pt>
                <c:pt idx="27">
                  <c:v>0.83691460055096412</c:v>
                </c:pt>
                <c:pt idx="28">
                  <c:v>0.85391286603407812</c:v>
                </c:pt>
                <c:pt idx="29">
                  <c:v>0.86991123354759725</c:v>
                </c:pt>
                <c:pt idx="30">
                  <c:v>0.88490970309152106</c:v>
                </c:pt>
                <c:pt idx="31">
                  <c:v>0.89890827466585033</c:v>
                </c:pt>
                <c:pt idx="32">
                  <c:v>0.91190694827058461</c:v>
                </c:pt>
                <c:pt idx="33">
                  <c:v>0.9239057239057239</c:v>
                </c:pt>
                <c:pt idx="34">
                  <c:v>0.9349046015712682</c:v>
                </c:pt>
                <c:pt idx="35">
                  <c:v>0.94490358126721763</c:v>
                </c:pt>
                <c:pt idx="36">
                  <c:v>0.95390266299357207</c:v>
                </c:pt>
                <c:pt idx="37">
                  <c:v>0.96190184675033152</c:v>
                </c:pt>
                <c:pt idx="38">
                  <c:v>0.9689011325374961</c:v>
                </c:pt>
                <c:pt idx="39">
                  <c:v>0.9749005203550658</c:v>
                </c:pt>
                <c:pt idx="40">
                  <c:v>0.97990001020304041</c:v>
                </c:pt>
                <c:pt idx="41">
                  <c:v>0.98389960208142013</c:v>
                </c:pt>
                <c:pt idx="42">
                  <c:v>0.98689929599020498</c:v>
                </c:pt>
                <c:pt idx="43">
                  <c:v>0.98889909192939496</c:v>
                </c:pt>
                <c:pt idx="44">
                  <c:v>0.98989898989898983</c:v>
                </c:pt>
                <c:pt idx="45">
                  <c:v>0.98989898989898983</c:v>
                </c:pt>
              </c:numCache>
            </c:numRef>
          </c:val>
          <c:extLst>
            <c:ext xmlns:c16="http://schemas.microsoft.com/office/drawing/2014/chart" uri="{C3380CC4-5D6E-409C-BE32-E72D297353CC}">
              <c16:uniqueId val="{00000028-1207-4F30-8C32-A8708F061D60}"/>
            </c:ext>
          </c:extLst>
        </c:ser>
        <c:ser>
          <c:idx val="41"/>
          <c:order val="41"/>
          <c:tx>
            <c:strRef>
              <c:f>'Ej. 3'!$BF$8</c:f>
              <c:strCache>
                <c:ptCount val="1"/>
                <c:pt idx="0">
                  <c:v>41</c:v>
                </c:pt>
              </c:strCache>
            </c:strRef>
          </c:tx>
          <c:spPr>
            <a:ln w="9525" cap="rnd">
              <a:solidFill>
                <a:schemeClr val="accent6">
                  <a:shade val="42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3'!$BF$9:$BF$54</c:f>
              <c:numCache>
                <c:formatCode>0.00%</c:formatCode>
                <c:ptCount val="46"/>
                <c:pt idx="0">
                  <c:v>0</c:v>
                </c:pt>
                <c:pt idx="1">
                  <c:v>4.4175084175084173E-2</c:v>
                </c:pt>
                <c:pt idx="2">
                  <c:v>8.7346189164370994E-2</c:v>
                </c:pt>
                <c:pt idx="3">
                  <c:v>0.12951331496786042</c:v>
                </c:pt>
                <c:pt idx="4">
                  <c:v>0.1706764615855525</c:v>
                </c:pt>
                <c:pt idx="5">
                  <c:v>0.21083562901744718</c:v>
                </c:pt>
                <c:pt idx="6">
                  <c:v>0.24999081726354452</c:v>
                </c:pt>
                <c:pt idx="7">
                  <c:v>0.28814202632384445</c:v>
                </c:pt>
                <c:pt idx="8">
                  <c:v>0.32528925619834709</c:v>
                </c:pt>
                <c:pt idx="9">
                  <c:v>0.36143250688705236</c:v>
                </c:pt>
                <c:pt idx="10">
                  <c:v>0.39657177838996022</c:v>
                </c:pt>
                <c:pt idx="11">
                  <c:v>0.4307070707070707</c:v>
                </c:pt>
                <c:pt idx="12">
                  <c:v>0.46383838383838383</c:v>
                </c:pt>
                <c:pt idx="13">
                  <c:v>0.49596571778389958</c:v>
                </c:pt>
                <c:pt idx="14">
                  <c:v>0.52708907254361792</c:v>
                </c:pt>
                <c:pt idx="15">
                  <c:v>0.557208448117539</c:v>
                </c:pt>
                <c:pt idx="16">
                  <c:v>0.58632384450566266</c:v>
                </c:pt>
                <c:pt idx="17">
                  <c:v>0.6144352617079889</c:v>
                </c:pt>
                <c:pt idx="18">
                  <c:v>0.64154269972451794</c:v>
                </c:pt>
                <c:pt idx="19">
                  <c:v>0.66764615855524945</c:v>
                </c:pt>
                <c:pt idx="20">
                  <c:v>0.69274563820018364</c:v>
                </c:pt>
                <c:pt idx="21">
                  <c:v>0.71684113865932042</c:v>
                </c:pt>
                <c:pt idx="22">
                  <c:v>0.73993265993265989</c:v>
                </c:pt>
                <c:pt idx="23">
                  <c:v>0.76202020202020193</c:v>
                </c:pt>
                <c:pt idx="24">
                  <c:v>0.78310376492194667</c:v>
                </c:pt>
                <c:pt idx="25">
                  <c:v>0.8031833486378942</c:v>
                </c:pt>
                <c:pt idx="26">
                  <c:v>0.82225895316804409</c:v>
                </c:pt>
                <c:pt idx="27">
                  <c:v>0.84033057851239668</c:v>
                </c:pt>
                <c:pt idx="28">
                  <c:v>0.85739822467095195</c:v>
                </c:pt>
                <c:pt idx="29">
                  <c:v>0.87346189164370991</c:v>
                </c:pt>
                <c:pt idx="30">
                  <c:v>0.88852157943067023</c:v>
                </c:pt>
                <c:pt idx="31">
                  <c:v>0.90257728803183346</c:v>
                </c:pt>
                <c:pt idx="32">
                  <c:v>0.91562901744719927</c:v>
                </c:pt>
                <c:pt idx="33">
                  <c:v>0.92767676767676766</c:v>
                </c:pt>
                <c:pt idx="34">
                  <c:v>0.93872053872053862</c:v>
                </c:pt>
                <c:pt idx="35">
                  <c:v>0.94876033057851239</c:v>
                </c:pt>
                <c:pt idx="36">
                  <c:v>0.95779614325068874</c:v>
                </c:pt>
                <c:pt idx="37">
                  <c:v>0.96582797673706766</c:v>
                </c:pt>
                <c:pt idx="38">
                  <c:v>0.97285583103764917</c:v>
                </c:pt>
                <c:pt idx="39">
                  <c:v>0.97887970615243336</c:v>
                </c:pt>
                <c:pt idx="40">
                  <c:v>0.98389960208142013</c:v>
                </c:pt>
                <c:pt idx="41">
                  <c:v>0.98791551882460971</c:v>
                </c:pt>
                <c:pt idx="42">
                  <c:v>0.99092745638200175</c:v>
                </c:pt>
                <c:pt idx="43">
                  <c:v>0.99293541475359659</c:v>
                </c:pt>
                <c:pt idx="44">
                  <c:v>0.9939393939393939</c:v>
                </c:pt>
                <c:pt idx="45">
                  <c:v>0.9939393939393939</c:v>
                </c:pt>
              </c:numCache>
            </c:numRef>
          </c:val>
          <c:extLst>
            <c:ext xmlns:c16="http://schemas.microsoft.com/office/drawing/2014/chart" uri="{C3380CC4-5D6E-409C-BE32-E72D297353CC}">
              <c16:uniqueId val="{00000029-1207-4F30-8C32-A8708F061D60}"/>
            </c:ext>
          </c:extLst>
        </c:ser>
        <c:ser>
          <c:idx val="42"/>
          <c:order val="42"/>
          <c:tx>
            <c:strRef>
              <c:f>'Ej. 3'!$BG$8</c:f>
              <c:strCache>
                <c:ptCount val="1"/>
                <c:pt idx="0">
                  <c:v>42</c:v>
                </c:pt>
              </c:strCache>
            </c:strRef>
          </c:tx>
          <c:spPr>
            <a:ln w="9525" cap="rnd">
              <a:solidFill>
                <a:schemeClr val="accent6">
                  <a:shade val="39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3'!$BG$9:$BG$54</c:f>
              <c:numCache>
                <c:formatCode>0.00%</c:formatCode>
                <c:ptCount val="46"/>
                <c:pt idx="0">
                  <c:v>0</c:v>
                </c:pt>
                <c:pt idx="1">
                  <c:v>4.4309764309764313E-2</c:v>
                </c:pt>
                <c:pt idx="2">
                  <c:v>8.7612488521579435E-2</c:v>
                </c:pt>
                <c:pt idx="3">
                  <c:v>0.12990817263544538</c:v>
                </c:pt>
                <c:pt idx="4">
                  <c:v>0.1711968166513621</c:v>
                </c:pt>
                <c:pt idx="5">
                  <c:v>0.21147842056932964</c:v>
                </c:pt>
                <c:pt idx="6">
                  <c:v>0.25075298438934801</c:v>
                </c:pt>
                <c:pt idx="7">
                  <c:v>0.28902050811141716</c:v>
                </c:pt>
                <c:pt idx="8">
                  <c:v>0.32628099173553721</c:v>
                </c:pt>
                <c:pt idx="9">
                  <c:v>0.36253443526170798</c:v>
                </c:pt>
                <c:pt idx="10">
                  <c:v>0.39778083868992958</c:v>
                </c:pt>
                <c:pt idx="11">
                  <c:v>0.43202020202020203</c:v>
                </c:pt>
                <c:pt idx="12">
                  <c:v>0.46525252525252525</c:v>
                </c:pt>
                <c:pt idx="13">
                  <c:v>0.49747780838689926</c:v>
                </c:pt>
                <c:pt idx="14">
                  <c:v>0.5286960514233241</c:v>
                </c:pt>
                <c:pt idx="15">
                  <c:v>0.55890725436179978</c:v>
                </c:pt>
                <c:pt idx="16">
                  <c:v>0.58811141720232629</c:v>
                </c:pt>
                <c:pt idx="17">
                  <c:v>0.61630853994490353</c:v>
                </c:pt>
                <c:pt idx="18">
                  <c:v>0.64349862258953172</c:v>
                </c:pt>
                <c:pt idx="19">
                  <c:v>0.66968166513621052</c:v>
                </c:pt>
                <c:pt idx="20">
                  <c:v>0.69485766758494039</c:v>
                </c:pt>
                <c:pt idx="21">
                  <c:v>0.71902662993572086</c:v>
                </c:pt>
                <c:pt idx="22">
                  <c:v>0.74218855218855218</c:v>
                </c:pt>
                <c:pt idx="23">
                  <c:v>0.76434343434343432</c:v>
                </c:pt>
                <c:pt idx="24">
                  <c:v>0.78549127640036731</c:v>
                </c:pt>
                <c:pt idx="25">
                  <c:v>0.80563207835935113</c:v>
                </c:pt>
                <c:pt idx="26">
                  <c:v>0.82476584022038568</c:v>
                </c:pt>
                <c:pt idx="27">
                  <c:v>0.84289256198347107</c:v>
                </c:pt>
                <c:pt idx="28">
                  <c:v>0.86001224364860729</c:v>
                </c:pt>
                <c:pt idx="29">
                  <c:v>0.87612488521579435</c:v>
                </c:pt>
                <c:pt idx="30">
                  <c:v>0.89123048668503202</c:v>
                </c:pt>
                <c:pt idx="31">
                  <c:v>0.90532904805632075</c:v>
                </c:pt>
                <c:pt idx="32">
                  <c:v>0.91842056932966032</c:v>
                </c:pt>
                <c:pt idx="33">
                  <c:v>0.9305050505050505</c:v>
                </c:pt>
                <c:pt idx="34">
                  <c:v>0.94158249158249152</c:v>
                </c:pt>
                <c:pt idx="35">
                  <c:v>0.95165289256198349</c:v>
                </c:pt>
                <c:pt idx="36">
                  <c:v>0.96071625344352629</c:v>
                </c:pt>
                <c:pt idx="37">
                  <c:v>0.96877257422711971</c:v>
                </c:pt>
                <c:pt idx="38">
                  <c:v>0.97582185491276396</c:v>
                </c:pt>
                <c:pt idx="39">
                  <c:v>0.98186409550045917</c:v>
                </c:pt>
                <c:pt idx="40">
                  <c:v>0.98689929599020498</c:v>
                </c:pt>
                <c:pt idx="41">
                  <c:v>0.99092745638200175</c:v>
                </c:pt>
                <c:pt idx="42">
                  <c:v>0.99394857667584935</c:v>
                </c:pt>
                <c:pt idx="43">
                  <c:v>0.9959626568717479</c:v>
                </c:pt>
                <c:pt idx="44">
                  <c:v>0.99696969696969695</c:v>
                </c:pt>
                <c:pt idx="45">
                  <c:v>0.99696969696969695</c:v>
                </c:pt>
              </c:numCache>
            </c:numRef>
          </c:val>
          <c:extLst>
            <c:ext xmlns:c16="http://schemas.microsoft.com/office/drawing/2014/chart" uri="{C3380CC4-5D6E-409C-BE32-E72D297353CC}">
              <c16:uniqueId val="{0000002A-1207-4F30-8C32-A8708F061D60}"/>
            </c:ext>
          </c:extLst>
        </c:ser>
        <c:ser>
          <c:idx val="43"/>
          <c:order val="43"/>
          <c:tx>
            <c:strRef>
              <c:f>'Ej. 3'!$BH$8</c:f>
              <c:strCache>
                <c:ptCount val="1"/>
                <c:pt idx="0">
                  <c:v>43</c:v>
                </c:pt>
              </c:strCache>
            </c:strRef>
          </c:tx>
          <c:spPr>
            <a:ln w="9525" cap="rnd">
              <a:solidFill>
                <a:schemeClr val="accent6">
                  <a:shade val="36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3'!$BH$9:$BH$54</c:f>
              <c:numCache>
                <c:formatCode>0.00%</c:formatCode>
                <c:ptCount val="46"/>
                <c:pt idx="0">
                  <c:v>0</c:v>
                </c:pt>
                <c:pt idx="1">
                  <c:v>4.4399551066217742E-2</c:v>
                </c:pt>
                <c:pt idx="2">
                  <c:v>8.7790021426385076E-2</c:v>
                </c:pt>
                <c:pt idx="3">
                  <c:v>0.13017141108050201</c:v>
                </c:pt>
                <c:pt idx="4">
                  <c:v>0.17154372002856852</c:v>
                </c:pt>
                <c:pt idx="5">
                  <c:v>0.21190694827058462</c:v>
                </c:pt>
                <c:pt idx="6">
                  <c:v>0.25126109580655037</c:v>
                </c:pt>
                <c:pt idx="7">
                  <c:v>0.28960616263646566</c:v>
                </c:pt>
                <c:pt idx="8">
                  <c:v>0.32694214876033062</c:v>
                </c:pt>
                <c:pt idx="9">
                  <c:v>0.36326905417814515</c:v>
                </c:pt>
                <c:pt idx="10">
                  <c:v>0.39858687888990924</c:v>
                </c:pt>
                <c:pt idx="11">
                  <c:v>0.43289562289562294</c:v>
                </c:pt>
                <c:pt idx="12">
                  <c:v>0.46619528619528627</c:v>
                </c:pt>
                <c:pt idx="13">
                  <c:v>0.49848586878889911</c:v>
                </c:pt>
                <c:pt idx="14">
                  <c:v>0.52976737067646162</c:v>
                </c:pt>
                <c:pt idx="15">
                  <c:v>0.5600397918579737</c:v>
                </c:pt>
                <c:pt idx="16">
                  <c:v>0.58930313233343545</c:v>
                </c:pt>
                <c:pt idx="17">
                  <c:v>0.61755739210284666</c:v>
                </c:pt>
                <c:pt idx="18">
                  <c:v>0.64480257116620765</c:v>
                </c:pt>
                <c:pt idx="19">
                  <c:v>0.67103866952351809</c:v>
                </c:pt>
                <c:pt idx="20">
                  <c:v>0.69626568717477821</c:v>
                </c:pt>
                <c:pt idx="21">
                  <c:v>0.72048362411998779</c:v>
                </c:pt>
                <c:pt idx="22">
                  <c:v>0.74369248035914715</c:v>
                </c:pt>
                <c:pt idx="23">
                  <c:v>0.76589225589225596</c:v>
                </c:pt>
                <c:pt idx="24">
                  <c:v>0.78708295071931444</c:v>
                </c:pt>
                <c:pt idx="25">
                  <c:v>0.80726456484032261</c:v>
                </c:pt>
                <c:pt idx="26">
                  <c:v>0.82643709825528011</c:v>
                </c:pt>
                <c:pt idx="27">
                  <c:v>0.8446005509641874</c:v>
                </c:pt>
                <c:pt idx="28">
                  <c:v>0.86175492296704426</c:v>
                </c:pt>
                <c:pt idx="29">
                  <c:v>0.87790021426385079</c:v>
                </c:pt>
                <c:pt idx="30">
                  <c:v>0.89303642485460666</c:v>
                </c:pt>
                <c:pt idx="31">
                  <c:v>0.90716355473931243</c:v>
                </c:pt>
                <c:pt idx="32">
                  <c:v>0.92028160391796765</c:v>
                </c:pt>
                <c:pt idx="33">
                  <c:v>0.93239057239057255</c:v>
                </c:pt>
                <c:pt idx="34">
                  <c:v>0.9434904601571269</c:v>
                </c:pt>
                <c:pt idx="35">
                  <c:v>0.95358126721763103</c:v>
                </c:pt>
                <c:pt idx="36">
                  <c:v>0.96266299357208474</c:v>
                </c:pt>
                <c:pt idx="37">
                  <c:v>0.97073563922048789</c:v>
                </c:pt>
                <c:pt idx="38">
                  <c:v>0.97779920416284061</c:v>
                </c:pt>
                <c:pt idx="39">
                  <c:v>0.98385368839914311</c:v>
                </c:pt>
                <c:pt idx="40">
                  <c:v>0.98889909192939496</c:v>
                </c:pt>
                <c:pt idx="41">
                  <c:v>0.99293541475359659</c:v>
                </c:pt>
                <c:pt idx="42">
                  <c:v>0.9959626568717479</c:v>
                </c:pt>
                <c:pt idx="43">
                  <c:v>0.99798081828384877</c:v>
                </c:pt>
                <c:pt idx="44">
                  <c:v>0.99898989898989909</c:v>
                </c:pt>
                <c:pt idx="45">
                  <c:v>0.99898989898989909</c:v>
                </c:pt>
              </c:numCache>
            </c:numRef>
          </c:val>
          <c:extLst>
            <c:ext xmlns:c16="http://schemas.microsoft.com/office/drawing/2014/chart" uri="{C3380CC4-5D6E-409C-BE32-E72D297353CC}">
              <c16:uniqueId val="{0000002B-1207-4F30-8C32-A8708F061D60}"/>
            </c:ext>
          </c:extLst>
        </c:ser>
        <c:ser>
          <c:idx val="44"/>
          <c:order val="44"/>
          <c:tx>
            <c:strRef>
              <c:f>'Ej. 3'!$BI$8</c:f>
              <c:strCache>
                <c:ptCount val="1"/>
                <c:pt idx="0">
                  <c:v>44</c:v>
                </c:pt>
              </c:strCache>
            </c:strRef>
          </c:tx>
          <c:spPr>
            <a:ln w="9525" cap="rnd">
              <a:solidFill>
                <a:schemeClr val="accent6">
                  <a:shade val="33000"/>
                </a:schemeClr>
              </a:solidFill>
              <a:round/>
            </a:ln>
            <a:effectLst/>
          </c:spPr>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3'!$BI$9:$BI$54</c:f>
              <c:numCache>
                <c:formatCode>0.00%</c:formatCode>
                <c:ptCount val="46"/>
                <c:pt idx="0">
                  <c:v>0</c:v>
                </c:pt>
                <c:pt idx="1">
                  <c:v>4.4444444444444446E-2</c:v>
                </c:pt>
                <c:pt idx="2">
                  <c:v>8.787878787878789E-2</c:v>
                </c:pt>
                <c:pt idx="3">
                  <c:v>0.13030303030303031</c:v>
                </c:pt>
                <c:pt idx="4">
                  <c:v>0.17171717171717171</c:v>
                </c:pt>
                <c:pt idx="5">
                  <c:v>0.2121212121212121</c:v>
                </c:pt>
                <c:pt idx="6">
                  <c:v>0.25151515151515152</c:v>
                </c:pt>
                <c:pt idx="7">
                  <c:v>0.28989898989898988</c:v>
                </c:pt>
                <c:pt idx="8">
                  <c:v>0.32727272727272727</c:v>
                </c:pt>
                <c:pt idx="9">
                  <c:v>0.36363636363636365</c:v>
                </c:pt>
                <c:pt idx="10">
                  <c:v>0.39898989898989901</c:v>
                </c:pt>
                <c:pt idx="11">
                  <c:v>0.43333333333333335</c:v>
                </c:pt>
                <c:pt idx="12">
                  <c:v>0.46666666666666667</c:v>
                </c:pt>
                <c:pt idx="13">
                  <c:v>0.49898989898989898</c:v>
                </c:pt>
                <c:pt idx="14">
                  <c:v>0.53030303030303028</c:v>
                </c:pt>
                <c:pt idx="15">
                  <c:v>0.56060606060606055</c:v>
                </c:pt>
                <c:pt idx="16">
                  <c:v>0.58989898989898992</c:v>
                </c:pt>
                <c:pt idx="17">
                  <c:v>0.61818181818181817</c:v>
                </c:pt>
                <c:pt idx="18">
                  <c:v>0.6454545454545455</c:v>
                </c:pt>
                <c:pt idx="19">
                  <c:v>0.67171717171717171</c:v>
                </c:pt>
                <c:pt idx="20">
                  <c:v>0.69696969696969702</c:v>
                </c:pt>
                <c:pt idx="21">
                  <c:v>0.72121212121212119</c:v>
                </c:pt>
                <c:pt idx="22">
                  <c:v>0.74444444444444446</c:v>
                </c:pt>
                <c:pt idx="23">
                  <c:v>0.76666666666666661</c:v>
                </c:pt>
                <c:pt idx="24">
                  <c:v>0.78787878787878785</c:v>
                </c:pt>
                <c:pt idx="25">
                  <c:v>0.80808080808080818</c:v>
                </c:pt>
                <c:pt idx="26">
                  <c:v>0.82727272727272727</c:v>
                </c:pt>
                <c:pt idx="27">
                  <c:v>0.84545454545454546</c:v>
                </c:pt>
                <c:pt idx="28">
                  <c:v>0.86262626262626263</c:v>
                </c:pt>
                <c:pt idx="29">
                  <c:v>0.8787878787878789</c:v>
                </c:pt>
                <c:pt idx="30">
                  <c:v>0.89393939393939381</c:v>
                </c:pt>
                <c:pt idx="31">
                  <c:v>0.90808080808080804</c:v>
                </c:pt>
                <c:pt idx="32">
                  <c:v>0.92121212121212126</c:v>
                </c:pt>
                <c:pt idx="33">
                  <c:v>0.93333333333333335</c:v>
                </c:pt>
                <c:pt idx="34">
                  <c:v>0.94444444444444442</c:v>
                </c:pt>
                <c:pt idx="35">
                  <c:v>0.95454545454545459</c:v>
                </c:pt>
                <c:pt idx="36">
                  <c:v>0.96363636363636374</c:v>
                </c:pt>
                <c:pt idx="37">
                  <c:v>0.97171717171717176</c:v>
                </c:pt>
                <c:pt idx="38">
                  <c:v>0.97878787878787876</c:v>
                </c:pt>
                <c:pt idx="39">
                  <c:v>0.98484848484848486</c:v>
                </c:pt>
                <c:pt idx="40">
                  <c:v>0.98989898989898983</c:v>
                </c:pt>
                <c:pt idx="41">
                  <c:v>0.9939393939393939</c:v>
                </c:pt>
                <c:pt idx="42">
                  <c:v>0.99696969696969695</c:v>
                </c:pt>
                <c:pt idx="43">
                  <c:v>0.99898989898989909</c:v>
                </c:pt>
                <c:pt idx="44">
                  <c:v>1</c:v>
                </c:pt>
                <c:pt idx="45">
                  <c:v>1</c:v>
                </c:pt>
              </c:numCache>
            </c:numRef>
          </c:val>
          <c:extLst>
            <c:ext xmlns:c16="http://schemas.microsoft.com/office/drawing/2014/chart" uri="{C3380CC4-5D6E-409C-BE32-E72D297353CC}">
              <c16:uniqueId val="{0000002C-1207-4F30-8C32-A8708F061D60}"/>
            </c:ext>
          </c:extLst>
        </c:ser>
        <c:ser>
          <c:idx val="45"/>
          <c:order val="45"/>
          <c:tx>
            <c:strRef>
              <c:f>'Ej. 3'!$BJ$8</c:f>
              <c:strCache>
                <c:ptCount val="1"/>
                <c:pt idx="0">
                  <c:v>45</c:v>
                </c:pt>
              </c:strCache>
            </c:strRef>
          </c:tx>
          <c:cat>
            <c:numRef>
              <c:f>'Ej. 3'!$P$9:$P$54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3'!$BJ$9:$BJ$54</c:f>
              <c:numCache>
                <c:formatCode>0.00%</c:formatCode>
                <c:ptCount val="46"/>
                <c:pt idx="0">
                  <c:v>0</c:v>
                </c:pt>
                <c:pt idx="1">
                  <c:v>4.4444444444444446E-2</c:v>
                </c:pt>
                <c:pt idx="2">
                  <c:v>8.787878787878789E-2</c:v>
                </c:pt>
                <c:pt idx="3">
                  <c:v>0.13030303030303031</c:v>
                </c:pt>
                <c:pt idx="4">
                  <c:v>0.17171717171717171</c:v>
                </c:pt>
                <c:pt idx="5">
                  <c:v>0.2121212121212121</c:v>
                </c:pt>
                <c:pt idx="6">
                  <c:v>0.25151515151515152</c:v>
                </c:pt>
                <c:pt idx="7">
                  <c:v>0.28989898989898988</c:v>
                </c:pt>
                <c:pt idx="8">
                  <c:v>0.32727272727272727</c:v>
                </c:pt>
                <c:pt idx="9">
                  <c:v>0.36363636363636365</c:v>
                </c:pt>
                <c:pt idx="10">
                  <c:v>0.39898989898989901</c:v>
                </c:pt>
                <c:pt idx="11">
                  <c:v>0.43333333333333335</c:v>
                </c:pt>
                <c:pt idx="12">
                  <c:v>0.46666666666666667</c:v>
                </c:pt>
                <c:pt idx="13">
                  <c:v>0.49898989898989898</c:v>
                </c:pt>
                <c:pt idx="14">
                  <c:v>0.53030303030303028</c:v>
                </c:pt>
                <c:pt idx="15">
                  <c:v>0.56060606060606055</c:v>
                </c:pt>
                <c:pt idx="16">
                  <c:v>0.58989898989898992</c:v>
                </c:pt>
                <c:pt idx="17">
                  <c:v>0.61818181818181817</c:v>
                </c:pt>
                <c:pt idx="18">
                  <c:v>0.6454545454545455</c:v>
                </c:pt>
                <c:pt idx="19">
                  <c:v>0.67171717171717171</c:v>
                </c:pt>
                <c:pt idx="20">
                  <c:v>0.69696969696969702</c:v>
                </c:pt>
                <c:pt idx="21">
                  <c:v>0.72121212121212119</c:v>
                </c:pt>
                <c:pt idx="22">
                  <c:v>0.74444444444444446</c:v>
                </c:pt>
                <c:pt idx="23">
                  <c:v>0.76666666666666661</c:v>
                </c:pt>
                <c:pt idx="24">
                  <c:v>0.78787878787878785</c:v>
                </c:pt>
                <c:pt idx="25">
                  <c:v>0.80808080808080818</c:v>
                </c:pt>
                <c:pt idx="26">
                  <c:v>0.82727272727272727</c:v>
                </c:pt>
                <c:pt idx="27">
                  <c:v>0.84545454545454546</c:v>
                </c:pt>
                <c:pt idx="28">
                  <c:v>0.86262626262626263</c:v>
                </c:pt>
                <c:pt idx="29">
                  <c:v>0.8787878787878789</c:v>
                </c:pt>
                <c:pt idx="30">
                  <c:v>0.89393939393939381</c:v>
                </c:pt>
                <c:pt idx="31">
                  <c:v>0.90808080808080804</c:v>
                </c:pt>
                <c:pt idx="32">
                  <c:v>0.92121212121212126</c:v>
                </c:pt>
                <c:pt idx="33">
                  <c:v>0.93333333333333335</c:v>
                </c:pt>
                <c:pt idx="34">
                  <c:v>0.94444444444444442</c:v>
                </c:pt>
                <c:pt idx="35">
                  <c:v>0.95454545454545459</c:v>
                </c:pt>
                <c:pt idx="36">
                  <c:v>0.96363636363636374</c:v>
                </c:pt>
                <c:pt idx="37">
                  <c:v>0.97171717171717176</c:v>
                </c:pt>
                <c:pt idx="38">
                  <c:v>0.97878787878787876</c:v>
                </c:pt>
                <c:pt idx="39">
                  <c:v>0.98484848484848486</c:v>
                </c:pt>
                <c:pt idx="40">
                  <c:v>0.98989898989898983</c:v>
                </c:pt>
                <c:pt idx="41">
                  <c:v>0.9939393939393939</c:v>
                </c:pt>
                <c:pt idx="42">
                  <c:v>0.99696969696969695</c:v>
                </c:pt>
                <c:pt idx="43">
                  <c:v>0.99898989898989909</c:v>
                </c:pt>
                <c:pt idx="44">
                  <c:v>1</c:v>
                </c:pt>
                <c:pt idx="45">
                  <c:v>1</c:v>
                </c:pt>
              </c:numCache>
            </c:numRef>
          </c:val>
          <c:extLst>
            <c:ext xmlns:c16="http://schemas.microsoft.com/office/drawing/2014/chart" uri="{C3380CC4-5D6E-409C-BE32-E72D297353CC}">
              <c16:uniqueId val="{0000000F-24B0-408A-8B98-BB430B00ABAF}"/>
            </c:ext>
          </c:extLst>
        </c:ser>
        <c:bandFmts>
          <c:bandFmt>
            <c:idx val="0"/>
            <c:spPr>
              <a:ln w="9525" cap="rnd">
                <a:solidFill>
                  <a:schemeClr val="accent6">
                    <a:tint val="50000"/>
                  </a:schemeClr>
                </a:solidFill>
                <a:round/>
              </a:ln>
              <a:effectLst/>
            </c:spPr>
          </c:bandFmt>
          <c:bandFmt>
            <c:idx val="1"/>
            <c:spPr>
              <a:ln w="9525" cap="rnd">
                <a:solidFill>
                  <a:schemeClr val="accent6">
                    <a:tint val="70000"/>
                  </a:schemeClr>
                </a:solidFill>
                <a:round/>
              </a:ln>
              <a:effectLst/>
            </c:spPr>
          </c:bandFmt>
          <c:bandFmt>
            <c:idx val="2"/>
            <c:spPr>
              <a:ln w="9525" cap="rnd">
                <a:solidFill>
                  <a:schemeClr val="accent6">
                    <a:tint val="90000"/>
                  </a:schemeClr>
                </a:solidFill>
                <a:round/>
              </a:ln>
              <a:effectLst/>
            </c:spPr>
          </c:bandFmt>
          <c:bandFmt>
            <c:idx val="3"/>
            <c:spPr>
              <a:ln w="9525" cap="rnd">
                <a:solidFill>
                  <a:schemeClr val="accent6">
                    <a:shade val="90000"/>
                  </a:schemeClr>
                </a:solidFill>
                <a:round/>
              </a:ln>
              <a:effectLst/>
            </c:spPr>
          </c:bandFmt>
          <c:bandFmt>
            <c:idx val="4"/>
            <c:spPr>
              <a:ln w="9525" cap="rnd">
                <a:solidFill>
                  <a:schemeClr val="accent6">
                    <a:shade val="70000"/>
                  </a:schemeClr>
                </a:solidFill>
                <a:round/>
              </a:ln>
              <a:effectLst/>
            </c:spPr>
          </c:bandFmt>
          <c:bandFmt>
            <c:idx val="5"/>
            <c:spPr>
              <a:ln w="9525" cap="rnd">
                <a:solidFill>
                  <a:schemeClr val="accent6">
                    <a:shade val="50000"/>
                  </a:schemeClr>
                </a:solidFill>
                <a:round/>
              </a:ln>
              <a:effectLst/>
            </c:spPr>
          </c:bandFmt>
          <c:bandFmt>
            <c:idx val="6"/>
            <c:spPr>
              <a:ln w="9525" cap="rnd">
                <a:solidFill>
                  <a:schemeClr val="accent6">
                    <a:shade val="50000"/>
                  </a:schemeClr>
                </a:solidFill>
                <a:round/>
              </a:ln>
              <a:effectLst/>
            </c:spPr>
          </c:bandFmt>
          <c:bandFmt>
            <c:idx val="7"/>
            <c:spPr>
              <a:ln w="9525" cap="rnd">
                <a:solidFill>
                  <a:schemeClr val="accent6">
                    <a:shade val="50000"/>
                  </a:schemeClr>
                </a:solidFill>
                <a:round/>
              </a:ln>
              <a:effectLst/>
            </c:spPr>
          </c:bandFmt>
          <c:bandFmt>
            <c:idx val="8"/>
            <c:spPr>
              <a:ln w="9525" cap="rnd">
                <a:solidFill>
                  <a:schemeClr val="accent6">
                    <a:shade val="50000"/>
                  </a:schemeClr>
                </a:solidFill>
                <a:round/>
              </a:ln>
              <a:effectLst/>
            </c:spPr>
          </c:bandFmt>
          <c:bandFmt>
            <c:idx val="9"/>
            <c:spPr>
              <a:ln w="9525" cap="rnd">
                <a:solidFill>
                  <a:schemeClr val="accent6">
                    <a:shade val="50000"/>
                  </a:schemeClr>
                </a:solidFill>
                <a:round/>
              </a:ln>
              <a:effectLst/>
            </c:spPr>
          </c:bandFmt>
          <c:bandFmt>
            <c:idx val="10"/>
            <c:spPr>
              <a:ln w="9525" cap="rnd">
                <a:solidFill>
                  <a:schemeClr val="accent6">
                    <a:shade val="50000"/>
                  </a:schemeClr>
                </a:solidFill>
                <a:round/>
              </a:ln>
              <a:effectLst/>
            </c:spPr>
          </c:bandFmt>
          <c:bandFmt>
            <c:idx val="11"/>
            <c:spPr>
              <a:ln w="9525" cap="rnd">
                <a:solidFill>
                  <a:schemeClr val="accent6">
                    <a:shade val="50000"/>
                  </a:schemeClr>
                </a:solidFill>
                <a:round/>
              </a:ln>
              <a:effectLst/>
            </c:spPr>
          </c:bandFmt>
          <c:bandFmt>
            <c:idx val="12"/>
            <c:spPr>
              <a:ln w="9525" cap="rnd">
                <a:solidFill>
                  <a:schemeClr val="accent6">
                    <a:shade val="50000"/>
                  </a:schemeClr>
                </a:solidFill>
                <a:round/>
              </a:ln>
              <a:effectLst/>
            </c:spPr>
          </c:bandFmt>
          <c:bandFmt>
            <c:idx val="13"/>
            <c:spPr>
              <a:ln w="9525" cap="rnd">
                <a:solidFill>
                  <a:schemeClr val="accent6">
                    <a:shade val="50000"/>
                  </a:schemeClr>
                </a:solidFill>
                <a:round/>
              </a:ln>
              <a:effectLst/>
            </c:spPr>
          </c:bandFmt>
          <c:bandFmt>
            <c:idx val="14"/>
            <c:spPr>
              <a:ln w="9525" cap="rnd">
                <a:solidFill>
                  <a:schemeClr val="accent6">
                    <a:shade val="50000"/>
                  </a:schemeClr>
                </a:solidFill>
                <a:round/>
              </a:ln>
              <a:effectLst/>
            </c:spPr>
          </c:bandFmt>
        </c:bandFmts>
        <c:axId val="1114250287"/>
        <c:axId val="1114261103"/>
        <c:axId val="657986511"/>
      </c:surfaceChart>
      <c:catAx>
        <c:axId val="1114250287"/>
        <c:scaling>
          <c:orientation val="minMax"/>
        </c:scaling>
        <c:delete val="0"/>
        <c:axPos val="b"/>
        <c:numFmt formatCode="@" sourceLinked="1"/>
        <c:majorTickMark val="out"/>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114261103"/>
        <c:crosses val="autoZero"/>
        <c:auto val="1"/>
        <c:lblAlgn val="ctr"/>
        <c:lblOffset val="100"/>
        <c:tickLblSkip val="1"/>
        <c:noMultiLvlLbl val="0"/>
      </c:catAx>
      <c:valAx>
        <c:axId val="1114261103"/>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a:pPr>
                <a:r>
                  <a:rPr lang="es-ES" b="0">
                    <a:latin typeface="Abadi Extra Light" panose="020B0204020104020204" pitchFamily="34" charset="0"/>
                  </a:rPr>
                  <a:t>Temas parte A</a:t>
                </a:r>
              </a:p>
            </c:rich>
          </c:tx>
          <c:layout>
            <c:manualLayout>
              <c:xMode val="edge"/>
              <c:yMode val="edge"/>
              <c:x val="1.2293853893263342E-2"/>
              <c:y val="0.45075950767330153"/>
            </c:manualLayout>
          </c:layout>
          <c:overlay val="0"/>
        </c:title>
        <c:numFmt formatCode="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114250287"/>
        <c:crosses val="autoZero"/>
        <c:crossBetween val="midCat"/>
      </c:valAx>
      <c:serAx>
        <c:axId val="657986511"/>
        <c:scaling>
          <c:orientation val="maxMin"/>
        </c:scaling>
        <c:delete val="0"/>
        <c:axPos val="b"/>
        <c:majorTickMark val="out"/>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114261103"/>
        <c:crosses val="autoZero"/>
        <c:tickLblSkip val="1"/>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s-ES"/>
              <a:t>Probabilidades</a:t>
            </a:r>
            <a:r>
              <a:rPr lang="es-ES" baseline="0"/>
              <a:t> Tercer Ejercicio</a:t>
            </a:r>
            <a:endParaRPr lang="es-ES"/>
          </a:p>
        </c:rich>
      </c:tx>
      <c:overlay val="0"/>
      <c:spPr>
        <a:noFill/>
        <a:ln>
          <a:noFill/>
        </a:ln>
        <a:effectLst/>
      </c:spPr>
    </c:title>
    <c:autoTitleDeleted val="0"/>
    <c:view3D>
      <c:rotX val="15"/>
      <c:rotY val="45"/>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3348622922947981E-2"/>
          <c:y val="9.1614402758510488E-2"/>
          <c:w val="0.90964015440524026"/>
          <c:h val="0.85562865365923912"/>
        </c:manualLayout>
      </c:layout>
      <c:surface3DChart>
        <c:wireframe val="1"/>
        <c:ser>
          <c:idx val="0"/>
          <c:order val="0"/>
          <c:tx>
            <c:strRef>
              <c:f>'Ej. 3'!$P$9</c:f>
              <c:strCache>
                <c:ptCount val="1"/>
                <c:pt idx="0">
                  <c:v>0</c:v>
                </c:pt>
              </c:strCache>
            </c:strRef>
          </c:tx>
          <c:spPr>
            <a:ln w="9525" cap="rnd">
              <a:solidFill>
                <a:schemeClr val="accent6">
                  <a:shade val="32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3'!$Q$9:$BJ$9</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6E82-4273-87B1-1CC09D173F3C}"/>
            </c:ext>
          </c:extLst>
        </c:ser>
        <c:ser>
          <c:idx val="1"/>
          <c:order val="1"/>
          <c:tx>
            <c:strRef>
              <c:f>'Ej. 3'!$P$10</c:f>
              <c:strCache>
                <c:ptCount val="1"/>
                <c:pt idx="0">
                  <c:v>1</c:v>
                </c:pt>
              </c:strCache>
            </c:strRef>
          </c:tx>
          <c:spPr>
            <a:ln w="9525" cap="rnd">
              <a:solidFill>
                <a:schemeClr val="accent6">
                  <a:shade val="35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3'!$Q$10:$BJ$10</c:f>
              <c:numCache>
                <c:formatCode>0.00%</c:formatCode>
                <c:ptCount val="46"/>
                <c:pt idx="0">
                  <c:v>0</c:v>
                </c:pt>
                <c:pt idx="1">
                  <c:v>1.9753086419753087E-3</c:v>
                </c:pt>
                <c:pt idx="2">
                  <c:v>3.9057239057239063E-3</c:v>
                </c:pt>
                <c:pt idx="3">
                  <c:v>5.7912457912457915E-3</c:v>
                </c:pt>
                <c:pt idx="4">
                  <c:v>7.6318742985409657E-3</c:v>
                </c:pt>
                <c:pt idx="5">
                  <c:v>9.427609427609427E-3</c:v>
                </c:pt>
                <c:pt idx="6">
                  <c:v>1.117845117845118E-2</c:v>
                </c:pt>
                <c:pt idx="7">
                  <c:v>1.2884399551066216E-2</c:v>
                </c:pt>
                <c:pt idx="8">
                  <c:v>1.4545454545454545E-2</c:v>
                </c:pt>
                <c:pt idx="9">
                  <c:v>1.6161616161616162E-2</c:v>
                </c:pt>
                <c:pt idx="10">
                  <c:v>1.7732884399551067E-2</c:v>
                </c:pt>
                <c:pt idx="11">
                  <c:v>1.9259259259259261E-2</c:v>
                </c:pt>
                <c:pt idx="12">
                  <c:v>2.074074074074074E-2</c:v>
                </c:pt>
                <c:pt idx="13">
                  <c:v>2.2177328843995512E-2</c:v>
                </c:pt>
                <c:pt idx="14">
                  <c:v>2.3569023569023569E-2</c:v>
                </c:pt>
                <c:pt idx="15">
                  <c:v>2.4915824915824916E-2</c:v>
                </c:pt>
                <c:pt idx="16">
                  <c:v>2.6217732884399554E-2</c:v>
                </c:pt>
                <c:pt idx="17">
                  <c:v>2.7474747474747475E-2</c:v>
                </c:pt>
                <c:pt idx="18">
                  <c:v>2.8686868686868691E-2</c:v>
                </c:pt>
                <c:pt idx="19">
                  <c:v>2.985409652076319E-2</c:v>
                </c:pt>
                <c:pt idx="20">
                  <c:v>3.097643097643098E-2</c:v>
                </c:pt>
                <c:pt idx="21">
                  <c:v>3.2053872053872057E-2</c:v>
                </c:pt>
                <c:pt idx="22">
                  <c:v>3.3086419753086418E-2</c:v>
                </c:pt>
                <c:pt idx="23">
                  <c:v>3.4074074074074076E-2</c:v>
                </c:pt>
                <c:pt idx="24">
                  <c:v>3.5016835016835016E-2</c:v>
                </c:pt>
                <c:pt idx="25">
                  <c:v>3.5914702581369251E-2</c:v>
                </c:pt>
                <c:pt idx="26">
                  <c:v>3.6767676767676769E-2</c:v>
                </c:pt>
                <c:pt idx="27">
                  <c:v>3.7575757575757575E-2</c:v>
                </c:pt>
                <c:pt idx="28">
                  <c:v>3.8338945005611677E-2</c:v>
                </c:pt>
                <c:pt idx="29">
                  <c:v>3.9057239057239061E-2</c:v>
                </c:pt>
                <c:pt idx="30">
                  <c:v>3.9730639730639727E-2</c:v>
                </c:pt>
                <c:pt idx="31">
                  <c:v>4.0359147025813689E-2</c:v>
                </c:pt>
                <c:pt idx="32">
                  <c:v>4.0942760942760947E-2</c:v>
                </c:pt>
                <c:pt idx="33">
                  <c:v>4.148148148148148E-2</c:v>
                </c:pt>
                <c:pt idx="34">
                  <c:v>4.1975308641975309E-2</c:v>
                </c:pt>
                <c:pt idx="35">
                  <c:v>4.2424242424242427E-2</c:v>
                </c:pt>
                <c:pt idx="36">
                  <c:v>4.2828282828282833E-2</c:v>
                </c:pt>
                <c:pt idx="37">
                  <c:v>4.3187429854096522E-2</c:v>
                </c:pt>
                <c:pt idx="38">
                  <c:v>4.35016835016835E-2</c:v>
                </c:pt>
                <c:pt idx="39">
                  <c:v>4.3771043771043773E-2</c:v>
                </c:pt>
                <c:pt idx="40">
                  <c:v>4.3995510662177328E-2</c:v>
                </c:pt>
                <c:pt idx="41">
                  <c:v>4.4175084175084173E-2</c:v>
                </c:pt>
                <c:pt idx="42">
                  <c:v>4.4309764309764313E-2</c:v>
                </c:pt>
                <c:pt idx="43">
                  <c:v>4.4399551066217742E-2</c:v>
                </c:pt>
                <c:pt idx="44">
                  <c:v>4.4444444444444446E-2</c:v>
                </c:pt>
                <c:pt idx="45">
                  <c:v>4.4444444444444446E-2</c:v>
                </c:pt>
              </c:numCache>
            </c:numRef>
          </c:val>
          <c:extLst>
            <c:ext xmlns:c16="http://schemas.microsoft.com/office/drawing/2014/chart" uri="{C3380CC4-5D6E-409C-BE32-E72D297353CC}">
              <c16:uniqueId val="{00000001-6E82-4273-87B1-1CC09D173F3C}"/>
            </c:ext>
          </c:extLst>
        </c:ser>
        <c:ser>
          <c:idx val="2"/>
          <c:order val="2"/>
          <c:tx>
            <c:strRef>
              <c:f>'Ej. 3'!$P$11</c:f>
              <c:strCache>
                <c:ptCount val="1"/>
                <c:pt idx="0">
                  <c:v>2</c:v>
                </c:pt>
              </c:strCache>
            </c:strRef>
          </c:tx>
          <c:spPr>
            <a:ln w="9525" cap="rnd">
              <a:solidFill>
                <a:schemeClr val="accent6">
                  <a:shade val="38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3'!$Q$11:$BJ$11</c:f>
              <c:numCache>
                <c:formatCode>0.00%</c:formatCode>
                <c:ptCount val="46"/>
                <c:pt idx="0">
                  <c:v>0</c:v>
                </c:pt>
                <c:pt idx="1">
                  <c:v>3.9057239057239063E-3</c:v>
                </c:pt>
                <c:pt idx="2">
                  <c:v>7.7226813590449972E-3</c:v>
                </c:pt>
                <c:pt idx="3">
                  <c:v>1.1450872359963272E-2</c:v>
                </c:pt>
                <c:pt idx="4">
                  <c:v>1.5090296908478728E-2</c:v>
                </c:pt>
                <c:pt idx="5">
                  <c:v>1.864095500459137E-2</c:v>
                </c:pt>
                <c:pt idx="6">
                  <c:v>2.2102846648301196E-2</c:v>
                </c:pt>
                <c:pt idx="7">
                  <c:v>2.5475971839608206E-2</c:v>
                </c:pt>
                <c:pt idx="8">
                  <c:v>2.8760330578512398E-2</c:v>
                </c:pt>
                <c:pt idx="9">
                  <c:v>3.1955922865013781E-2</c:v>
                </c:pt>
                <c:pt idx="10">
                  <c:v>3.5062748699112342E-2</c:v>
                </c:pt>
                <c:pt idx="11">
                  <c:v>3.808080808080809E-2</c:v>
                </c:pt>
                <c:pt idx="12">
                  <c:v>4.1010101010101017E-2</c:v>
                </c:pt>
                <c:pt idx="13">
                  <c:v>4.3850627486991131E-2</c:v>
                </c:pt>
                <c:pt idx="14">
                  <c:v>4.6602387511478424E-2</c:v>
                </c:pt>
                <c:pt idx="15">
                  <c:v>4.9265381083562904E-2</c:v>
                </c:pt>
                <c:pt idx="16">
                  <c:v>5.1839608203244576E-2</c:v>
                </c:pt>
                <c:pt idx="17">
                  <c:v>5.4325068870523421E-2</c:v>
                </c:pt>
                <c:pt idx="18">
                  <c:v>5.672176308539946E-2</c:v>
                </c:pt>
                <c:pt idx="19">
                  <c:v>5.9029690847872671E-2</c:v>
                </c:pt>
                <c:pt idx="20">
                  <c:v>6.1248852157943082E-2</c:v>
                </c:pt>
                <c:pt idx="21">
                  <c:v>6.3379247015610651E-2</c:v>
                </c:pt>
                <c:pt idx="22">
                  <c:v>6.5420875420875435E-2</c:v>
                </c:pt>
                <c:pt idx="23">
                  <c:v>6.7373737373737377E-2</c:v>
                </c:pt>
                <c:pt idx="24">
                  <c:v>6.923783287419652E-2</c:v>
                </c:pt>
                <c:pt idx="25">
                  <c:v>7.1013161922252849E-2</c:v>
                </c:pt>
                <c:pt idx="26">
                  <c:v>7.269972451790635E-2</c:v>
                </c:pt>
                <c:pt idx="27">
                  <c:v>7.4297520661157038E-2</c:v>
                </c:pt>
                <c:pt idx="28">
                  <c:v>7.5806550352004912E-2</c:v>
                </c:pt>
                <c:pt idx="29">
                  <c:v>7.7226813590449972E-2</c:v>
                </c:pt>
                <c:pt idx="30">
                  <c:v>7.8558310376492191E-2</c:v>
                </c:pt>
                <c:pt idx="31">
                  <c:v>7.9801040710131624E-2</c:v>
                </c:pt>
                <c:pt idx="32">
                  <c:v>8.0955004591368243E-2</c:v>
                </c:pt>
                <c:pt idx="33">
                  <c:v>8.2020202020202035E-2</c:v>
                </c:pt>
                <c:pt idx="34">
                  <c:v>8.2996632996632999E-2</c:v>
                </c:pt>
                <c:pt idx="35">
                  <c:v>8.3884297520661177E-2</c:v>
                </c:pt>
                <c:pt idx="36">
                  <c:v>8.4683195592286514E-2</c:v>
                </c:pt>
                <c:pt idx="37">
                  <c:v>8.5393327211509037E-2</c:v>
                </c:pt>
                <c:pt idx="38">
                  <c:v>8.6014692378328747E-2</c:v>
                </c:pt>
                <c:pt idx="39">
                  <c:v>8.6547291092745657E-2</c:v>
                </c:pt>
                <c:pt idx="40">
                  <c:v>8.6991123354759725E-2</c:v>
                </c:pt>
                <c:pt idx="41">
                  <c:v>8.7346189164370994E-2</c:v>
                </c:pt>
                <c:pt idx="42">
                  <c:v>8.7612488521579435E-2</c:v>
                </c:pt>
                <c:pt idx="43">
                  <c:v>8.7790021426385076E-2</c:v>
                </c:pt>
                <c:pt idx="44">
                  <c:v>8.787878787878789E-2</c:v>
                </c:pt>
                <c:pt idx="45">
                  <c:v>8.787878787878789E-2</c:v>
                </c:pt>
              </c:numCache>
            </c:numRef>
          </c:val>
          <c:extLst>
            <c:ext xmlns:c16="http://schemas.microsoft.com/office/drawing/2014/chart" uri="{C3380CC4-5D6E-409C-BE32-E72D297353CC}">
              <c16:uniqueId val="{00000002-6E82-4273-87B1-1CC09D173F3C}"/>
            </c:ext>
          </c:extLst>
        </c:ser>
        <c:ser>
          <c:idx val="3"/>
          <c:order val="3"/>
          <c:tx>
            <c:strRef>
              <c:f>'Ej. 3'!$P$12</c:f>
              <c:strCache>
                <c:ptCount val="1"/>
                <c:pt idx="0">
                  <c:v>3</c:v>
                </c:pt>
              </c:strCache>
            </c:strRef>
          </c:tx>
          <c:spPr>
            <a:ln w="9525" cap="rnd">
              <a:solidFill>
                <a:schemeClr val="accent6">
                  <a:shade val="41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3'!$Q$12:$BJ$12</c:f>
              <c:numCache>
                <c:formatCode>0.00%</c:formatCode>
                <c:ptCount val="46"/>
                <c:pt idx="0">
                  <c:v>0</c:v>
                </c:pt>
                <c:pt idx="1">
                  <c:v>5.7912457912457915E-3</c:v>
                </c:pt>
                <c:pt idx="2">
                  <c:v>1.1450872359963272E-2</c:v>
                </c:pt>
                <c:pt idx="3">
                  <c:v>1.6978879706152434E-2</c:v>
                </c:pt>
                <c:pt idx="4">
                  <c:v>2.2375267829813285E-2</c:v>
                </c:pt>
                <c:pt idx="5">
                  <c:v>2.7640036730945821E-2</c:v>
                </c:pt>
                <c:pt idx="6">
                  <c:v>3.2773186409550049E-2</c:v>
                </c:pt>
                <c:pt idx="7">
                  <c:v>3.7774716865625953E-2</c:v>
                </c:pt>
                <c:pt idx="8">
                  <c:v>4.2644628099173555E-2</c:v>
                </c:pt>
                <c:pt idx="9">
                  <c:v>4.7382920110192843E-2</c:v>
                </c:pt>
                <c:pt idx="10">
                  <c:v>5.1989592898683809E-2</c:v>
                </c:pt>
                <c:pt idx="11">
                  <c:v>5.6464646464646467E-2</c:v>
                </c:pt>
                <c:pt idx="12">
                  <c:v>6.0808080808080811E-2</c:v>
                </c:pt>
                <c:pt idx="13">
                  <c:v>6.501989592898684E-2</c:v>
                </c:pt>
                <c:pt idx="14">
                  <c:v>6.9100091827364554E-2</c:v>
                </c:pt>
                <c:pt idx="15">
                  <c:v>7.3048668503213954E-2</c:v>
                </c:pt>
                <c:pt idx="16">
                  <c:v>7.6865625956535052E-2</c:v>
                </c:pt>
                <c:pt idx="17">
                  <c:v>8.0550964187327823E-2</c:v>
                </c:pt>
                <c:pt idx="18">
                  <c:v>8.4104683195592292E-2</c:v>
                </c:pt>
                <c:pt idx="19">
                  <c:v>8.7526782981328446E-2</c:v>
                </c:pt>
                <c:pt idx="20">
                  <c:v>9.0817263544536286E-2</c:v>
                </c:pt>
                <c:pt idx="21">
                  <c:v>9.3976124885215798E-2</c:v>
                </c:pt>
                <c:pt idx="22">
                  <c:v>9.7003367003367008E-2</c:v>
                </c:pt>
                <c:pt idx="23">
                  <c:v>9.989898989898989E-2</c:v>
                </c:pt>
                <c:pt idx="24">
                  <c:v>0.10266299357208448</c:v>
                </c:pt>
                <c:pt idx="25">
                  <c:v>0.10529537802265077</c:v>
                </c:pt>
                <c:pt idx="26">
                  <c:v>0.10779614325068872</c:v>
                </c:pt>
                <c:pt idx="27">
                  <c:v>0.11016528925619835</c:v>
                </c:pt>
                <c:pt idx="28">
                  <c:v>0.11240281603917968</c:v>
                </c:pt>
                <c:pt idx="29">
                  <c:v>0.11450872359963271</c:v>
                </c:pt>
                <c:pt idx="30">
                  <c:v>0.11648301193755738</c:v>
                </c:pt>
                <c:pt idx="31">
                  <c:v>0.11832568105295378</c:v>
                </c:pt>
                <c:pt idx="32">
                  <c:v>0.12003673094582187</c:v>
                </c:pt>
                <c:pt idx="33">
                  <c:v>0.12161616161616162</c:v>
                </c:pt>
                <c:pt idx="34">
                  <c:v>0.12306397306397307</c:v>
                </c:pt>
                <c:pt idx="35">
                  <c:v>0.1243801652892562</c:v>
                </c:pt>
                <c:pt idx="36">
                  <c:v>0.12556473829201104</c:v>
                </c:pt>
                <c:pt idx="37">
                  <c:v>0.12661769207223753</c:v>
                </c:pt>
                <c:pt idx="38">
                  <c:v>0.12753902662993571</c:v>
                </c:pt>
                <c:pt idx="39">
                  <c:v>0.1283287419651056</c:v>
                </c:pt>
                <c:pt idx="40">
                  <c:v>0.12898683807774716</c:v>
                </c:pt>
                <c:pt idx="41">
                  <c:v>0.12951331496786042</c:v>
                </c:pt>
                <c:pt idx="42">
                  <c:v>0.12990817263544538</c:v>
                </c:pt>
                <c:pt idx="43">
                  <c:v>0.13017141108050201</c:v>
                </c:pt>
                <c:pt idx="44">
                  <c:v>0.13030303030303031</c:v>
                </c:pt>
                <c:pt idx="45">
                  <c:v>0.13030303030303031</c:v>
                </c:pt>
              </c:numCache>
            </c:numRef>
          </c:val>
          <c:extLst>
            <c:ext xmlns:c16="http://schemas.microsoft.com/office/drawing/2014/chart" uri="{C3380CC4-5D6E-409C-BE32-E72D297353CC}">
              <c16:uniqueId val="{00000003-6E82-4273-87B1-1CC09D173F3C}"/>
            </c:ext>
          </c:extLst>
        </c:ser>
        <c:ser>
          <c:idx val="4"/>
          <c:order val="4"/>
          <c:tx>
            <c:strRef>
              <c:f>'Ej. 3'!$P$13</c:f>
              <c:strCache>
                <c:ptCount val="1"/>
                <c:pt idx="0">
                  <c:v>4</c:v>
                </c:pt>
              </c:strCache>
            </c:strRef>
          </c:tx>
          <c:spPr>
            <a:ln w="9525" cap="rnd">
              <a:solidFill>
                <a:schemeClr val="accent6">
                  <a:shade val="44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3'!$Q$13:$BJ$13</c:f>
              <c:numCache>
                <c:formatCode>0.00%</c:formatCode>
                <c:ptCount val="46"/>
                <c:pt idx="0">
                  <c:v>0</c:v>
                </c:pt>
                <c:pt idx="1">
                  <c:v>7.6318742985409657E-3</c:v>
                </c:pt>
                <c:pt idx="2">
                  <c:v>1.5090296908478728E-2</c:v>
                </c:pt>
                <c:pt idx="3">
                  <c:v>2.2375267829813285E-2</c:v>
                </c:pt>
                <c:pt idx="4">
                  <c:v>2.9486787062544637E-2</c:v>
                </c:pt>
                <c:pt idx="5">
                  <c:v>3.6424854606672781E-2</c:v>
                </c:pt>
                <c:pt idx="6">
                  <c:v>4.3189470462197732E-2</c:v>
                </c:pt>
                <c:pt idx="7">
                  <c:v>4.9780634629119476E-2</c:v>
                </c:pt>
                <c:pt idx="8">
                  <c:v>5.6198347107438013E-2</c:v>
                </c:pt>
                <c:pt idx="9">
                  <c:v>6.2442607897153349E-2</c:v>
                </c:pt>
                <c:pt idx="10">
                  <c:v>6.8513416998265478E-2</c:v>
                </c:pt>
                <c:pt idx="11">
                  <c:v>7.4410774410774413E-2</c:v>
                </c:pt>
                <c:pt idx="12">
                  <c:v>8.0134680134680128E-2</c:v>
                </c:pt>
                <c:pt idx="13">
                  <c:v>8.5685134169982649E-2</c:v>
                </c:pt>
                <c:pt idx="14">
                  <c:v>9.1062136516681963E-2</c:v>
                </c:pt>
                <c:pt idx="15">
                  <c:v>9.626568717477807E-2</c:v>
                </c:pt>
                <c:pt idx="16">
                  <c:v>0.101295786144271</c:v>
                </c:pt>
                <c:pt idx="17">
                  <c:v>0.10615243342516069</c:v>
                </c:pt>
                <c:pt idx="18">
                  <c:v>0.1108356290174472</c:v>
                </c:pt>
                <c:pt idx="19">
                  <c:v>0.11534537292113049</c:v>
                </c:pt>
                <c:pt idx="20">
                  <c:v>0.11968166513621059</c:v>
                </c:pt>
                <c:pt idx="21">
                  <c:v>0.12384450566268747</c:v>
                </c:pt>
                <c:pt idx="22">
                  <c:v>0.12783389450056118</c:v>
                </c:pt>
                <c:pt idx="23">
                  <c:v>0.13164983164983163</c:v>
                </c:pt>
                <c:pt idx="24">
                  <c:v>0.13529231711049891</c:v>
                </c:pt>
                <c:pt idx="25">
                  <c:v>0.13876135088256303</c:v>
                </c:pt>
                <c:pt idx="26">
                  <c:v>0.14205693296602387</c:v>
                </c:pt>
                <c:pt idx="27">
                  <c:v>0.14517906336088154</c:v>
                </c:pt>
                <c:pt idx="28">
                  <c:v>0.148127742067136</c:v>
                </c:pt>
                <c:pt idx="29">
                  <c:v>0.15090296908478729</c:v>
                </c:pt>
                <c:pt idx="30">
                  <c:v>0.1535047444138353</c:v>
                </c:pt>
                <c:pt idx="31">
                  <c:v>0.15593306805428017</c:v>
                </c:pt>
                <c:pt idx="32">
                  <c:v>0.15818794000612182</c:v>
                </c:pt>
                <c:pt idx="33">
                  <c:v>0.16026936026936026</c:v>
                </c:pt>
                <c:pt idx="34">
                  <c:v>0.16217732884399549</c:v>
                </c:pt>
                <c:pt idx="35">
                  <c:v>0.16391184573002754</c:v>
                </c:pt>
                <c:pt idx="36">
                  <c:v>0.16547291092745639</c:v>
                </c:pt>
                <c:pt idx="37">
                  <c:v>0.16686052443628202</c:v>
                </c:pt>
                <c:pt idx="38">
                  <c:v>0.16807468625650443</c:v>
                </c:pt>
                <c:pt idx="39">
                  <c:v>0.16911539638812365</c:v>
                </c:pt>
                <c:pt idx="40">
                  <c:v>0.16998265483113967</c:v>
                </c:pt>
                <c:pt idx="41">
                  <c:v>0.1706764615855525</c:v>
                </c:pt>
                <c:pt idx="42">
                  <c:v>0.1711968166513621</c:v>
                </c:pt>
                <c:pt idx="43">
                  <c:v>0.17154372002856852</c:v>
                </c:pt>
                <c:pt idx="44">
                  <c:v>0.17171717171717171</c:v>
                </c:pt>
                <c:pt idx="45">
                  <c:v>0.17171717171717171</c:v>
                </c:pt>
              </c:numCache>
            </c:numRef>
          </c:val>
          <c:extLst>
            <c:ext xmlns:c16="http://schemas.microsoft.com/office/drawing/2014/chart" uri="{C3380CC4-5D6E-409C-BE32-E72D297353CC}">
              <c16:uniqueId val="{00000004-6E82-4273-87B1-1CC09D173F3C}"/>
            </c:ext>
          </c:extLst>
        </c:ser>
        <c:ser>
          <c:idx val="5"/>
          <c:order val="5"/>
          <c:tx>
            <c:strRef>
              <c:f>'Ej. 3'!$P$14</c:f>
              <c:strCache>
                <c:ptCount val="1"/>
                <c:pt idx="0">
                  <c:v>5</c:v>
                </c:pt>
              </c:strCache>
            </c:strRef>
          </c:tx>
          <c:spPr>
            <a:ln w="9525" cap="rnd">
              <a:solidFill>
                <a:schemeClr val="accent6">
                  <a:shade val="47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3'!$Q$14:$BJ$14</c:f>
              <c:numCache>
                <c:formatCode>0.00%</c:formatCode>
                <c:ptCount val="46"/>
                <c:pt idx="0">
                  <c:v>0</c:v>
                </c:pt>
                <c:pt idx="1">
                  <c:v>9.427609427609427E-3</c:v>
                </c:pt>
                <c:pt idx="2">
                  <c:v>1.864095500459137E-2</c:v>
                </c:pt>
                <c:pt idx="3">
                  <c:v>2.7640036730945821E-2</c:v>
                </c:pt>
                <c:pt idx="4">
                  <c:v>3.6424854606672781E-2</c:v>
                </c:pt>
                <c:pt idx="5">
                  <c:v>4.499540863177226E-2</c:v>
                </c:pt>
                <c:pt idx="6">
                  <c:v>5.3351698806244255E-2</c:v>
                </c:pt>
                <c:pt idx="7">
                  <c:v>6.1493725130088758E-2</c:v>
                </c:pt>
                <c:pt idx="8">
                  <c:v>6.9421487603305784E-2</c:v>
                </c:pt>
                <c:pt idx="9">
                  <c:v>7.7134986225895305E-2</c:v>
                </c:pt>
                <c:pt idx="10">
                  <c:v>8.4634220997857362E-2</c:v>
                </c:pt>
                <c:pt idx="11">
                  <c:v>9.1919191919191914E-2</c:v>
                </c:pt>
                <c:pt idx="12">
                  <c:v>9.8989898989898975E-2</c:v>
                </c:pt>
                <c:pt idx="13">
                  <c:v>0.10584634220997856</c:v>
                </c:pt>
                <c:pt idx="14">
                  <c:v>0.11248852157943065</c:v>
                </c:pt>
                <c:pt idx="15">
                  <c:v>0.11891643709825525</c:v>
                </c:pt>
                <c:pt idx="16">
                  <c:v>0.1251300887664524</c:v>
                </c:pt>
                <c:pt idx="17">
                  <c:v>0.13112947658402202</c:v>
                </c:pt>
                <c:pt idx="18">
                  <c:v>0.13691460055096419</c:v>
                </c:pt>
                <c:pt idx="19">
                  <c:v>0.14248546066727882</c:v>
                </c:pt>
                <c:pt idx="20">
                  <c:v>0.14784205693296601</c:v>
                </c:pt>
                <c:pt idx="21">
                  <c:v>0.15298438934802569</c:v>
                </c:pt>
                <c:pt idx="22">
                  <c:v>0.15791245791245789</c:v>
                </c:pt>
                <c:pt idx="23">
                  <c:v>0.16262626262626259</c:v>
                </c:pt>
                <c:pt idx="24">
                  <c:v>0.16712580348943984</c:v>
                </c:pt>
                <c:pt idx="25">
                  <c:v>0.17141108050198958</c:v>
                </c:pt>
                <c:pt idx="26">
                  <c:v>0.17548209366391182</c:v>
                </c:pt>
                <c:pt idx="27">
                  <c:v>0.17933884297520658</c:v>
                </c:pt>
                <c:pt idx="28">
                  <c:v>0.18298132843587386</c:v>
                </c:pt>
                <c:pt idx="29">
                  <c:v>0.1864095500459137</c:v>
                </c:pt>
                <c:pt idx="30">
                  <c:v>0.18962350780532594</c:v>
                </c:pt>
                <c:pt idx="31">
                  <c:v>0.19262320171411076</c:v>
                </c:pt>
                <c:pt idx="32">
                  <c:v>0.19540863177226814</c:v>
                </c:pt>
                <c:pt idx="33">
                  <c:v>0.19797979797979795</c:v>
                </c:pt>
                <c:pt idx="34">
                  <c:v>0.20033670033670031</c:v>
                </c:pt>
                <c:pt idx="35">
                  <c:v>0.2024793388429752</c:v>
                </c:pt>
                <c:pt idx="36">
                  <c:v>0.20440771349862258</c:v>
                </c:pt>
                <c:pt idx="37">
                  <c:v>0.20612182430364248</c:v>
                </c:pt>
                <c:pt idx="38">
                  <c:v>0.20762167125803488</c:v>
                </c:pt>
                <c:pt idx="39">
                  <c:v>0.2089072543617998</c:v>
                </c:pt>
                <c:pt idx="40">
                  <c:v>0.20997857361493721</c:v>
                </c:pt>
                <c:pt idx="41">
                  <c:v>0.21083562901744718</c:v>
                </c:pt>
                <c:pt idx="42">
                  <c:v>0.21147842056932964</c:v>
                </c:pt>
                <c:pt idx="43">
                  <c:v>0.21190694827058462</c:v>
                </c:pt>
                <c:pt idx="44">
                  <c:v>0.2121212121212121</c:v>
                </c:pt>
                <c:pt idx="45">
                  <c:v>0.2121212121212121</c:v>
                </c:pt>
              </c:numCache>
            </c:numRef>
          </c:val>
          <c:extLst>
            <c:ext xmlns:c16="http://schemas.microsoft.com/office/drawing/2014/chart" uri="{C3380CC4-5D6E-409C-BE32-E72D297353CC}">
              <c16:uniqueId val="{00000005-6E82-4273-87B1-1CC09D173F3C}"/>
            </c:ext>
          </c:extLst>
        </c:ser>
        <c:ser>
          <c:idx val="6"/>
          <c:order val="6"/>
          <c:tx>
            <c:strRef>
              <c:f>'Ej. 3'!$P$15</c:f>
              <c:strCache>
                <c:ptCount val="1"/>
                <c:pt idx="0">
                  <c:v>6</c:v>
                </c:pt>
              </c:strCache>
            </c:strRef>
          </c:tx>
          <c:spPr>
            <a:ln w="9525" cap="rnd">
              <a:solidFill>
                <a:schemeClr val="accent6">
                  <a:shade val="50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3'!$Q$15:$BJ$15</c:f>
              <c:numCache>
                <c:formatCode>0.00%</c:formatCode>
                <c:ptCount val="46"/>
                <c:pt idx="0">
                  <c:v>0</c:v>
                </c:pt>
                <c:pt idx="1">
                  <c:v>1.117845117845118E-2</c:v>
                </c:pt>
                <c:pt idx="2">
                  <c:v>2.2102846648301196E-2</c:v>
                </c:pt>
                <c:pt idx="3">
                  <c:v>3.2773186409550049E-2</c:v>
                </c:pt>
                <c:pt idx="4">
                  <c:v>4.3189470462197732E-2</c:v>
                </c:pt>
                <c:pt idx="5">
                  <c:v>5.3351698806244255E-2</c:v>
                </c:pt>
                <c:pt idx="6">
                  <c:v>6.3259871441689625E-2</c:v>
                </c:pt>
                <c:pt idx="7">
                  <c:v>7.2913988368533827E-2</c:v>
                </c:pt>
                <c:pt idx="8">
                  <c:v>8.2314049586776863E-2</c:v>
                </c:pt>
                <c:pt idx="9">
                  <c:v>9.1460055096418733E-2</c:v>
                </c:pt>
                <c:pt idx="10">
                  <c:v>0.10035200489745945</c:v>
                </c:pt>
                <c:pt idx="11">
                  <c:v>0.108989898989899</c:v>
                </c:pt>
                <c:pt idx="12">
                  <c:v>0.11737373737373738</c:v>
                </c:pt>
                <c:pt idx="13">
                  <c:v>0.12550352004897461</c:v>
                </c:pt>
                <c:pt idx="14">
                  <c:v>0.13337924701561066</c:v>
                </c:pt>
                <c:pt idx="15">
                  <c:v>0.14100091827364553</c:v>
                </c:pt>
                <c:pt idx="16">
                  <c:v>0.1483685338230793</c:v>
                </c:pt>
                <c:pt idx="17">
                  <c:v>0.15548209366391186</c:v>
                </c:pt>
                <c:pt idx="18">
                  <c:v>0.16234159779614327</c:v>
                </c:pt>
                <c:pt idx="19">
                  <c:v>0.16894704621977349</c:v>
                </c:pt>
                <c:pt idx="20">
                  <c:v>0.1752984389348026</c:v>
                </c:pt>
                <c:pt idx="21">
                  <c:v>0.18139577594123049</c:v>
                </c:pt>
                <c:pt idx="22">
                  <c:v>0.18723905723905726</c:v>
                </c:pt>
                <c:pt idx="23">
                  <c:v>0.19282828282828282</c:v>
                </c:pt>
                <c:pt idx="24">
                  <c:v>0.19816345270890726</c:v>
                </c:pt>
                <c:pt idx="25">
                  <c:v>0.20324456688093054</c:v>
                </c:pt>
                <c:pt idx="26">
                  <c:v>0.20807162534435261</c:v>
                </c:pt>
                <c:pt idx="27">
                  <c:v>0.21264462809917356</c:v>
                </c:pt>
                <c:pt idx="28">
                  <c:v>0.21696357514539333</c:v>
                </c:pt>
                <c:pt idx="29">
                  <c:v>0.22102846648301197</c:v>
                </c:pt>
                <c:pt idx="30">
                  <c:v>0.22483930211202935</c:v>
                </c:pt>
                <c:pt idx="31">
                  <c:v>0.22839608203244566</c:v>
                </c:pt>
                <c:pt idx="32">
                  <c:v>0.23169880624426081</c:v>
                </c:pt>
                <c:pt idx="33">
                  <c:v>0.23474747474747476</c:v>
                </c:pt>
                <c:pt idx="34">
                  <c:v>0.23754208754208755</c:v>
                </c:pt>
                <c:pt idx="35">
                  <c:v>0.2400826446280992</c:v>
                </c:pt>
                <c:pt idx="36">
                  <c:v>0.24236914600550968</c:v>
                </c:pt>
                <c:pt idx="37">
                  <c:v>0.24440159167431896</c:v>
                </c:pt>
                <c:pt idx="38">
                  <c:v>0.24617998163452709</c:v>
                </c:pt>
                <c:pt idx="39">
                  <c:v>0.24770431588613409</c:v>
                </c:pt>
                <c:pt idx="40">
                  <c:v>0.24897459442913988</c:v>
                </c:pt>
                <c:pt idx="41">
                  <c:v>0.24999081726354452</c:v>
                </c:pt>
                <c:pt idx="42">
                  <c:v>0.25075298438934801</c:v>
                </c:pt>
                <c:pt idx="43">
                  <c:v>0.25126109580655037</c:v>
                </c:pt>
                <c:pt idx="44">
                  <c:v>0.25151515151515152</c:v>
                </c:pt>
                <c:pt idx="45">
                  <c:v>0.25151515151515152</c:v>
                </c:pt>
              </c:numCache>
            </c:numRef>
          </c:val>
          <c:extLst>
            <c:ext xmlns:c16="http://schemas.microsoft.com/office/drawing/2014/chart" uri="{C3380CC4-5D6E-409C-BE32-E72D297353CC}">
              <c16:uniqueId val="{00000006-6E82-4273-87B1-1CC09D173F3C}"/>
            </c:ext>
          </c:extLst>
        </c:ser>
        <c:ser>
          <c:idx val="7"/>
          <c:order val="7"/>
          <c:tx>
            <c:strRef>
              <c:f>'Ej. 3'!$P$16</c:f>
              <c:strCache>
                <c:ptCount val="1"/>
                <c:pt idx="0">
                  <c:v>7</c:v>
                </c:pt>
              </c:strCache>
            </c:strRef>
          </c:tx>
          <c:spPr>
            <a:ln w="9525" cap="rnd">
              <a:solidFill>
                <a:schemeClr val="accent6">
                  <a:shade val="53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3'!$Q$16:$BJ$16</c:f>
              <c:numCache>
                <c:formatCode>0.00%</c:formatCode>
                <c:ptCount val="46"/>
                <c:pt idx="0">
                  <c:v>0</c:v>
                </c:pt>
                <c:pt idx="1">
                  <c:v>1.2884399551066216E-2</c:v>
                </c:pt>
                <c:pt idx="2">
                  <c:v>2.5475971839608206E-2</c:v>
                </c:pt>
                <c:pt idx="3">
                  <c:v>3.7774716865625953E-2</c:v>
                </c:pt>
                <c:pt idx="4">
                  <c:v>4.9780634629119476E-2</c:v>
                </c:pt>
                <c:pt idx="5">
                  <c:v>6.1493725130088758E-2</c:v>
                </c:pt>
                <c:pt idx="6">
                  <c:v>7.2913988368533827E-2</c:v>
                </c:pt>
                <c:pt idx="7">
                  <c:v>8.4041424344454635E-2</c:v>
                </c:pt>
                <c:pt idx="8">
                  <c:v>9.4876033057851236E-2</c:v>
                </c:pt>
                <c:pt idx="9">
                  <c:v>0.10541781450872359</c:v>
                </c:pt>
                <c:pt idx="10">
                  <c:v>0.11566676869707172</c:v>
                </c:pt>
                <c:pt idx="11">
                  <c:v>0.12562289562289561</c:v>
                </c:pt>
                <c:pt idx="12">
                  <c:v>0.13528619528619529</c:v>
                </c:pt>
                <c:pt idx="13">
                  <c:v>0.14465666768697069</c:v>
                </c:pt>
                <c:pt idx="14">
                  <c:v>0.1537343128252219</c:v>
                </c:pt>
                <c:pt idx="15">
                  <c:v>0.16251913070094887</c:v>
                </c:pt>
                <c:pt idx="16">
                  <c:v>0.17101112131415161</c:v>
                </c:pt>
                <c:pt idx="17">
                  <c:v>0.17921028466483011</c:v>
                </c:pt>
                <c:pt idx="18">
                  <c:v>0.18711662075298438</c:v>
                </c:pt>
                <c:pt idx="19">
                  <c:v>0.19473012957861441</c:v>
                </c:pt>
                <c:pt idx="20">
                  <c:v>0.20205081114172024</c:v>
                </c:pt>
                <c:pt idx="21">
                  <c:v>0.20907866544230178</c:v>
                </c:pt>
                <c:pt idx="22">
                  <c:v>0.21581369248035914</c:v>
                </c:pt>
                <c:pt idx="23">
                  <c:v>0.22225589225589223</c:v>
                </c:pt>
                <c:pt idx="24">
                  <c:v>0.22840526476890111</c:v>
                </c:pt>
                <c:pt idx="25">
                  <c:v>0.23426181001938579</c:v>
                </c:pt>
                <c:pt idx="26">
                  <c:v>0.23982552800734616</c:v>
                </c:pt>
                <c:pt idx="27">
                  <c:v>0.24509641873278235</c:v>
                </c:pt>
                <c:pt idx="28">
                  <c:v>0.25007448219569428</c:v>
                </c:pt>
                <c:pt idx="29">
                  <c:v>0.25475971839608202</c:v>
                </c:pt>
                <c:pt idx="30">
                  <c:v>0.25915212733394544</c:v>
                </c:pt>
                <c:pt idx="31">
                  <c:v>0.26325170900928474</c:v>
                </c:pt>
                <c:pt idx="32">
                  <c:v>0.26705846342209977</c:v>
                </c:pt>
                <c:pt idx="33">
                  <c:v>0.27057239057239058</c:v>
                </c:pt>
                <c:pt idx="34">
                  <c:v>0.27379349046015711</c:v>
                </c:pt>
                <c:pt idx="35">
                  <c:v>0.27672176308539942</c:v>
                </c:pt>
                <c:pt idx="36">
                  <c:v>0.27935720844811757</c:v>
                </c:pt>
                <c:pt idx="37">
                  <c:v>0.28169982654831138</c:v>
                </c:pt>
                <c:pt idx="38">
                  <c:v>0.28374961738598098</c:v>
                </c:pt>
                <c:pt idx="39">
                  <c:v>0.28550658096112641</c:v>
                </c:pt>
                <c:pt idx="40">
                  <c:v>0.28697071727374751</c:v>
                </c:pt>
                <c:pt idx="41">
                  <c:v>0.28814202632384445</c:v>
                </c:pt>
                <c:pt idx="42">
                  <c:v>0.28902050811141716</c:v>
                </c:pt>
                <c:pt idx="43">
                  <c:v>0.28960616263646566</c:v>
                </c:pt>
                <c:pt idx="44">
                  <c:v>0.28989898989898988</c:v>
                </c:pt>
                <c:pt idx="45">
                  <c:v>0.28989898989898988</c:v>
                </c:pt>
              </c:numCache>
            </c:numRef>
          </c:val>
          <c:extLst>
            <c:ext xmlns:c16="http://schemas.microsoft.com/office/drawing/2014/chart" uri="{C3380CC4-5D6E-409C-BE32-E72D297353CC}">
              <c16:uniqueId val="{00000007-6E82-4273-87B1-1CC09D173F3C}"/>
            </c:ext>
          </c:extLst>
        </c:ser>
        <c:ser>
          <c:idx val="8"/>
          <c:order val="8"/>
          <c:tx>
            <c:strRef>
              <c:f>'Ej. 3'!$P$17</c:f>
              <c:strCache>
                <c:ptCount val="1"/>
                <c:pt idx="0">
                  <c:v>8</c:v>
                </c:pt>
              </c:strCache>
            </c:strRef>
          </c:tx>
          <c:spPr>
            <a:ln w="9525" cap="rnd">
              <a:solidFill>
                <a:schemeClr val="accent6">
                  <a:shade val="56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3'!$Q$17:$BJ$17</c:f>
              <c:numCache>
                <c:formatCode>0.00%</c:formatCode>
                <c:ptCount val="46"/>
                <c:pt idx="0">
                  <c:v>0</c:v>
                </c:pt>
                <c:pt idx="1">
                  <c:v>1.4545454545454545E-2</c:v>
                </c:pt>
                <c:pt idx="2">
                  <c:v>2.8760330578512398E-2</c:v>
                </c:pt>
                <c:pt idx="3">
                  <c:v>4.2644628099173555E-2</c:v>
                </c:pt>
                <c:pt idx="4">
                  <c:v>5.6198347107438013E-2</c:v>
                </c:pt>
                <c:pt idx="5">
                  <c:v>6.9421487603305784E-2</c:v>
                </c:pt>
                <c:pt idx="6">
                  <c:v>8.2314049586776863E-2</c:v>
                </c:pt>
                <c:pt idx="7">
                  <c:v>9.4876033057851236E-2</c:v>
                </c:pt>
                <c:pt idx="8">
                  <c:v>0.10710743801652893</c:v>
                </c:pt>
                <c:pt idx="9">
                  <c:v>0.11900826446280992</c:v>
                </c:pt>
                <c:pt idx="10">
                  <c:v>0.13057851239669421</c:v>
                </c:pt>
                <c:pt idx="11">
                  <c:v>0.14181818181818182</c:v>
                </c:pt>
                <c:pt idx="12">
                  <c:v>0.15272727272727274</c:v>
                </c:pt>
                <c:pt idx="13">
                  <c:v>0.16330578512396693</c:v>
                </c:pt>
                <c:pt idx="14">
                  <c:v>0.17355371900826444</c:v>
                </c:pt>
                <c:pt idx="15">
                  <c:v>0.18347107438016527</c:v>
                </c:pt>
                <c:pt idx="16">
                  <c:v>0.19305785123966943</c:v>
                </c:pt>
                <c:pt idx="17">
                  <c:v>0.20231404958677685</c:v>
                </c:pt>
                <c:pt idx="18">
                  <c:v>0.21123966942148761</c:v>
                </c:pt>
                <c:pt idx="19">
                  <c:v>0.21983471074380165</c:v>
                </c:pt>
                <c:pt idx="20">
                  <c:v>0.22809917355371903</c:v>
                </c:pt>
                <c:pt idx="21">
                  <c:v>0.23603305785123965</c:v>
                </c:pt>
                <c:pt idx="22">
                  <c:v>0.24363636363636365</c:v>
                </c:pt>
                <c:pt idx="23">
                  <c:v>0.25090909090909091</c:v>
                </c:pt>
                <c:pt idx="24">
                  <c:v>0.25785123966942147</c:v>
                </c:pt>
                <c:pt idx="25">
                  <c:v>0.26446280991735538</c:v>
                </c:pt>
                <c:pt idx="26">
                  <c:v>0.27074380165289258</c:v>
                </c:pt>
                <c:pt idx="27">
                  <c:v>0.27669421487603307</c:v>
                </c:pt>
                <c:pt idx="28">
                  <c:v>0.28231404958677686</c:v>
                </c:pt>
                <c:pt idx="29">
                  <c:v>0.287603305785124</c:v>
                </c:pt>
                <c:pt idx="30">
                  <c:v>0.29256198347107432</c:v>
                </c:pt>
                <c:pt idx="31">
                  <c:v>0.2971900826446281</c:v>
                </c:pt>
                <c:pt idx="32">
                  <c:v>0.30148760330578511</c:v>
                </c:pt>
                <c:pt idx="33">
                  <c:v>0.30545454545454548</c:v>
                </c:pt>
                <c:pt idx="34">
                  <c:v>0.30909090909090908</c:v>
                </c:pt>
                <c:pt idx="35">
                  <c:v>0.31239669421487604</c:v>
                </c:pt>
                <c:pt idx="36">
                  <c:v>0.31537190082644634</c:v>
                </c:pt>
                <c:pt idx="37">
                  <c:v>0.31801652892561982</c:v>
                </c:pt>
                <c:pt idx="38">
                  <c:v>0.32033057851239666</c:v>
                </c:pt>
                <c:pt idx="39">
                  <c:v>0.32231404958677684</c:v>
                </c:pt>
                <c:pt idx="40">
                  <c:v>0.32396694214876032</c:v>
                </c:pt>
                <c:pt idx="41">
                  <c:v>0.32528925619834709</c:v>
                </c:pt>
                <c:pt idx="42">
                  <c:v>0.32628099173553721</c:v>
                </c:pt>
                <c:pt idx="43">
                  <c:v>0.32694214876033062</c:v>
                </c:pt>
                <c:pt idx="44">
                  <c:v>0.32727272727272727</c:v>
                </c:pt>
                <c:pt idx="45">
                  <c:v>0.32727272727272727</c:v>
                </c:pt>
              </c:numCache>
            </c:numRef>
          </c:val>
          <c:extLst>
            <c:ext xmlns:c16="http://schemas.microsoft.com/office/drawing/2014/chart" uri="{C3380CC4-5D6E-409C-BE32-E72D297353CC}">
              <c16:uniqueId val="{00000008-6E82-4273-87B1-1CC09D173F3C}"/>
            </c:ext>
          </c:extLst>
        </c:ser>
        <c:ser>
          <c:idx val="9"/>
          <c:order val="9"/>
          <c:tx>
            <c:strRef>
              <c:f>'Ej. 3'!$P$18</c:f>
              <c:strCache>
                <c:ptCount val="1"/>
                <c:pt idx="0">
                  <c:v>9</c:v>
                </c:pt>
              </c:strCache>
            </c:strRef>
          </c:tx>
          <c:spPr>
            <a:ln w="9525" cap="rnd">
              <a:solidFill>
                <a:schemeClr val="accent6">
                  <a:shade val="59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3'!$Q$18:$BJ$18</c:f>
              <c:numCache>
                <c:formatCode>0.00%</c:formatCode>
                <c:ptCount val="46"/>
                <c:pt idx="0">
                  <c:v>0</c:v>
                </c:pt>
                <c:pt idx="1">
                  <c:v>1.6161616161616162E-2</c:v>
                </c:pt>
                <c:pt idx="2">
                  <c:v>3.1955922865013781E-2</c:v>
                </c:pt>
                <c:pt idx="3">
                  <c:v>4.7382920110192843E-2</c:v>
                </c:pt>
                <c:pt idx="4">
                  <c:v>6.2442607897153349E-2</c:v>
                </c:pt>
                <c:pt idx="5">
                  <c:v>7.7134986225895305E-2</c:v>
                </c:pt>
                <c:pt idx="6">
                  <c:v>9.1460055096418733E-2</c:v>
                </c:pt>
                <c:pt idx="7">
                  <c:v>0.10541781450872359</c:v>
                </c:pt>
                <c:pt idx="8">
                  <c:v>0.11900826446280992</c:v>
                </c:pt>
                <c:pt idx="9">
                  <c:v>0.13223140495867769</c:v>
                </c:pt>
                <c:pt idx="10">
                  <c:v>0.14508723599632692</c:v>
                </c:pt>
                <c:pt idx="11">
                  <c:v>0.15757575757575759</c:v>
                </c:pt>
                <c:pt idx="12">
                  <c:v>0.16969696969696971</c:v>
                </c:pt>
                <c:pt idx="13">
                  <c:v>0.18145087235996327</c:v>
                </c:pt>
                <c:pt idx="14">
                  <c:v>0.1928374655647383</c:v>
                </c:pt>
                <c:pt idx="15">
                  <c:v>0.20385674931129474</c:v>
                </c:pt>
                <c:pt idx="16">
                  <c:v>0.21450872359963272</c:v>
                </c:pt>
                <c:pt idx="17">
                  <c:v>0.22479338842975208</c:v>
                </c:pt>
                <c:pt idx="18">
                  <c:v>0.23471074380165291</c:v>
                </c:pt>
                <c:pt idx="19">
                  <c:v>0.24426078971533519</c:v>
                </c:pt>
                <c:pt idx="20">
                  <c:v>0.25344352617079891</c:v>
                </c:pt>
                <c:pt idx="21">
                  <c:v>0.2622589531680441</c:v>
                </c:pt>
                <c:pt idx="22">
                  <c:v>0.27070707070707073</c:v>
                </c:pt>
                <c:pt idx="23">
                  <c:v>0.27878787878787875</c:v>
                </c:pt>
                <c:pt idx="24">
                  <c:v>0.28650137741046833</c:v>
                </c:pt>
                <c:pt idx="25">
                  <c:v>0.29384756657483935</c:v>
                </c:pt>
                <c:pt idx="26">
                  <c:v>0.30082644628099175</c:v>
                </c:pt>
                <c:pt idx="27">
                  <c:v>0.30743801652892561</c:v>
                </c:pt>
                <c:pt idx="28">
                  <c:v>0.31368227731864096</c:v>
                </c:pt>
                <c:pt idx="29">
                  <c:v>0.31955922865013781</c:v>
                </c:pt>
                <c:pt idx="30">
                  <c:v>0.32506887052341593</c:v>
                </c:pt>
                <c:pt idx="31">
                  <c:v>0.33021120293847567</c:v>
                </c:pt>
                <c:pt idx="32">
                  <c:v>0.33498622589531685</c:v>
                </c:pt>
                <c:pt idx="33">
                  <c:v>0.33939393939393941</c:v>
                </c:pt>
                <c:pt idx="34">
                  <c:v>0.34343434343434343</c:v>
                </c:pt>
                <c:pt idx="35">
                  <c:v>0.34710743801652894</c:v>
                </c:pt>
                <c:pt idx="36">
                  <c:v>0.35041322314049589</c:v>
                </c:pt>
                <c:pt idx="37">
                  <c:v>0.35335169880624429</c:v>
                </c:pt>
                <c:pt idx="38">
                  <c:v>0.35592286501377413</c:v>
                </c:pt>
                <c:pt idx="39">
                  <c:v>0.35812672176308541</c:v>
                </c:pt>
                <c:pt idx="40">
                  <c:v>0.35996326905417814</c:v>
                </c:pt>
                <c:pt idx="41">
                  <c:v>0.36143250688705236</c:v>
                </c:pt>
                <c:pt idx="42">
                  <c:v>0.36253443526170798</c:v>
                </c:pt>
                <c:pt idx="43">
                  <c:v>0.36326905417814515</c:v>
                </c:pt>
                <c:pt idx="44">
                  <c:v>0.36363636363636365</c:v>
                </c:pt>
                <c:pt idx="45">
                  <c:v>0.36363636363636365</c:v>
                </c:pt>
              </c:numCache>
            </c:numRef>
          </c:val>
          <c:extLst>
            <c:ext xmlns:c16="http://schemas.microsoft.com/office/drawing/2014/chart" uri="{C3380CC4-5D6E-409C-BE32-E72D297353CC}">
              <c16:uniqueId val="{00000009-6E82-4273-87B1-1CC09D173F3C}"/>
            </c:ext>
          </c:extLst>
        </c:ser>
        <c:ser>
          <c:idx val="10"/>
          <c:order val="10"/>
          <c:tx>
            <c:strRef>
              <c:f>'Ej. 3'!$P$19</c:f>
              <c:strCache>
                <c:ptCount val="1"/>
                <c:pt idx="0">
                  <c:v>10</c:v>
                </c:pt>
              </c:strCache>
            </c:strRef>
          </c:tx>
          <c:spPr>
            <a:ln w="9525" cap="rnd">
              <a:solidFill>
                <a:schemeClr val="accent6">
                  <a:shade val="62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3'!$Q$19:$BJ$19</c:f>
              <c:numCache>
                <c:formatCode>0.00%</c:formatCode>
                <c:ptCount val="46"/>
                <c:pt idx="0">
                  <c:v>0</c:v>
                </c:pt>
                <c:pt idx="1">
                  <c:v>1.7732884399551067E-2</c:v>
                </c:pt>
                <c:pt idx="2">
                  <c:v>3.5062748699112342E-2</c:v>
                </c:pt>
                <c:pt idx="3">
                  <c:v>5.1989592898683809E-2</c:v>
                </c:pt>
                <c:pt idx="4">
                  <c:v>6.8513416998265478E-2</c:v>
                </c:pt>
                <c:pt idx="5">
                  <c:v>8.4634220997857362E-2</c:v>
                </c:pt>
                <c:pt idx="6">
                  <c:v>0.10035200489745945</c:v>
                </c:pt>
                <c:pt idx="7">
                  <c:v>0.11566676869707172</c:v>
                </c:pt>
                <c:pt idx="8">
                  <c:v>0.13057851239669421</c:v>
                </c:pt>
                <c:pt idx="9">
                  <c:v>0.14508723599632692</c:v>
                </c:pt>
                <c:pt idx="10">
                  <c:v>0.1591929394959698</c:v>
                </c:pt>
                <c:pt idx="11">
                  <c:v>0.17289562289562291</c:v>
                </c:pt>
                <c:pt idx="12">
                  <c:v>0.18619528619528622</c:v>
                </c:pt>
                <c:pt idx="13">
                  <c:v>0.1990919293949597</c:v>
                </c:pt>
                <c:pt idx="14">
                  <c:v>0.21158555249464339</c:v>
                </c:pt>
                <c:pt idx="15">
                  <c:v>0.22367615549433731</c:v>
                </c:pt>
                <c:pt idx="16">
                  <c:v>0.23536373839404146</c:v>
                </c:pt>
                <c:pt idx="17">
                  <c:v>0.24664830119375575</c:v>
                </c:pt>
                <c:pt idx="18">
                  <c:v>0.25752984389348027</c:v>
                </c:pt>
                <c:pt idx="19">
                  <c:v>0.26800836649321497</c:v>
                </c:pt>
                <c:pt idx="20">
                  <c:v>0.27808386899295995</c:v>
                </c:pt>
                <c:pt idx="21">
                  <c:v>0.28775635139271505</c:v>
                </c:pt>
                <c:pt idx="22">
                  <c:v>0.29702581369248038</c:v>
                </c:pt>
                <c:pt idx="23">
                  <c:v>0.30589225589225588</c:v>
                </c:pt>
                <c:pt idx="24">
                  <c:v>0.31435567799204162</c:v>
                </c:pt>
                <c:pt idx="25">
                  <c:v>0.32241607999183763</c:v>
                </c:pt>
                <c:pt idx="26">
                  <c:v>0.33007346189164372</c:v>
                </c:pt>
                <c:pt idx="27">
                  <c:v>0.33732782369146008</c:v>
                </c:pt>
                <c:pt idx="28">
                  <c:v>0.34417916539128662</c:v>
                </c:pt>
                <c:pt idx="29">
                  <c:v>0.35062748699112339</c:v>
                </c:pt>
                <c:pt idx="30">
                  <c:v>0.35667278849097028</c:v>
                </c:pt>
                <c:pt idx="31">
                  <c:v>0.36231506989082746</c:v>
                </c:pt>
                <c:pt idx="32">
                  <c:v>0.36755433119069486</c:v>
                </c:pt>
                <c:pt idx="33">
                  <c:v>0.37239057239057244</c:v>
                </c:pt>
                <c:pt idx="34">
                  <c:v>0.37682379349046013</c:v>
                </c:pt>
                <c:pt idx="35">
                  <c:v>0.38085399449035817</c:v>
                </c:pt>
                <c:pt idx="36">
                  <c:v>0.38448117539026633</c:v>
                </c:pt>
                <c:pt idx="37">
                  <c:v>0.38770533619018471</c:v>
                </c:pt>
                <c:pt idx="38">
                  <c:v>0.39052647689011327</c:v>
                </c:pt>
                <c:pt idx="39">
                  <c:v>0.39294459749005206</c:v>
                </c:pt>
                <c:pt idx="40">
                  <c:v>0.39495969799000102</c:v>
                </c:pt>
                <c:pt idx="41">
                  <c:v>0.39657177838996022</c:v>
                </c:pt>
                <c:pt idx="42">
                  <c:v>0.39778083868992958</c:v>
                </c:pt>
                <c:pt idx="43">
                  <c:v>0.39858687888990924</c:v>
                </c:pt>
                <c:pt idx="44">
                  <c:v>0.39898989898989901</c:v>
                </c:pt>
                <c:pt idx="45">
                  <c:v>0.39898989898989901</c:v>
                </c:pt>
              </c:numCache>
            </c:numRef>
          </c:val>
          <c:extLst>
            <c:ext xmlns:c16="http://schemas.microsoft.com/office/drawing/2014/chart" uri="{C3380CC4-5D6E-409C-BE32-E72D297353CC}">
              <c16:uniqueId val="{0000000A-6E82-4273-87B1-1CC09D173F3C}"/>
            </c:ext>
          </c:extLst>
        </c:ser>
        <c:ser>
          <c:idx val="11"/>
          <c:order val="11"/>
          <c:tx>
            <c:strRef>
              <c:f>'Ej. 3'!$P$20</c:f>
              <c:strCache>
                <c:ptCount val="1"/>
                <c:pt idx="0">
                  <c:v>11</c:v>
                </c:pt>
              </c:strCache>
            </c:strRef>
          </c:tx>
          <c:spPr>
            <a:ln w="9525" cap="rnd">
              <a:solidFill>
                <a:schemeClr val="accent6">
                  <a:shade val="65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3'!$Q$20:$BJ$20</c:f>
              <c:numCache>
                <c:formatCode>0.00%</c:formatCode>
                <c:ptCount val="46"/>
                <c:pt idx="0">
                  <c:v>0</c:v>
                </c:pt>
                <c:pt idx="1">
                  <c:v>1.9259259259259261E-2</c:v>
                </c:pt>
                <c:pt idx="2">
                  <c:v>3.808080808080809E-2</c:v>
                </c:pt>
                <c:pt idx="3">
                  <c:v>5.6464646464646467E-2</c:v>
                </c:pt>
                <c:pt idx="4">
                  <c:v>7.4410774410774413E-2</c:v>
                </c:pt>
                <c:pt idx="5">
                  <c:v>9.1919191919191914E-2</c:v>
                </c:pt>
                <c:pt idx="6">
                  <c:v>0.108989898989899</c:v>
                </c:pt>
                <c:pt idx="7">
                  <c:v>0.12562289562289561</c:v>
                </c:pt>
                <c:pt idx="8">
                  <c:v>0.14181818181818182</c:v>
                </c:pt>
                <c:pt idx="9">
                  <c:v>0.15757575757575759</c:v>
                </c:pt>
                <c:pt idx="10">
                  <c:v>0.17289562289562291</c:v>
                </c:pt>
                <c:pt idx="11">
                  <c:v>0.18777777777777779</c:v>
                </c:pt>
                <c:pt idx="12">
                  <c:v>0.20222222222222222</c:v>
                </c:pt>
                <c:pt idx="13">
                  <c:v>0.21622895622895624</c:v>
                </c:pt>
                <c:pt idx="14">
                  <c:v>0.22979797979797981</c:v>
                </c:pt>
                <c:pt idx="15">
                  <c:v>0.24292929292929291</c:v>
                </c:pt>
                <c:pt idx="16">
                  <c:v>0.25562289562289564</c:v>
                </c:pt>
                <c:pt idx="17">
                  <c:v>0.26787878787878788</c:v>
                </c:pt>
                <c:pt idx="18">
                  <c:v>0.27969696969696972</c:v>
                </c:pt>
                <c:pt idx="19">
                  <c:v>0.2910774410774411</c:v>
                </c:pt>
                <c:pt idx="20">
                  <c:v>0.30202020202020208</c:v>
                </c:pt>
                <c:pt idx="21">
                  <c:v>0.31252525252525254</c:v>
                </c:pt>
                <c:pt idx="22">
                  <c:v>0.3225925925925926</c:v>
                </c:pt>
                <c:pt idx="23">
                  <c:v>0.3322222222222222</c:v>
                </c:pt>
                <c:pt idx="24">
                  <c:v>0.34141414141414139</c:v>
                </c:pt>
                <c:pt idx="25">
                  <c:v>0.35016835016835024</c:v>
                </c:pt>
                <c:pt idx="26">
                  <c:v>0.35848484848484852</c:v>
                </c:pt>
                <c:pt idx="27">
                  <c:v>0.36636363636363639</c:v>
                </c:pt>
                <c:pt idx="28">
                  <c:v>0.37380471380471381</c:v>
                </c:pt>
                <c:pt idx="29">
                  <c:v>0.38080808080808087</c:v>
                </c:pt>
                <c:pt idx="30">
                  <c:v>0.38737373737373731</c:v>
                </c:pt>
                <c:pt idx="31">
                  <c:v>0.39350168350168352</c:v>
                </c:pt>
                <c:pt idx="32">
                  <c:v>0.39919191919191921</c:v>
                </c:pt>
                <c:pt idx="33">
                  <c:v>0.40444444444444444</c:v>
                </c:pt>
                <c:pt idx="34">
                  <c:v>0.40925925925925927</c:v>
                </c:pt>
                <c:pt idx="35">
                  <c:v>0.41363636363636369</c:v>
                </c:pt>
                <c:pt idx="36">
                  <c:v>0.41757575757575766</c:v>
                </c:pt>
                <c:pt idx="37">
                  <c:v>0.42107744107744111</c:v>
                </c:pt>
                <c:pt idx="38">
                  <c:v>0.42414141414141415</c:v>
                </c:pt>
                <c:pt idx="39">
                  <c:v>0.4267676767676768</c:v>
                </c:pt>
                <c:pt idx="40">
                  <c:v>0.42895622895622892</c:v>
                </c:pt>
                <c:pt idx="41">
                  <c:v>0.4307070707070707</c:v>
                </c:pt>
                <c:pt idx="42">
                  <c:v>0.43202020202020203</c:v>
                </c:pt>
                <c:pt idx="43">
                  <c:v>0.43289562289562294</c:v>
                </c:pt>
                <c:pt idx="44">
                  <c:v>0.43333333333333335</c:v>
                </c:pt>
                <c:pt idx="45">
                  <c:v>0.43333333333333335</c:v>
                </c:pt>
              </c:numCache>
            </c:numRef>
          </c:val>
          <c:extLst>
            <c:ext xmlns:c16="http://schemas.microsoft.com/office/drawing/2014/chart" uri="{C3380CC4-5D6E-409C-BE32-E72D297353CC}">
              <c16:uniqueId val="{0000000B-6E82-4273-87B1-1CC09D173F3C}"/>
            </c:ext>
          </c:extLst>
        </c:ser>
        <c:ser>
          <c:idx val="12"/>
          <c:order val="12"/>
          <c:tx>
            <c:strRef>
              <c:f>'Ej. 3'!$P$21</c:f>
              <c:strCache>
                <c:ptCount val="1"/>
                <c:pt idx="0">
                  <c:v>12</c:v>
                </c:pt>
              </c:strCache>
            </c:strRef>
          </c:tx>
          <c:spPr>
            <a:ln w="9525" cap="rnd">
              <a:solidFill>
                <a:schemeClr val="accent6">
                  <a:shade val="67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3'!$Q$21:$BJ$21</c:f>
              <c:numCache>
                <c:formatCode>0.00%</c:formatCode>
                <c:ptCount val="46"/>
                <c:pt idx="0">
                  <c:v>0</c:v>
                </c:pt>
                <c:pt idx="1">
                  <c:v>2.074074074074074E-2</c:v>
                </c:pt>
                <c:pt idx="2">
                  <c:v>4.1010101010101017E-2</c:v>
                </c:pt>
                <c:pt idx="3">
                  <c:v>6.0808080808080811E-2</c:v>
                </c:pt>
                <c:pt idx="4">
                  <c:v>8.0134680134680128E-2</c:v>
                </c:pt>
                <c:pt idx="5">
                  <c:v>9.8989898989898975E-2</c:v>
                </c:pt>
                <c:pt idx="6">
                  <c:v>0.11737373737373738</c:v>
                </c:pt>
                <c:pt idx="7">
                  <c:v>0.13528619528619529</c:v>
                </c:pt>
                <c:pt idx="8">
                  <c:v>0.15272727272727274</c:v>
                </c:pt>
                <c:pt idx="9">
                  <c:v>0.16969696969696971</c:v>
                </c:pt>
                <c:pt idx="10">
                  <c:v>0.18619528619528622</c:v>
                </c:pt>
                <c:pt idx="11">
                  <c:v>0.20222222222222222</c:v>
                </c:pt>
                <c:pt idx="12">
                  <c:v>0.21777777777777779</c:v>
                </c:pt>
                <c:pt idx="13">
                  <c:v>0.23286195286195285</c:v>
                </c:pt>
                <c:pt idx="14">
                  <c:v>0.24747474747474746</c:v>
                </c:pt>
                <c:pt idx="15">
                  <c:v>0.26161616161616158</c:v>
                </c:pt>
                <c:pt idx="16">
                  <c:v>0.2752861952861953</c:v>
                </c:pt>
                <c:pt idx="17">
                  <c:v>0.28848484848484846</c:v>
                </c:pt>
                <c:pt idx="18">
                  <c:v>0.30121212121212126</c:v>
                </c:pt>
                <c:pt idx="19">
                  <c:v>0.31346801346801345</c:v>
                </c:pt>
                <c:pt idx="20">
                  <c:v>0.32525252525252529</c:v>
                </c:pt>
                <c:pt idx="21">
                  <c:v>0.33656565656565657</c:v>
                </c:pt>
                <c:pt idx="22">
                  <c:v>0.34740740740740744</c:v>
                </c:pt>
                <c:pt idx="23">
                  <c:v>0.35777777777777775</c:v>
                </c:pt>
                <c:pt idx="24">
                  <c:v>0.36767676767676766</c:v>
                </c:pt>
                <c:pt idx="25">
                  <c:v>0.37710437710437716</c:v>
                </c:pt>
                <c:pt idx="26">
                  <c:v>0.38606060606060605</c:v>
                </c:pt>
                <c:pt idx="27">
                  <c:v>0.39454545454545453</c:v>
                </c:pt>
                <c:pt idx="28">
                  <c:v>0.40255892255892256</c:v>
                </c:pt>
                <c:pt idx="29">
                  <c:v>0.41010101010101013</c:v>
                </c:pt>
                <c:pt idx="30">
                  <c:v>0.41717171717171714</c:v>
                </c:pt>
                <c:pt idx="31">
                  <c:v>0.42377104377104374</c:v>
                </c:pt>
                <c:pt idx="32">
                  <c:v>0.42989898989898995</c:v>
                </c:pt>
                <c:pt idx="33">
                  <c:v>0.43555555555555558</c:v>
                </c:pt>
                <c:pt idx="34">
                  <c:v>0.44074074074074071</c:v>
                </c:pt>
                <c:pt idx="35">
                  <c:v>0.44545454545454549</c:v>
                </c:pt>
                <c:pt idx="36">
                  <c:v>0.44969696969696976</c:v>
                </c:pt>
                <c:pt idx="37">
                  <c:v>0.45346801346801352</c:v>
                </c:pt>
                <c:pt idx="38">
                  <c:v>0.45676767676767677</c:v>
                </c:pt>
                <c:pt idx="39">
                  <c:v>0.45959595959595961</c:v>
                </c:pt>
                <c:pt idx="40">
                  <c:v>0.46195286195286195</c:v>
                </c:pt>
                <c:pt idx="41">
                  <c:v>0.46383838383838383</c:v>
                </c:pt>
                <c:pt idx="42">
                  <c:v>0.46525252525252525</c:v>
                </c:pt>
                <c:pt idx="43">
                  <c:v>0.46619528619528627</c:v>
                </c:pt>
                <c:pt idx="44">
                  <c:v>0.46666666666666667</c:v>
                </c:pt>
                <c:pt idx="45">
                  <c:v>0.46666666666666667</c:v>
                </c:pt>
              </c:numCache>
            </c:numRef>
          </c:val>
          <c:extLst>
            <c:ext xmlns:c16="http://schemas.microsoft.com/office/drawing/2014/chart" uri="{C3380CC4-5D6E-409C-BE32-E72D297353CC}">
              <c16:uniqueId val="{0000000C-6E82-4273-87B1-1CC09D173F3C}"/>
            </c:ext>
          </c:extLst>
        </c:ser>
        <c:ser>
          <c:idx val="13"/>
          <c:order val="13"/>
          <c:tx>
            <c:strRef>
              <c:f>'Ej. 3'!$P$22</c:f>
              <c:strCache>
                <c:ptCount val="1"/>
                <c:pt idx="0">
                  <c:v>13</c:v>
                </c:pt>
              </c:strCache>
            </c:strRef>
          </c:tx>
          <c:spPr>
            <a:ln w="9525" cap="rnd">
              <a:solidFill>
                <a:schemeClr val="accent6">
                  <a:shade val="70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3'!$Q$22:$BJ$22</c:f>
              <c:numCache>
                <c:formatCode>0.00%</c:formatCode>
                <c:ptCount val="46"/>
                <c:pt idx="0">
                  <c:v>0</c:v>
                </c:pt>
                <c:pt idx="1">
                  <c:v>2.2177328843995512E-2</c:v>
                </c:pt>
                <c:pt idx="2">
                  <c:v>4.3850627486991131E-2</c:v>
                </c:pt>
                <c:pt idx="3">
                  <c:v>6.501989592898684E-2</c:v>
                </c:pt>
                <c:pt idx="4">
                  <c:v>8.5685134169982649E-2</c:v>
                </c:pt>
                <c:pt idx="5">
                  <c:v>0.10584634220997856</c:v>
                </c:pt>
                <c:pt idx="6">
                  <c:v>0.12550352004897461</c:v>
                </c:pt>
                <c:pt idx="7">
                  <c:v>0.14465666768697069</c:v>
                </c:pt>
                <c:pt idx="8">
                  <c:v>0.16330578512396693</c:v>
                </c:pt>
                <c:pt idx="9">
                  <c:v>0.18145087235996327</c:v>
                </c:pt>
                <c:pt idx="10">
                  <c:v>0.1990919293949597</c:v>
                </c:pt>
                <c:pt idx="11">
                  <c:v>0.21622895622895624</c:v>
                </c:pt>
                <c:pt idx="12">
                  <c:v>0.23286195286195285</c:v>
                </c:pt>
                <c:pt idx="13">
                  <c:v>0.24899091929394959</c:v>
                </c:pt>
                <c:pt idx="14">
                  <c:v>0.26461585552494643</c:v>
                </c:pt>
                <c:pt idx="15">
                  <c:v>0.27973676155494337</c:v>
                </c:pt>
                <c:pt idx="16">
                  <c:v>0.29435363738394044</c:v>
                </c:pt>
                <c:pt idx="17">
                  <c:v>0.30846648301193752</c:v>
                </c:pt>
                <c:pt idx="18">
                  <c:v>0.32207529843893484</c:v>
                </c:pt>
                <c:pt idx="19">
                  <c:v>0.33518008366493213</c:v>
                </c:pt>
                <c:pt idx="20">
                  <c:v>0.34778083868992959</c:v>
                </c:pt>
                <c:pt idx="21">
                  <c:v>0.35987756351392713</c:v>
                </c:pt>
                <c:pt idx="22">
                  <c:v>0.3714702581369248</c:v>
                </c:pt>
                <c:pt idx="23">
                  <c:v>0.38255892255892254</c:v>
                </c:pt>
                <c:pt idx="24">
                  <c:v>0.39314355677992041</c:v>
                </c:pt>
                <c:pt idx="25">
                  <c:v>0.40322416079991841</c:v>
                </c:pt>
                <c:pt idx="26">
                  <c:v>0.41280073461891642</c:v>
                </c:pt>
                <c:pt idx="27">
                  <c:v>0.42187327823691462</c:v>
                </c:pt>
                <c:pt idx="28">
                  <c:v>0.43044179165391289</c:v>
                </c:pt>
                <c:pt idx="29">
                  <c:v>0.43850627486991128</c:v>
                </c:pt>
                <c:pt idx="30">
                  <c:v>0.44606672788490964</c:v>
                </c:pt>
                <c:pt idx="31">
                  <c:v>0.45312315069890824</c:v>
                </c:pt>
                <c:pt idx="32">
                  <c:v>0.45967554331190696</c:v>
                </c:pt>
                <c:pt idx="33">
                  <c:v>0.46572390572390571</c:v>
                </c:pt>
                <c:pt idx="34">
                  <c:v>0.47126823793490458</c:v>
                </c:pt>
                <c:pt idx="35">
                  <c:v>0.47630853994490358</c:v>
                </c:pt>
                <c:pt idx="36">
                  <c:v>0.4808448117539027</c:v>
                </c:pt>
                <c:pt idx="37">
                  <c:v>0.48487705336190184</c:v>
                </c:pt>
                <c:pt idx="38">
                  <c:v>0.48840526476890112</c:v>
                </c:pt>
                <c:pt idx="39">
                  <c:v>0.49142944597490051</c:v>
                </c:pt>
                <c:pt idx="40">
                  <c:v>0.49394959697989999</c:v>
                </c:pt>
                <c:pt idx="41">
                  <c:v>0.49596571778389958</c:v>
                </c:pt>
                <c:pt idx="42">
                  <c:v>0.49747780838689926</c:v>
                </c:pt>
                <c:pt idx="43">
                  <c:v>0.49848586878889911</c:v>
                </c:pt>
                <c:pt idx="44">
                  <c:v>0.49898989898989898</c:v>
                </c:pt>
                <c:pt idx="45">
                  <c:v>0.49898989898989898</c:v>
                </c:pt>
              </c:numCache>
            </c:numRef>
          </c:val>
          <c:extLst>
            <c:ext xmlns:c16="http://schemas.microsoft.com/office/drawing/2014/chart" uri="{C3380CC4-5D6E-409C-BE32-E72D297353CC}">
              <c16:uniqueId val="{0000000D-6E82-4273-87B1-1CC09D173F3C}"/>
            </c:ext>
          </c:extLst>
        </c:ser>
        <c:ser>
          <c:idx val="14"/>
          <c:order val="14"/>
          <c:tx>
            <c:strRef>
              <c:f>'Ej. 3'!$P$23</c:f>
              <c:strCache>
                <c:ptCount val="1"/>
                <c:pt idx="0">
                  <c:v>14</c:v>
                </c:pt>
              </c:strCache>
            </c:strRef>
          </c:tx>
          <c:spPr>
            <a:ln w="9525" cap="rnd">
              <a:solidFill>
                <a:schemeClr val="accent6">
                  <a:shade val="73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3'!$Q$23:$BJ$23</c:f>
              <c:numCache>
                <c:formatCode>0.00%</c:formatCode>
                <c:ptCount val="46"/>
                <c:pt idx="0">
                  <c:v>0</c:v>
                </c:pt>
                <c:pt idx="1">
                  <c:v>2.3569023569023569E-2</c:v>
                </c:pt>
                <c:pt idx="2">
                  <c:v>4.6602387511478424E-2</c:v>
                </c:pt>
                <c:pt idx="3">
                  <c:v>6.9100091827364554E-2</c:v>
                </c:pt>
                <c:pt idx="4">
                  <c:v>9.1062136516681963E-2</c:v>
                </c:pt>
                <c:pt idx="5">
                  <c:v>0.11248852157943065</c:v>
                </c:pt>
                <c:pt idx="6">
                  <c:v>0.13337924701561066</c:v>
                </c:pt>
                <c:pt idx="7">
                  <c:v>0.1537343128252219</c:v>
                </c:pt>
                <c:pt idx="8">
                  <c:v>0.17355371900826444</c:v>
                </c:pt>
                <c:pt idx="9">
                  <c:v>0.1928374655647383</c:v>
                </c:pt>
                <c:pt idx="10">
                  <c:v>0.21158555249464339</c:v>
                </c:pt>
                <c:pt idx="11">
                  <c:v>0.22979797979797981</c:v>
                </c:pt>
                <c:pt idx="12">
                  <c:v>0.24747474747474746</c:v>
                </c:pt>
                <c:pt idx="13">
                  <c:v>0.26461585552494643</c:v>
                </c:pt>
                <c:pt idx="14">
                  <c:v>0.28122130394857664</c:v>
                </c:pt>
                <c:pt idx="15">
                  <c:v>0.29729109274563814</c:v>
                </c:pt>
                <c:pt idx="16">
                  <c:v>0.31282522191613099</c:v>
                </c:pt>
                <c:pt idx="17">
                  <c:v>0.32782369146005508</c:v>
                </c:pt>
                <c:pt idx="18">
                  <c:v>0.34228650137741046</c:v>
                </c:pt>
                <c:pt idx="19">
                  <c:v>0.35621365166819713</c:v>
                </c:pt>
                <c:pt idx="20">
                  <c:v>0.36960514233241509</c:v>
                </c:pt>
                <c:pt idx="21">
                  <c:v>0.38246097337006424</c:v>
                </c:pt>
                <c:pt idx="22">
                  <c:v>0.39478114478114479</c:v>
                </c:pt>
                <c:pt idx="23">
                  <c:v>0.40656565656565652</c:v>
                </c:pt>
                <c:pt idx="24">
                  <c:v>0.4178145087235996</c:v>
                </c:pt>
                <c:pt idx="25">
                  <c:v>0.42852770125497402</c:v>
                </c:pt>
                <c:pt idx="26">
                  <c:v>0.43870523415977958</c:v>
                </c:pt>
                <c:pt idx="27">
                  <c:v>0.44834710743801653</c:v>
                </c:pt>
                <c:pt idx="28">
                  <c:v>0.45745332108968473</c:v>
                </c:pt>
                <c:pt idx="29">
                  <c:v>0.46602387511478421</c:v>
                </c:pt>
                <c:pt idx="30">
                  <c:v>0.47405876951331488</c:v>
                </c:pt>
                <c:pt idx="31">
                  <c:v>0.48155800428527695</c:v>
                </c:pt>
                <c:pt idx="32">
                  <c:v>0.48852157943067032</c:v>
                </c:pt>
                <c:pt idx="33">
                  <c:v>0.49494949494949492</c:v>
                </c:pt>
                <c:pt idx="34">
                  <c:v>0.50084175084175075</c:v>
                </c:pt>
                <c:pt idx="35">
                  <c:v>0.50619834710743805</c:v>
                </c:pt>
                <c:pt idx="36">
                  <c:v>0.51101928374655647</c:v>
                </c:pt>
                <c:pt idx="37">
                  <c:v>0.51530456075910624</c:v>
                </c:pt>
                <c:pt idx="38">
                  <c:v>0.51905417814508714</c:v>
                </c:pt>
                <c:pt idx="39">
                  <c:v>0.5222681359044995</c:v>
                </c:pt>
                <c:pt idx="40">
                  <c:v>0.52494643403734309</c:v>
                </c:pt>
                <c:pt idx="41">
                  <c:v>0.52708907254361792</c:v>
                </c:pt>
                <c:pt idx="42">
                  <c:v>0.5286960514233241</c:v>
                </c:pt>
                <c:pt idx="43">
                  <c:v>0.52976737067646162</c:v>
                </c:pt>
                <c:pt idx="44">
                  <c:v>0.53030303030303028</c:v>
                </c:pt>
                <c:pt idx="45">
                  <c:v>0.53030303030303028</c:v>
                </c:pt>
              </c:numCache>
            </c:numRef>
          </c:val>
          <c:extLst>
            <c:ext xmlns:c16="http://schemas.microsoft.com/office/drawing/2014/chart" uri="{C3380CC4-5D6E-409C-BE32-E72D297353CC}">
              <c16:uniqueId val="{0000000E-6E82-4273-87B1-1CC09D173F3C}"/>
            </c:ext>
          </c:extLst>
        </c:ser>
        <c:ser>
          <c:idx val="15"/>
          <c:order val="15"/>
          <c:tx>
            <c:strRef>
              <c:f>'Ej. 3'!$P$24</c:f>
              <c:strCache>
                <c:ptCount val="1"/>
                <c:pt idx="0">
                  <c:v>15</c:v>
                </c:pt>
              </c:strCache>
            </c:strRef>
          </c:tx>
          <c:spPr>
            <a:ln w="9525" cap="rnd">
              <a:solidFill>
                <a:schemeClr val="accent6">
                  <a:shade val="76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3'!$Q$24:$BJ$24</c:f>
              <c:numCache>
                <c:formatCode>0.00%</c:formatCode>
                <c:ptCount val="46"/>
                <c:pt idx="0">
                  <c:v>0</c:v>
                </c:pt>
                <c:pt idx="1">
                  <c:v>2.4915824915824916E-2</c:v>
                </c:pt>
                <c:pt idx="2">
                  <c:v>4.9265381083562904E-2</c:v>
                </c:pt>
                <c:pt idx="3">
                  <c:v>7.3048668503213954E-2</c:v>
                </c:pt>
                <c:pt idx="4">
                  <c:v>9.626568717477807E-2</c:v>
                </c:pt>
                <c:pt idx="5">
                  <c:v>0.11891643709825525</c:v>
                </c:pt>
                <c:pt idx="6">
                  <c:v>0.14100091827364553</c:v>
                </c:pt>
                <c:pt idx="7">
                  <c:v>0.16251913070094887</c:v>
                </c:pt>
                <c:pt idx="8">
                  <c:v>0.18347107438016527</c:v>
                </c:pt>
                <c:pt idx="9">
                  <c:v>0.20385674931129474</c:v>
                </c:pt>
                <c:pt idx="10">
                  <c:v>0.22367615549433731</c:v>
                </c:pt>
                <c:pt idx="11">
                  <c:v>0.24292929292929291</c:v>
                </c:pt>
                <c:pt idx="12">
                  <c:v>0.26161616161616158</c:v>
                </c:pt>
                <c:pt idx="13">
                  <c:v>0.27973676155494337</c:v>
                </c:pt>
                <c:pt idx="14">
                  <c:v>0.29729109274563814</c:v>
                </c:pt>
                <c:pt idx="15">
                  <c:v>0.31427915518824606</c:v>
                </c:pt>
                <c:pt idx="16">
                  <c:v>0.33070094888276702</c:v>
                </c:pt>
                <c:pt idx="17">
                  <c:v>0.34655647382920107</c:v>
                </c:pt>
                <c:pt idx="18">
                  <c:v>0.36184573002754822</c:v>
                </c:pt>
                <c:pt idx="19">
                  <c:v>0.37656871747780835</c:v>
                </c:pt>
                <c:pt idx="20">
                  <c:v>0.39072543617998162</c:v>
                </c:pt>
                <c:pt idx="21">
                  <c:v>0.40431588613406788</c:v>
                </c:pt>
                <c:pt idx="22">
                  <c:v>0.41734006734006729</c:v>
                </c:pt>
                <c:pt idx="23">
                  <c:v>0.42979797979797973</c:v>
                </c:pt>
                <c:pt idx="24">
                  <c:v>0.44168962350780527</c:v>
                </c:pt>
                <c:pt idx="25">
                  <c:v>0.45301499846954396</c:v>
                </c:pt>
                <c:pt idx="26">
                  <c:v>0.46377410468319552</c:v>
                </c:pt>
                <c:pt idx="27">
                  <c:v>0.47396694214876028</c:v>
                </c:pt>
                <c:pt idx="28">
                  <c:v>0.48359351086623809</c:v>
                </c:pt>
                <c:pt idx="29">
                  <c:v>0.49265381083562904</c:v>
                </c:pt>
                <c:pt idx="30">
                  <c:v>0.50114784205693286</c:v>
                </c:pt>
                <c:pt idx="31">
                  <c:v>0.50907560453014988</c:v>
                </c:pt>
                <c:pt idx="32">
                  <c:v>0.51643709825528006</c:v>
                </c:pt>
                <c:pt idx="33">
                  <c:v>0.52323232323232316</c:v>
                </c:pt>
                <c:pt idx="34">
                  <c:v>0.52946127946127941</c:v>
                </c:pt>
                <c:pt idx="35">
                  <c:v>0.5351239669421487</c:v>
                </c:pt>
                <c:pt idx="36">
                  <c:v>0.54022038567493114</c:v>
                </c:pt>
                <c:pt idx="37">
                  <c:v>0.5447505356596265</c:v>
                </c:pt>
                <c:pt idx="38">
                  <c:v>0.54871441689623501</c:v>
                </c:pt>
                <c:pt idx="39">
                  <c:v>0.55211202938475656</c:v>
                </c:pt>
                <c:pt idx="40">
                  <c:v>0.55494337312519126</c:v>
                </c:pt>
                <c:pt idx="41">
                  <c:v>0.557208448117539</c:v>
                </c:pt>
                <c:pt idx="42">
                  <c:v>0.55890725436179978</c:v>
                </c:pt>
                <c:pt idx="43">
                  <c:v>0.5600397918579737</c:v>
                </c:pt>
                <c:pt idx="44">
                  <c:v>0.56060606060606055</c:v>
                </c:pt>
                <c:pt idx="45">
                  <c:v>0.56060606060606055</c:v>
                </c:pt>
              </c:numCache>
            </c:numRef>
          </c:val>
          <c:extLst>
            <c:ext xmlns:c16="http://schemas.microsoft.com/office/drawing/2014/chart" uri="{C3380CC4-5D6E-409C-BE32-E72D297353CC}">
              <c16:uniqueId val="{0000000F-6E82-4273-87B1-1CC09D173F3C}"/>
            </c:ext>
          </c:extLst>
        </c:ser>
        <c:ser>
          <c:idx val="16"/>
          <c:order val="16"/>
          <c:tx>
            <c:strRef>
              <c:f>'Ej. 3'!$P$25</c:f>
              <c:strCache>
                <c:ptCount val="1"/>
                <c:pt idx="0">
                  <c:v>16</c:v>
                </c:pt>
              </c:strCache>
            </c:strRef>
          </c:tx>
          <c:spPr>
            <a:ln w="9525" cap="rnd">
              <a:solidFill>
                <a:schemeClr val="accent6">
                  <a:shade val="79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3'!$Q$25:$BJ$25</c:f>
              <c:numCache>
                <c:formatCode>0.00%</c:formatCode>
                <c:ptCount val="46"/>
                <c:pt idx="0">
                  <c:v>0</c:v>
                </c:pt>
                <c:pt idx="1">
                  <c:v>2.6217732884399554E-2</c:v>
                </c:pt>
                <c:pt idx="2">
                  <c:v>5.1839608203244576E-2</c:v>
                </c:pt>
                <c:pt idx="3">
                  <c:v>7.6865625956535052E-2</c:v>
                </c:pt>
                <c:pt idx="4">
                  <c:v>0.101295786144271</c:v>
                </c:pt>
                <c:pt idx="5">
                  <c:v>0.1251300887664524</c:v>
                </c:pt>
                <c:pt idx="6">
                  <c:v>0.1483685338230793</c:v>
                </c:pt>
                <c:pt idx="7">
                  <c:v>0.17101112131415161</c:v>
                </c:pt>
                <c:pt idx="8">
                  <c:v>0.19305785123966943</c:v>
                </c:pt>
                <c:pt idx="9">
                  <c:v>0.21450872359963272</c:v>
                </c:pt>
                <c:pt idx="10">
                  <c:v>0.23536373839404146</c:v>
                </c:pt>
                <c:pt idx="11">
                  <c:v>0.25562289562289564</c:v>
                </c:pt>
                <c:pt idx="12">
                  <c:v>0.2752861952861953</c:v>
                </c:pt>
                <c:pt idx="13">
                  <c:v>0.29435363738394044</c:v>
                </c:pt>
                <c:pt idx="14">
                  <c:v>0.31282522191613099</c:v>
                </c:pt>
                <c:pt idx="15">
                  <c:v>0.33070094888276702</c:v>
                </c:pt>
                <c:pt idx="16">
                  <c:v>0.34798081828384864</c:v>
                </c:pt>
                <c:pt idx="17">
                  <c:v>0.36466483011937556</c:v>
                </c:pt>
                <c:pt idx="18">
                  <c:v>0.38075298438934807</c:v>
                </c:pt>
                <c:pt idx="19">
                  <c:v>0.39624528109376594</c:v>
                </c:pt>
                <c:pt idx="20">
                  <c:v>0.41114172023262935</c:v>
                </c:pt>
                <c:pt idx="21">
                  <c:v>0.42544230180593817</c:v>
                </c:pt>
                <c:pt idx="22">
                  <c:v>0.43914702581369253</c:v>
                </c:pt>
                <c:pt idx="23">
                  <c:v>0.45225589225589224</c:v>
                </c:pt>
                <c:pt idx="24">
                  <c:v>0.46476890113253749</c:v>
                </c:pt>
                <c:pt idx="25">
                  <c:v>0.47668605244362827</c:v>
                </c:pt>
                <c:pt idx="26">
                  <c:v>0.48800734618916441</c:v>
                </c:pt>
                <c:pt idx="27">
                  <c:v>0.49873278236914603</c:v>
                </c:pt>
                <c:pt idx="28">
                  <c:v>0.50886236098357318</c:v>
                </c:pt>
                <c:pt idx="29">
                  <c:v>0.5183960820324458</c:v>
                </c:pt>
                <c:pt idx="30">
                  <c:v>0.52733394551576362</c:v>
                </c:pt>
                <c:pt idx="31">
                  <c:v>0.5356759514335272</c:v>
                </c:pt>
                <c:pt idx="32">
                  <c:v>0.54342209978573619</c:v>
                </c:pt>
                <c:pt idx="33">
                  <c:v>0.5505723905723906</c:v>
                </c:pt>
                <c:pt idx="34">
                  <c:v>0.55712682379349043</c:v>
                </c:pt>
                <c:pt idx="35">
                  <c:v>0.56308539944903591</c:v>
                </c:pt>
                <c:pt idx="36">
                  <c:v>0.56844811753902669</c:v>
                </c:pt>
                <c:pt idx="37">
                  <c:v>0.573214978063463</c:v>
                </c:pt>
                <c:pt idx="38">
                  <c:v>0.57738598102234462</c:v>
                </c:pt>
                <c:pt idx="39">
                  <c:v>0.58096112641567188</c:v>
                </c:pt>
                <c:pt idx="40">
                  <c:v>0.58394041424344456</c:v>
                </c:pt>
                <c:pt idx="41">
                  <c:v>0.58632384450566266</c:v>
                </c:pt>
                <c:pt idx="42">
                  <c:v>0.58811141720232629</c:v>
                </c:pt>
                <c:pt idx="43">
                  <c:v>0.58930313233343545</c:v>
                </c:pt>
                <c:pt idx="44">
                  <c:v>0.58989898989898992</c:v>
                </c:pt>
                <c:pt idx="45">
                  <c:v>0.58989898989898992</c:v>
                </c:pt>
              </c:numCache>
            </c:numRef>
          </c:val>
          <c:extLst>
            <c:ext xmlns:c16="http://schemas.microsoft.com/office/drawing/2014/chart" uri="{C3380CC4-5D6E-409C-BE32-E72D297353CC}">
              <c16:uniqueId val="{00000010-6E82-4273-87B1-1CC09D173F3C}"/>
            </c:ext>
          </c:extLst>
        </c:ser>
        <c:ser>
          <c:idx val="17"/>
          <c:order val="17"/>
          <c:tx>
            <c:strRef>
              <c:f>'Ej. 3'!$P$26</c:f>
              <c:strCache>
                <c:ptCount val="1"/>
                <c:pt idx="0">
                  <c:v>17</c:v>
                </c:pt>
              </c:strCache>
            </c:strRef>
          </c:tx>
          <c:spPr>
            <a:ln w="9525" cap="rnd">
              <a:solidFill>
                <a:schemeClr val="accent6">
                  <a:shade val="82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3'!$Q$26:$BJ$26</c:f>
              <c:numCache>
                <c:formatCode>0.00%</c:formatCode>
                <c:ptCount val="46"/>
                <c:pt idx="0">
                  <c:v>0</c:v>
                </c:pt>
                <c:pt idx="1">
                  <c:v>2.7474747474747475E-2</c:v>
                </c:pt>
                <c:pt idx="2">
                  <c:v>5.4325068870523421E-2</c:v>
                </c:pt>
                <c:pt idx="3">
                  <c:v>8.0550964187327823E-2</c:v>
                </c:pt>
                <c:pt idx="4">
                  <c:v>0.10615243342516069</c:v>
                </c:pt>
                <c:pt idx="5">
                  <c:v>0.13112947658402202</c:v>
                </c:pt>
                <c:pt idx="6">
                  <c:v>0.15548209366391186</c:v>
                </c:pt>
                <c:pt idx="7">
                  <c:v>0.17921028466483011</c:v>
                </c:pt>
                <c:pt idx="8">
                  <c:v>0.20231404958677685</c:v>
                </c:pt>
                <c:pt idx="9">
                  <c:v>0.22479338842975208</c:v>
                </c:pt>
                <c:pt idx="10">
                  <c:v>0.24664830119375575</c:v>
                </c:pt>
                <c:pt idx="11">
                  <c:v>0.26787878787878788</c:v>
                </c:pt>
                <c:pt idx="12">
                  <c:v>0.28848484848484846</c:v>
                </c:pt>
                <c:pt idx="13">
                  <c:v>0.30846648301193752</c:v>
                </c:pt>
                <c:pt idx="14">
                  <c:v>0.32782369146005508</c:v>
                </c:pt>
                <c:pt idx="15">
                  <c:v>0.34655647382920107</c:v>
                </c:pt>
                <c:pt idx="16">
                  <c:v>0.36466483011937556</c:v>
                </c:pt>
                <c:pt idx="17">
                  <c:v>0.38214876033057849</c:v>
                </c:pt>
                <c:pt idx="18">
                  <c:v>0.39900826446280996</c:v>
                </c:pt>
                <c:pt idx="19">
                  <c:v>0.41524334251606976</c:v>
                </c:pt>
                <c:pt idx="20">
                  <c:v>0.43085399449035816</c:v>
                </c:pt>
                <c:pt idx="21">
                  <c:v>0.44584022038567489</c:v>
                </c:pt>
                <c:pt idx="22">
                  <c:v>0.46020202020202022</c:v>
                </c:pt>
                <c:pt idx="23">
                  <c:v>0.47393939393939388</c:v>
                </c:pt>
                <c:pt idx="24">
                  <c:v>0.48705234159779609</c:v>
                </c:pt>
                <c:pt idx="25">
                  <c:v>0.49954086317722685</c:v>
                </c:pt>
                <c:pt idx="26">
                  <c:v>0.51140495867768598</c:v>
                </c:pt>
                <c:pt idx="27">
                  <c:v>0.52264462809917356</c:v>
                </c:pt>
                <c:pt idx="28">
                  <c:v>0.53325987144168963</c:v>
                </c:pt>
                <c:pt idx="29">
                  <c:v>0.54325068870523419</c:v>
                </c:pt>
                <c:pt idx="30">
                  <c:v>0.55261707988980702</c:v>
                </c:pt>
                <c:pt idx="31">
                  <c:v>0.56135904499540856</c:v>
                </c:pt>
                <c:pt idx="32">
                  <c:v>0.5694765840220386</c:v>
                </c:pt>
                <c:pt idx="33">
                  <c:v>0.57696969696969691</c:v>
                </c:pt>
                <c:pt idx="34">
                  <c:v>0.58383838383838382</c:v>
                </c:pt>
                <c:pt idx="35">
                  <c:v>0.59008264462809923</c:v>
                </c:pt>
                <c:pt idx="36">
                  <c:v>0.59570247933884302</c:v>
                </c:pt>
                <c:pt idx="37">
                  <c:v>0.6006978879706153</c:v>
                </c:pt>
                <c:pt idx="38">
                  <c:v>0.60506887052341596</c:v>
                </c:pt>
                <c:pt idx="39">
                  <c:v>0.60881542699724522</c:v>
                </c:pt>
                <c:pt idx="40">
                  <c:v>0.61193755739210276</c:v>
                </c:pt>
                <c:pt idx="41">
                  <c:v>0.6144352617079889</c:v>
                </c:pt>
                <c:pt idx="42">
                  <c:v>0.61630853994490353</c:v>
                </c:pt>
                <c:pt idx="43">
                  <c:v>0.61755739210284666</c:v>
                </c:pt>
                <c:pt idx="44">
                  <c:v>0.61818181818181817</c:v>
                </c:pt>
                <c:pt idx="45">
                  <c:v>0.61818181818181817</c:v>
                </c:pt>
              </c:numCache>
            </c:numRef>
          </c:val>
          <c:extLst>
            <c:ext xmlns:c16="http://schemas.microsoft.com/office/drawing/2014/chart" uri="{C3380CC4-5D6E-409C-BE32-E72D297353CC}">
              <c16:uniqueId val="{00000011-6E82-4273-87B1-1CC09D173F3C}"/>
            </c:ext>
          </c:extLst>
        </c:ser>
        <c:ser>
          <c:idx val="18"/>
          <c:order val="18"/>
          <c:tx>
            <c:strRef>
              <c:f>'Ej. 3'!$P$27</c:f>
              <c:strCache>
                <c:ptCount val="1"/>
                <c:pt idx="0">
                  <c:v>18</c:v>
                </c:pt>
              </c:strCache>
            </c:strRef>
          </c:tx>
          <c:spPr>
            <a:ln w="9525" cap="rnd">
              <a:solidFill>
                <a:schemeClr val="accent6">
                  <a:shade val="85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3'!$Q$27:$BJ$27</c:f>
              <c:numCache>
                <c:formatCode>0.00%</c:formatCode>
                <c:ptCount val="46"/>
                <c:pt idx="0">
                  <c:v>0</c:v>
                </c:pt>
                <c:pt idx="1">
                  <c:v>2.8686868686868691E-2</c:v>
                </c:pt>
                <c:pt idx="2">
                  <c:v>5.672176308539946E-2</c:v>
                </c:pt>
                <c:pt idx="3">
                  <c:v>8.4104683195592292E-2</c:v>
                </c:pt>
                <c:pt idx="4">
                  <c:v>0.1108356290174472</c:v>
                </c:pt>
                <c:pt idx="5">
                  <c:v>0.13691460055096419</c:v>
                </c:pt>
                <c:pt idx="6">
                  <c:v>0.16234159779614327</c:v>
                </c:pt>
                <c:pt idx="7">
                  <c:v>0.18711662075298438</c:v>
                </c:pt>
                <c:pt idx="8">
                  <c:v>0.21123966942148761</c:v>
                </c:pt>
                <c:pt idx="9">
                  <c:v>0.23471074380165291</c:v>
                </c:pt>
                <c:pt idx="10">
                  <c:v>0.25752984389348027</c:v>
                </c:pt>
                <c:pt idx="11">
                  <c:v>0.27969696969696972</c:v>
                </c:pt>
                <c:pt idx="12">
                  <c:v>0.30121212121212126</c:v>
                </c:pt>
                <c:pt idx="13">
                  <c:v>0.32207529843893484</c:v>
                </c:pt>
                <c:pt idx="14">
                  <c:v>0.34228650137741046</c:v>
                </c:pt>
                <c:pt idx="15">
                  <c:v>0.36184573002754822</c:v>
                </c:pt>
                <c:pt idx="16">
                  <c:v>0.38075298438934807</c:v>
                </c:pt>
                <c:pt idx="17">
                  <c:v>0.39900826446280996</c:v>
                </c:pt>
                <c:pt idx="18">
                  <c:v>0.41661157024793394</c:v>
                </c:pt>
                <c:pt idx="19">
                  <c:v>0.43356290174471995</c:v>
                </c:pt>
                <c:pt idx="20">
                  <c:v>0.44986225895316811</c:v>
                </c:pt>
                <c:pt idx="21">
                  <c:v>0.46550964187327826</c:v>
                </c:pt>
                <c:pt idx="22">
                  <c:v>0.48050505050505055</c:v>
                </c:pt>
                <c:pt idx="23">
                  <c:v>0.49484848484848487</c:v>
                </c:pt>
                <c:pt idx="24">
                  <c:v>0.50853994490358123</c:v>
                </c:pt>
                <c:pt idx="25">
                  <c:v>0.52157943067033985</c:v>
                </c:pt>
                <c:pt idx="26">
                  <c:v>0.53396694214876039</c:v>
                </c:pt>
                <c:pt idx="27">
                  <c:v>0.54570247933884297</c:v>
                </c:pt>
                <c:pt idx="28">
                  <c:v>0.5567860422405877</c:v>
                </c:pt>
                <c:pt idx="29">
                  <c:v>0.56721763085399457</c:v>
                </c:pt>
                <c:pt idx="30">
                  <c:v>0.57699724517906337</c:v>
                </c:pt>
                <c:pt idx="31">
                  <c:v>0.58612488521579431</c:v>
                </c:pt>
                <c:pt idx="32">
                  <c:v>0.5946005509641874</c:v>
                </c:pt>
                <c:pt idx="33">
                  <c:v>0.60242424242424253</c:v>
                </c:pt>
                <c:pt idx="34">
                  <c:v>0.60959595959595958</c:v>
                </c:pt>
                <c:pt idx="35">
                  <c:v>0.61611570247933889</c:v>
                </c:pt>
                <c:pt idx="36">
                  <c:v>0.62198347107438023</c:v>
                </c:pt>
                <c:pt idx="37">
                  <c:v>0.62719926538108361</c:v>
                </c:pt>
                <c:pt idx="38">
                  <c:v>0.63176308539944903</c:v>
                </c:pt>
                <c:pt idx="39">
                  <c:v>0.63567493112947659</c:v>
                </c:pt>
                <c:pt idx="40">
                  <c:v>0.63893480257116619</c:v>
                </c:pt>
                <c:pt idx="41">
                  <c:v>0.64154269972451794</c:v>
                </c:pt>
                <c:pt idx="42">
                  <c:v>0.64349862258953172</c:v>
                </c:pt>
                <c:pt idx="43">
                  <c:v>0.64480257116620765</c:v>
                </c:pt>
                <c:pt idx="44">
                  <c:v>0.6454545454545455</c:v>
                </c:pt>
                <c:pt idx="45">
                  <c:v>0.6454545454545455</c:v>
                </c:pt>
              </c:numCache>
            </c:numRef>
          </c:val>
          <c:extLst>
            <c:ext xmlns:c16="http://schemas.microsoft.com/office/drawing/2014/chart" uri="{C3380CC4-5D6E-409C-BE32-E72D297353CC}">
              <c16:uniqueId val="{00000012-6E82-4273-87B1-1CC09D173F3C}"/>
            </c:ext>
          </c:extLst>
        </c:ser>
        <c:ser>
          <c:idx val="19"/>
          <c:order val="19"/>
          <c:tx>
            <c:strRef>
              <c:f>'Ej. 3'!$P$28</c:f>
              <c:strCache>
                <c:ptCount val="1"/>
                <c:pt idx="0">
                  <c:v>19</c:v>
                </c:pt>
              </c:strCache>
            </c:strRef>
          </c:tx>
          <c:spPr>
            <a:ln w="9525" cap="rnd">
              <a:solidFill>
                <a:schemeClr val="accent6">
                  <a:shade val="88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3'!$Q$28:$BJ$28</c:f>
              <c:numCache>
                <c:formatCode>0.00%</c:formatCode>
                <c:ptCount val="46"/>
                <c:pt idx="0">
                  <c:v>0</c:v>
                </c:pt>
                <c:pt idx="1">
                  <c:v>2.985409652076319E-2</c:v>
                </c:pt>
                <c:pt idx="2">
                  <c:v>5.9029690847872671E-2</c:v>
                </c:pt>
                <c:pt idx="3">
                  <c:v>8.7526782981328446E-2</c:v>
                </c:pt>
                <c:pt idx="4">
                  <c:v>0.11534537292113049</c:v>
                </c:pt>
                <c:pt idx="5">
                  <c:v>0.14248546066727882</c:v>
                </c:pt>
                <c:pt idx="6">
                  <c:v>0.16894704621977349</c:v>
                </c:pt>
                <c:pt idx="7">
                  <c:v>0.19473012957861441</c:v>
                </c:pt>
                <c:pt idx="8">
                  <c:v>0.21983471074380165</c:v>
                </c:pt>
                <c:pt idx="9">
                  <c:v>0.24426078971533519</c:v>
                </c:pt>
                <c:pt idx="10">
                  <c:v>0.26800836649321497</c:v>
                </c:pt>
                <c:pt idx="11">
                  <c:v>0.2910774410774411</c:v>
                </c:pt>
                <c:pt idx="12">
                  <c:v>0.31346801346801345</c:v>
                </c:pt>
                <c:pt idx="13">
                  <c:v>0.33518008366493213</c:v>
                </c:pt>
                <c:pt idx="14">
                  <c:v>0.35621365166819713</c:v>
                </c:pt>
                <c:pt idx="15">
                  <c:v>0.37656871747780835</c:v>
                </c:pt>
                <c:pt idx="16">
                  <c:v>0.39624528109376594</c:v>
                </c:pt>
                <c:pt idx="17">
                  <c:v>0.41524334251606976</c:v>
                </c:pt>
                <c:pt idx="18">
                  <c:v>0.43356290174471995</c:v>
                </c:pt>
                <c:pt idx="19">
                  <c:v>0.45120395877971636</c:v>
                </c:pt>
                <c:pt idx="20">
                  <c:v>0.4681665136210591</c:v>
                </c:pt>
                <c:pt idx="21">
                  <c:v>0.48445056626874805</c:v>
                </c:pt>
                <c:pt idx="22">
                  <c:v>0.50005611672278338</c:v>
                </c:pt>
                <c:pt idx="23">
                  <c:v>0.51498316498316499</c:v>
                </c:pt>
                <c:pt idx="24">
                  <c:v>0.52923171104989286</c:v>
                </c:pt>
                <c:pt idx="25">
                  <c:v>0.54280175492296712</c:v>
                </c:pt>
                <c:pt idx="26">
                  <c:v>0.55569329660238753</c:v>
                </c:pt>
                <c:pt idx="27">
                  <c:v>0.56790633608815422</c:v>
                </c:pt>
                <c:pt idx="28">
                  <c:v>0.57944087338026729</c:v>
                </c:pt>
                <c:pt idx="29">
                  <c:v>0.59029690847872673</c:v>
                </c:pt>
                <c:pt idx="30">
                  <c:v>0.60047444138353223</c:v>
                </c:pt>
                <c:pt idx="31">
                  <c:v>0.60997347209468422</c:v>
                </c:pt>
                <c:pt idx="32">
                  <c:v>0.61879400061218248</c:v>
                </c:pt>
                <c:pt idx="33">
                  <c:v>0.6269360269360269</c:v>
                </c:pt>
                <c:pt idx="34">
                  <c:v>0.6343995510662177</c:v>
                </c:pt>
                <c:pt idx="35">
                  <c:v>0.64118457300275489</c:v>
                </c:pt>
                <c:pt idx="36">
                  <c:v>0.64729109274563823</c:v>
                </c:pt>
                <c:pt idx="37">
                  <c:v>0.65271911029486784</c:v>
                </c:pt>
                <c:pt idx="38">
                  <c:v>0.65746862565044384</c:v>
                </c:pt>
                <c:pt idx="39">
                  <c:v>0.6615396388123661</c:v>
                </c:pt>
                <c:pt idx="40">
                  <c:v>0.66493214978063453</c:v>
                </c:pt>
                <c:pt idx="41">
                  <c:v>0.66764615855524945</c:v>
                </c:pt>
                <c:pt idx="42">
                  <c:v>0.66968166513621052</c:v>
                </c:pt>
                <c:pt idx="43">
                  <c:v>0.67103866952351809</c:v>
                </c:pt>
                <c:pt idx="44">
                  <c:v>0.67171717171717171</c:v>
                </c:pt>
                <c:pt idx="45">
                  <c:v>0.67171717171717171</c:v>
                </c:pt>
              </c:numCache>
            </c:numRef>
          </c:val>
          <c:extLst>
            <c:ext xmlns:c16="http://schemas.microsoft.com/office/drawing/2014/chart" uri="{C3380CC4-5D6E-409C-BE32-E72D297353CC}">
              <c16:uniqueId val="{00000013-6E82-4273-87B1-1CC09D173F3C}"/>
            </c:ext>
          </c:extLst>
        </c:ser>
        <c:ser>
          <c:idx val="20"/>
          <c:order val="20"/>
          <c:tx>
            <c:strRef>
              <c:f>'Ej. 3'!$P$29</c:f>
              <c:strCache>
                <c:ptCount val="1"/>
                <c:pt idx="0">
                  <c:v>20</c:v>
                </c:pt>
              </c:strCache>
            </c:strRef>
          </c:tx>
          <c:spPr>
            <a:ln w="9525" cap="rnd">
              <a:solidFill>
                <a:schemeClr val="accent6">
                  <a:shade val="91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3'!$Q$29:$BJ$29</c:f>
              <c:numCache>
                <c:formatCode>0.00%</c:formatCode>
                <c:ptCount val="46"/>
                <c:pt idx="0">
                  <c:v>0</c:v>
                </c:pt>
                <c:pt idx="1">
                  <c:v>3.097643097643098E-2</c:v>
                </c:pt>
                <c:pt idx="2">
                  <c:v>6.1248852157943082E-2</c:v>
                </c:pt>
                <c:pt idx="3">
                  <c:v>9.0817263544536286E-2</c:v>
                </c:pt>
                <c:pt idx="4">
                  <c:v>0.11968166513621059</c:v>
                </c:pt>
                <c:pt idx="5">
                  <c:v>0.14784205693296601</c:v>
                </c:pt>
                <c:pt idx="6">
                  <c:v>0.1752984389348026</c:v>
                </c:pt>
                <c:pt idx="7">
                  <c:v>0.20205081114172024</c:v>
                </c:pt>
                <c:pt idx="8">
                  <c:v>0.22809917355371903</c:v>
                </c:pt>
                <c:pt idx="9">
                  <c:v>0.25344352617079891</c:v>
                </c:pt>
                <c:pt idx="10">
                  <c:v>0.27808386899295995</c:v>
                </c:pt>
                <c:pt idx="11">
                  <c:v>0.30202020202020208</c:v>
                </c:pt>
                <c:pt idx="12">
                  <c:v>0.32525252525252529</c:v>
                </c:pt>
                <c:pt idx="13">
                  <c:v>0.34778083868992959</c:v>
                </c:pt>
                <c:pt idx="14">
                  <c:v>0.36960514233241509</c:v>
                </c:pt>
                <c:pt idx="15">
                  <c:v>0.39072543617998162</c:v>
                </c:pt>
                <c:pt idx="16">
                  <c:v>0.41114172023262935</c:v>
                </c:pt>
                <c:pt idx="17">
                  <c:v>0.43085399449035816</c:v>
                </c:pt>
                <c:pt idx="18">
                  <c:v>0.44986225895316811</c:v>
                </c:pt>
                <c:pt idx="19">
                  <c:v>0.4681665136210591</c:v>
                </c:pt>
                <c:pt idx="20">
                  <c:v>0.48576675849403128</c:v>
                </c:pt>
                <c:pt idx="21">
                  <c:v>0.50266299357208455</c:v>
                </c:pt>
                <c:pt idx="22">
                  <c:v>0.5188552188552189</c:v>
                </c:pt>
                <c:pt idx="23">
                  <c:v>0.53434343434343434</c:v>
                </c:pt>
                <c:pt idx="24">
                  <c:v>0.54912764003673098</c:v>
                </c:pt>
                <c:pt idx="25">
                  <c:v>0.56320783593510881</c:v>
                </c:pt>
                <c:pt idx="26">
                  <c:v>0.57658402203856751</c:v>
                </c:pt>
                <c:pt idx="27">
                  <c:v>0.58925619834710752</c:v>
                </c:pt>
                <c:pt idx="28">
                  <c:v>0.6012243648607285</c:v>
                </c:pt>
                <c:pt idx="29">
                  <c:v>0.61248852157943079</c:v>
                </c:pt>
                <c:pt idx="30">
                  <c:v>0.62304866850321394</c:v>
                </c:pt>
                <c:pt idx="31">
                  <c:v>0.6329048056320784</c:v>
                </c:pt>
                <c:pt idx="32">
                  <c:v>0.64205693296602395</c:v>
                </c:pt>
                <c:pt idx="33">
                  <c:v>0.65050505050505059</c:v>
                </c:pt>
                <c:pt idx="34">
                  <c:v>0.65824915824915831</c:v>
                </c:pt>
                <c:pt idx="35">
                  <c:v>0.66528925619834722</c:v>
                </c:pt>
                <c:pt idx="36">
                  <c:v>0.67162534435261723</c:v>
                </c:pt>
                <c:pt idx="37">
                  <c:v>0.6772574227119682</c:v>
                </c:pt>
                <c:pt idx="38">
                  <c:v>0.68218549127640038</c:v>
                </c:pt>
                <c:pt idx="39">
                  <c:v>0.68640955004591375</c:v>
                </c:pt>
                <c:pt idx="40">
                  <c:v>0.6899295990205081</c:v>
                </c:pt>
                <c:pt idx="41">
                  <c:v>0.69274563820018364</c:v>
                </c:pt>
                <c:pt idx="42">
                  <c:v>0.69485766758494039</c:v>
                </c:pt>
                <c:pt idx="43">
                  <c:v>0.69626568717477821</c:v>
                </c:pt>
                <c:pt idx="44">
                  <c:v>0.69696969696969702</c:v>
                </c:pt>
                <c:pt idx="45">
                  <c:v>0.69696969696969702</c:v>
                </c:pt>
              </c:numCache>
            </c:numRef>
          </c:val>
          <c:extLst>
            <c:ext xmlns:c16="http://schemas.microsoft.com/office/drawing/2014/chart" uri="{C3380CC4-5D6E-409C-BE32-E72D297353CC}">
              <c16:uniqueId val="{00000014-6E82-4273-87B1-1CC09D173F3C}"/>
            </c:ext>
          </c:extLst>
        </c:ser>
        <c:ser>
          <c:idx val="21"/>
          <c:order val="21"/>
          <c:tx>
            <c:strRef>
              <c:f>'Ej. 3'!$P$30</c:f>
              <c:strCache>
                <c:ptCount val="1"/>
                <c:pt idx="0">
                  <c:v>21</c:v>
                </c:pt>
              </c:strCache>
            </c:strRef>
          </c:tx>
          <c:spPr>
            <a:ln w="9525" cap="rnd">
              <a:solidFill>
                <a:schemeClr val="accent6">
                  <a:shade val="94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3'!$Q$30:$BJ$30</c:f>
              <c:numCache>
                <c:formatCode>0.00%</c:formatCode>
                <c:ptCount val="46"/>
                <c:pt idx="0">
                  <c:v>0</c:v>
                </c:pt>
                <c:pt idx="1">
                  <c:v>3.2053872053872057E-2</c:v>
                </c:pt>
                <c:pt idx="2">
                  <c:v>6.3379247015610651E-2</c:v>
                </c:pt>
                <c:pt idx="3">
                  <c:v>9.3976124885215798E-2</c:v>
                </c:pt>
                <c:pt idx="4">
                  <c:v>0.12384450566268747</c:v>
                </c:pt>
                <c:pt idx="5">
                  <c:v>0.15298438934802569</c:v>
                </c:pt>
                <c:pt idx="6">
                  <c:v>0.18139577594123049</c:v>
                </c:pt>
                <c:pt idx="7">
                  <c:v>0.20907866544230178</c:v>
                </c:pt>
                <c:pt idx="8">
                  <c:v>0.23603305785123965</c:v>
                </c:pt>
                <c:pt idx="9">
                  <c:v>0.2622589531680441</c:v>
                </c:pt>
                <c:pt idx="10">
                  <c:v>0.28775635139271505</c:v>
                </c:pt>
                <c:pt idx="11">
                  <c:v>0.31252525252525254</c:v>
                </c:pt>
                <c:pt idx="12">
                  <c:v>0.33656565656565657</c:v>
                </c:pt>
                <c:pt idx="13">
                  <c:v>0.35987756351392713</c:v>
                </c:pt>
                <c:pt idx="14">
                  <c:v>0.38246097337006424</c:v>
                </c:pt>
                <c:pt idx="15">
                  <c:v>0.40431588613406788</c:v>
                </c:pt>
                <c:pt idx="16">
                  <c:v>0.42544230180593817</c:v>
                </c:pt>
                <c:pt idx="17">
                  <c:v>0.44584022038567489</c:v>
                </c:pt>
                <c:pt idx="18">
                  <c:v>0.46550964187327826</c:v>
                </c:pt>
                <c:pt idx="19">
                  <c:v>0.48445056626874805</c:v>
                </c:pt>
                <c:pt idx="20">
                  <c:v>0.50266299357208455</c:v>
                </c:pt>
                <c:pt idx="21">
                  <c:v>0.52014692378328742</c:v>
                </c:pt>
                <c:pt idx="22">
                  <c:v>0.53690235690235688</c:v>
                </c:pt>
                <c:pt idx="23">
                  <c:v>0.55292929292929283</c:v>
                </c:pt>
                <c:pt idx="24">
                  <c:v>0.56822773186409548</c:v>
                </c:pt>
                <c:pt idx="25">
                  <c:v>0.58279767370676472</c:v>
                </c:pt>
                <c:pt idx="26">
                  <c:v>0.59663911845730022</c:v>
                </c:pt>
                <c:pt idx="27">
                  <c:v>0.60975206611570243</c:v>
                </c:pt>
                <c:pt idx="28">
                  <c:v>0.62213651668197123</c:v>
                </c:pt>
                <c:pt idx="29">
                  <c:v>0.63379247015610662</c:v>
                </c:pt>
                <c:pt idx="30">
                  <c:v>0.64471992653810828</c:v>
                </c:pt>
                <c:pt idx="31">
                  <c:v>0.65491888582797675</c:v>
                </c:pt>
                <c:pt idx="32">
                  <c:v>0.6643893480257117</c:v>
                </c:pt>
                <c:pt idx="33">
                  <c:v>0.67313131313131314</c:v>
                </c:pt>
                <c:pt idx="34">
                  <c:v>0.68114478114478116</c:v>
                </c:pt>
                <c:pt idx="35">
                  <c:v>0.68842975206611567</c:v>
                </c:pt>
                <c:pt idx="36">
                  <c:v>0.69498622589531689</c:v>
                </c:pt>
                <c:pt idx="37">
                  <c:v>0.70081420263238448</c:v>
                </c:pt>
                <c:pt idx="38">
                  <c:v>0.70591368227731865</c:v>
                </c:pt>
                <c:pt idx="39">
                  <c:v>0.71028466483011932</c:v>
                </c:pt>
                <c:pt idx="40">
                  <c:v>0.71392715029078657</c:v>
                </c:pt>
                <c:pt idx="41">
                  <c:v>0.71684113865932042</c:v>
                </c:pt>
                <c:pt idx="42">
                  <c:v>0.71902662993572086</c:v>
                </c:pt>
                <c:pt idx="43">
                  <c:v>0.72048362411998779</c:v>
                </c:pt>
                <c:pt idx="44">
                  <c:v>0.72121212121212119</c:v>
                </c:pt>
                <c:pt idx="45">
                  <c:v>0.72121212121212119</c:v>
                </c:pt>
              </c:numCache>
            </c:numRef>
          </c:val>
          <c:extLst>
            <c:ext xmlns:c16="http://schemas.microsoft.com/office/drawing/2014/chart" uri="{C3380CC4-5D6E-409C-BE32-E72D297353CC}">
              <c16:uniqueId val="{00000015-6E82-4273-87B1-1CC09D173F3C}"/>
            </c:ext>
          </c:extLst>
        </c:ser>
        <c:ser>
          <c:idx val="22"/>
          <c:order val="22"/>
          <c:tx>
            <c:strRef>
              <c:f>'Ej. 3'!$P$31</c:f>
              <c:strCache>
                <c:ptCount val="1"/>
                <c:pt idx="0">
                  <c:v>22</c:v>
                </c:pt>
              </c:strCache>
            </c:strRef>
          </c:tx>
          <c:spPr>
            <a:ln w="9525" cap="rnd">
              <a:solidFill>
                <a:schemeClr val="accent6">
                  <a:shade val="97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3'!$Q$31:$BJ$31</c:f>
              <c:numCache>
                <c:formatCode>0.00%</c:formatCode>
                <c:ptCount val="46"/>
                <c:pt idx="0">
                  <c:v>0</c:v>
                </c:pt>
                <c:pt idx="1">
                  <c:v>3.3086419753086418E-2</c:v>
                </c:pt>
                <c:pt idx="2">
                  <c:v>6.5420875420875435E-2</c:v>
                </c:pt>
                <c:pt idx="3">
                  <c:v>9.7003367003367008E-2</c:v>
                </c:pt>
                <c:pt idx="4">
                  <c:v>0.12783389450056118</c:v>
                </c:pt>
                <c:pt idx="5">
                  <c:v>0.15791245791245789</c:v>
                </c:pt>
                <c:pt idx="6">
                  <c:v>0.18723905723905726</c:v>
                </c:pt>
                <c:pt idx="7">
                  <c:v>0.21581369248035914</c:v>
                </c:pt>
                <c:pt idx="8">
                  <c:v>0.24363636363636365</c:v>
                </c:pt>
                <c:pt idx="9">
                  <c:v>0.27070707070707073</c:v>
                </c:pt>
                <c:pt idx="10">
                  <c:v>0.29702581369248038</c:v>
                </c:pt>
                <c:pt idx="11">
                  <c:v>0.3225925925925926</c:v>
                </c:pt>
                <c:pt idx="12">
                  <c:v>0.34740740740740744</c:v>
                </c:pt>
                <c:pt idx="13">
                  <c:v>0.3714702581369248</c:v>
                </c:pt>
                <c:pt idx="14">
                  <c:v>0.39478114478114479</c:v>
                </c:pt>
                <c:pt idx="15">
                  <c:v>0.41734006734006729</c:v>
                </c:pt>
                <c:pt idx="16">
                  <c:v>0.43914702581369253</c:v>
                </c:pt>
                <c:pt idx="17">
                  <c:v>0.46020202020202022</c:v>
                </c:pt>
                <c:pt idx="18">
                  <c:v>0.48050505050505055</c:v>
                </c:pt>
                <c:pt idx="19">
                  <c:v>0.50005611672278338</c:v>
                </c:pt>
                <c:pt idx="20">
                  <c:v>0.5188552188552189</c:v>
                </c:pt>
                <c:pt idx="21">
                  <c:v>0.53690235690235688</c:v>
                </c:pt>
                <c:pt idx="22">
                  <c:v>0.55419753086419754</c:v>
                </c:pt>
                <c:pt idx="23">
                  <c:v>0.57074074074074066</c:v>
                </c:pt>
                <c:pt idx="24">
                  <c:v>0.58653198653198657</c:v>
                </c:pt>
                <c:pt idx="25">
                  <c:v>0.60157126823793494</c:v>
                </c:pt>
                <c:pt idx="26">
                  <c:v>0.61585858585858588</c:v>
                </c:pt>
                <c:pt idx="27">
                  <c:v>0.62939393939393939</c:v>
                </c:pt>
                <c:pt idx="28">
                  <c:v>0.64217732884399548</c:v>
                </c:pt>
                <c:pt idx="29">
                  <c:v>0.65420875420875435</c:v>
                </c:pt>
                <c:pt idx="30">
                  <c:v>0.66548821548821546</c:v>
                </c:pt>
                <c:pt idx="31">
                  <c:v>0.67601571268237937</c:v>
                </c:pt>
                <c:pt idx="32">
                  <c:v>0.68579124579124584</c:v>
                </c:pt>
                <c:pt idx="33">
                  <c:v>0.69481481481481489</c:v>
                </c:pt>
                <c:pt idx="34">
                  <c:v>0.70308641975308639</c:v>
                </c:pt>
                <c:pt idx="35">
                  <c:v>0.71060606060606069</c:v>
                </c:pt>
                <c:pt idx="36">
                  <c:v>0.71737373737373744</c:v>
                </c:pt>
                <c:pt idx="37">
                  <c:v>0.72338945005611677</c:v>
                </c:pt>
                <c:pt idx="38">
                  <c:v>0.72865319865319866</c:v>
                </c:pt>
                <c:pt idx="39">
                  <c:v>0.73316498316498324</c:v>
                </c:pt>
                <c:pt idx="40">
                  <c:v>0.73692480359147028</c:v>
                </c:pt>
                <c:pt idx="41">
                  <c:v>0.73993265993265989</c:v>
                </c:pt>
                <c:pt idx="42">
                  <c:v>0.74218855218855218</c:v>
                </c:pt>
                <c:pt idx="43">
                  <c:v>0.74369248035914715</c:v>
                </c:pt>
                <c:pt idx="44">
                  <c:v>0.74444444444444446</c:v>
                </c:pt>
                <c:pt idx="45">
                  <c:v>0.74444444444444446</c:v>
                </c:pt>
              </c:numCache>
            </c:numRef>
          </c:val>
          <c:extLst>
            <c:ext xmlns:c16="http://schemas.microsoft.com/office/drawing/2014/chart" uri="{C3380CC4-5D6E-409C-BE32-E72D297353CC}">
              <c16:uniqueId val="{00000016-6E82-4273-87B1-1CC09D173F3C}"/>
            </c:ext>
          </c:extLst>
        </c:ser>
        <c:ser>
          <c:idx val="23"/>
          <c:order val="23"/>
          <c:tx>
            <c:strRef>
              <c:f>'Ej. 3'!$P$32</c:f>
              <c:strCache>
                <c:ptCount val="1"/>
                <c:pt idx="0">
                  <c:v>23</c:v>
                </c:pt>
              </c:strCache>
            </c:strRef>
          </c:tx>
          <c:spPr>
            <a:ln w="9525" cap="rnd">
              <a:solidFill>
                <a:schemeClr val="accent6"/>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3'!$Q$32:$BJ$32</c:f>
              <c:numCache>
                <c:formatCode>0.00%</c:formatCode>
                <c:ptCount val="46"/>
                <c:pt idx="0">
                  <c:v>0</c:v>
                </c:pt>
                <c:pt idx="1">
                  <c:v>3.4074074074074076E-2</c:v>
                </c:pt>
                <c:pt idx="2">
                  <c:v>6.7373737373737377E-2</c:v>
                </c:pt>
                <c:pt idx="3">
                  <c:v>9.989898989898989E-2</c:v>
                </c:pt>
                <c:pt idx="4">
                  <c:v>0.13164983164983163</c:v>
                </c:pt>
                <c:pt idx="5">
                  <c:v>0.16262626262626259</c:v>
                </c:pt>
                <c:pt idx="6">
                  <c:v>0.19282828282828282</c:v>
                </c:pt>
                <c:pt idx="7">
                  <c:v>0.22225589225589223</c:v>
                </c:pt>
                <c:pt idx="8">
                  <c:v>0.25090909090909091</c:v>
                </c:pt>
                <c:pt idx="9">
                  <c:v>0.27878787878787875</c:v>
                </c:pt>
                <c:pt idx="10">
                  <c:v>0.30589225589225588</c:v>
                </c:pt>
                <c:pt idx="11">
                  <c:v>0.3322222222222222</c:v>
                </c:pt>
                <c:pt idx="12">
                  <c:v>0.35777777777777775</c:v>
                </c:pt>
                <c:pt idx="13">
                  <c:v>0.38255892255892254</c:v>
                </c:pt>
                <c:pt idx="14">
                  <c:v>0.40656565656565652</c:v>
                </c:pt>
                <c:pt idx="15">
                  <c:v>0.42979797979797973</c:v>
                </c:pt>
                <c:pt idx="16">
                  <c:v>0.45225589225589224</c:v>
                </c:pt>
                <c:pt idx="17">
                  <c:v>0.47393939393939388</c:v>
                </c:pt>
                <c:pt idx="18">
                  <c:v>0.49484848484848487</c:v>
                </c:pt>
                <c:pt idx="19">
                  <c:v>0.51498316498316499</c:v>
                </c:pt>
                <c:pt idx="20">
                  <c:v>0.53434343434343434</c:v>
                </c:pt>
                <c:pt idx="21">
                  <c:v>0.55292929292929283</c:v>
                </c:pt>
                <c:pt idx="22">
                  <c:v>0.57074074074074066</c:v>
                </c:pt>
                <c:pt idx="23">
                  <c:v>0.58777777777777773</c:v>
                </c:pt>
                <c:pt idx="24">
                  <c:v>0.60404040404040393</c:v>
                </c:pt>
                <c:pt idx="25">
                  <c:v>0.6195286195286196</c:v>
                </c:pt>
                <c:pt idx="26">
                  <c:v>0.63424242424242416</c:v>
                </c:pt>
                <c:pt idx="27">
                  <c:v>0.64818181818181808</c:v>
                </c:pt>
                <c:pt idx="28">
                  <c:v>0.66134680134680135</c:v>
                </c:pt>
                <c:pt idx="29">
                  <c:v>0.67373737373737375</c:v>
                </c:pt>
                <c:pt idx="30">
                  <c:v>0.68535353535353516</c:v>
                </c:pt>
                <c:pt idx="31">
                  <c:v>0.69619528619528614</c:v>
                </c:pt>
                <c:pt idx="32">
                  <c:v>0.70626262626262626</c:v>
                </c:pt>
                <c:pt idx="33">
                  <c:v>0.7155555555555555</c:v>
                </c:pt>
                <c:pt idx="34">
                  <c:v>0.72407407407407398</c:v>
                </c:pt>
                <c:pt idx="35">
                  <c:v>0.73181818181818181</c:v>
                </c:pt>
                <c:pt idx="36">
                  <c:v>0.73878787878787877</c:v>
                </c:pt>
                <c:pt idx="37">
                  <c:v>0.74498316498316497</c:v>
                </c:pt>
                <c:pt idx="38">
                  <c:v>0.7504040404040403</c:v>
                </c:pt>
                <c:pt idx="39">
                  <c:v>0.75505050505050497</c:v>
                </c:pt>
                <c:pt idx="40">
                  <c:v>0.75892255892255878</c:v>
                </c:pt>
                <c:pt idx="41">
                  <c:v>0.76202020202020193</c:v>
                </c:pt>
                <c:pt idx="42">
                  <c:v>0.76434343434343432</c:v>
                </c:pt>
                <c:pt idx="43">
                  <c:v>0.76589225589225596</c:v>
                </c:pt>
                <c:pt idx="44">
                  <c:v>0.76666666666666661</c:v>
                </c:pt>
                <c:pt idx="45">
                  <c:v>0.76666666666666661</c:v>
                </c:pt>
              </c:numCache>
            </c:numRef>
          </c:val>
          <c:extLst>
            <c:ext xmlns:c16="http://schemas.microsoft.com/office/drawing/2014/chart" uri="{C3380CC4-5D6E-409C-BE32-E72D297353CC}">
              <c16:uniqueId val="{00000017-6E82-4273-87B1-1CC09D173F3C}"/>
            </c:ext>
          </c:extLst>
        </c:ser>
        <c:ser>
          <c:idx val="24"/>
          <c:order val="24"/>
          <c:tx>
            <c:strRef>
              <c:f>'Ej. 3'!$P$33</c:f>
              <c:strCache>
                <c:ptCount val="1"/>
                <c:pt idx="0">
                  <c:v>24</c:v>
                </c:pt>
              </c:strCache>
            </c:strRef>
          </c:tx>
          <c:spPr>
            <a:ln w="9525" cap="rnd">
              <a:solidFill>
                <a:schemeClr val="accent6">
                  <a:tint val="98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3'!$Q$33:$BJ$33</c:f>
              <c:numCache>
                <c:formatCode>0.00%</c:formatCode>
                <c:ptCount val="46"/>
                <c:pt idx="0">
                  <c:v>0</c:v>
                </c:pt>
                <c:pt idx="1">
                  <c:v>3.5016835016835016E-2</c:v>
                </c:pt>
                <c:pt idx="2">
                  <c:v>6.923783287419652E-2</c:v>
                </c:pt>
                <c:pt idx="3">
                  <c:v>0.10266299357208448</c:v>
                </c:pt>
                <c:pt idx="4">
                  <c:v>0.13529231711049891</c:v>
                </c:pt>
                <c:pt idx="5">
                  <c:v>0.16712580348943984</c:v>
                </c:pt>
                <c:pt idx="6">
                  <c:v>0.19816345270890726</c:v>
                </c:pt>
                <c:pt idx="7">
                  <c:v>0.22840526476890111</c:v>
                </c:pt>
                <c:pt idx="8">
                  <c:v>0.25785123966942147</c:v>
                </c:pt>
                <c:pt idx="9">
                  <c:v>0.28650137741046833</c:v>
                </c:pt>
                <c:pt idx="10">
                  <c:v>0.31435567799204162</c:v>
                </c:pt>
                <c:pt idx="11">
                  <c:v>0.34141414141414139</c:v>
                </c:pt>
                <c:pt idx="12">
                  <c:v>0.36767676767676766</c:v>
                </c:pt>
                <c:pt idx="13">
                  <c:v>0.39314355677992041</c:v>
                </c:pt>
                <c:pt idx="14">
                  <c:v>0.4178145087235996</c:v>
                </c:pt>
                <c:pt idx="15">
                  <c:v>0.44168962350780527</c:v>
                </c:pt>
                <c:pt idx="16">
                  <c:v>0.46476890113253749</c:v>
                </c:pt>
                <c:pt idx="17">
                  <c:v>0.48705234159779609</c:v>
                </c:pt>
                <c:pt idx="18">
                  <c:v>0.50853994490358123</c:v>
                </c:pt>
                <c:pt idx="19">
                  <c:v>0.52923171104989286</c:v>
                </c:pt>
                <c:pt idx="20">
                  <c:v>0.54912764003673098</c:v>
                </c:pt>
                <c:pt idx="21">
                  <c:v>0.56822773186409548</c:v>
                </c:pt>
                <c:pt idx="22">
                  <c:v>0.58653198653198657</c:v>
                </c:pt>
                <c:pt idx="23">
                  <c:v>0.60404040404040393</c:v>
                </c:pt>
                <c:pt idx="24">
                  <c:v>0.62075298438934801</c:v>
                </c:pt>
                <c:pt idx="25">
                  <c:v>0.63666972757881857</c:v>
                </c:pt>
                <c:pt idx="26">
                  <c:v>0.6517906336088154</c:v>
                </c:pt>
                <c:pt idx="27">
                  <c:v>0.66611570247933882</c:v>
                </c:pt>
                <c:pt idx="28">
                  <c:v>0.67964493419038874</c:v>
                </c:pt>
                <c:pt idx="29">
                  <c:v>0.69237832874196514</c:v>
                </c:pt>
                <c:pt idx="30">
                  <c:v>0.70431588613406781</c:v>
                </c:pt>
                <c:pt idx="31">
                  <c:v>0.7154576063666972</c:v>
                </c:pt>
                <c:pt idx="32">
                  <c:v>0.72580348943985307</c:v>
                </c:pt>
                <c:pt idx="33">
                  <c:v>0.73535353535353531</c:v>
                </c:pt>
                <c:pt idx="34">
                  <c:v>0.74410774410774405</c:v>
                </c:pt>
                <c:pt idx="35">
                  <c:v>0.75206611570247939</c:v>
                </c:pt>
                <c:pt idx="36">
                  <c:v>0.7592286501377411</c:v>
                </c:pt>
                <c:pt idx="37">
                  <c:v>0.76559534741352919</c:v>
                </c:pt>
                <c:pt idx="38">
                  <c:v>0.77116620752984388</c:v>
                </c:pt>
                <c:pt idx="39">
                  <c:v>0.77594123048668506</c:v>
                </c:pt>
                <c:pt idx="40">
                  <c:v>0.77992041628405251</c:v>
                </c:pt>
                <c:pt idx="41">
                  <c:v>0.78310376492194667</c:v>
                </c:pt>
                <c:pt idx="42">
                  <c:v>0.78549127640036731</c:v>
                </c:pt>
                <c:pt idx="43">
                  <c:v>0.78708295071931444</c:v>
                </c:pt>
                <c:pt idx="44">
                  <c:v>0.78787878787878785</c:v>
                </c:pt>
                <c:pt idx="45">
                  <c:v>0.78787878787878785</c:v>
                </c:pt>
              </c:numCache>
            </c:numRef>
          </c:val>
          <c:extLst>
            <c:ext xmlns:c16="http://schemas.microsoft.com/office/drawing/2014/chart" uri="{C3380CC4-5D6E-409C-BE32-E72D297353CC}">
              <c16:uniqueId val="{00000018-6E82-4273-87B1-1CC09D173F3C}"/>
            </c:ext>
          </c:extLst>
        </c:ser>
        <c:ser>
          <c:idx val="25"/>
          <c:order val="25"/>
          <c:tx>
            <c:strRef>
              <c:f>'Ej. 3'!$P$34</c:f>
              <c:strCache>
                <c:ptCount val="1"/>
                <c:pt idx="0">
                  <c:v>25</c:v>
                </c:pt>
              </c:strCache>
            </c:strRef>
          </c:tx>
          <c:spPr>
            <a:ln w="9525" cap="rnd">
              <a:solidFill>
                <a:schemeClr val="accent6">
                  <a:tint val="95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3'!$Q$34:$BJ$34</c:f>
              <c:numCache>
                <c:formatCode>0.00%</c:formatCode>
                <c:ptCount val="46"/>
                <c:pt idx="0">
                  <c:v>0</c:v>
                </c:pt>
                <c:pt idx="1">
                  <c:v>3.5914702581369251E-2</c:v>
                </c:pt>
                <c:pt idx="2">
                  <c:v>7.1013161922252849E-2</c:v>
                </c:pt>
                <c:pt idx="3">
                  <c:v>0.10529537802265077</c:v>
                </c:pt>
                <c:pt idx="4">
                  <c:v>0.13876135088256303</c:v>
                </c:pt>
                <c:pt idx="5">
                  <c:v>0.17141108050198958</c:v>
                </c:pt>
                <c:pt idx="6">
                  <c:v>0.20324456688093054</c:v>
                </c:pt>
                <c:pt idx="7">
                  <c:v>0.23426181001938579</c:v>
                </c:pt>
                <c:pt idx="8">
                  <c:v>0.26446280991735538</c:v>
                </c:pt>
                <c:pt idx="9">
                  <c:v>0.29384756657483935</c:v>
                </c:pt>
                <c:pt idx="10">
                  <c:v>0.32241607999183763</c:v>
                </c:pt>
                <c:pt idx="11">
                  <c:v>0.35016835016835024</c:v>
                </c:pt>
                <c:pt idx="12">
                  <c:v>0.37710437710437716</c:v>
                </c:pt>
                <c:pt idx="13">
                  <c:v>0.40322416079991841</c:v>
                </c:pt>
                <c:pt idx="14">
                  <c:v>0.42852770125497402</c:v>
                </c:pt>
                <c:pt idx="15">
                  <c:v>0.45301499846954396</c:v>
                </c:pt>
                <c:pt idx="16">
                  <c:v>0.47668605244362827</c:v>
                </c:pt>
                <c:pt idx="17">
                  <c:v>0.49954086317722685</c:v>
                </c:pt>
                <c:pt idx="18">
                  <c:v>0.52157943067033985</c:v>
                </c:pt>
                <c:pt idx="19">
                  <c:v>0.54280175492296712</c:v>
                </c:pt>
                <c:pt idx="20">
                  <c:v>0.56320783593510881</c:v>
                </c:pt>
                <c:pt idx="21">
                  <c:v>0.58279767370676472</c:v>
                </c:pt>
                <c:pt idx="22">
                  <c:v>0.60157126823793494</c:v>
                </c:pt>
                <c:pt idx="23">
                  <c:v>0.6195286195286196</c:v>
                </c:pt>
                <c:pt idx="24">
                  <c:v>0.63666972757881857</c:v>
                </c:pt>
                <c:pt idx="25">
                  <c:v>0.65299459238853197</c:v>
                </c:pt>
                <c:pt idx="26">
                  <c:v>0.66850321395775947</c:v>
                </c:pt>
                <c:pt idx="27">
                  <c:v>0.68319559228650151</c:v>
                </c:pt>
                <c:pt idx="28">
                  <c:v>0.69707172737475775</c:v>
                </c:pt>
                <c:pt idx="29">
                  <c:v>0.71013161922252843</c:v>
                </c:pt>
                <c:pt idx="30">
                  <c:v>0.72237526782981332</c:v>
                </c:pt>
                <c:pt idx="31">
                  <c:v>0.73380267319661263</c:v>
                </c:pt>
                <c:pt idx="32">
                  <c:v>0.74441383532292638</c:v>
                </c:pt>
                <c:pt idx="33">
                  <c:v>0.75420875420875433</c:v>
                </c:pt>
                <c:pt idx="34">
                  <c:v>0.7631874298540966</c:v>
                </c:pt>
                <c:pt idx="35">
                  <c:v>0.7713498622589533</c:v>
                </c:pt>
                <c:pt idx="36">
                  <c:v>0.77869605142332432</c:v>
                </c:pt>
                <c:pt idx="37">
                  <c:v>0.78522599734720955</c:v>
                </c:pt>
                <c:pt idx="38">
                  <c:v>0.79093970003060921</c:v>
                </c:pt>
                <c:pt idx="39">
                  <c:v>0.79583715947352318</c:v>
                </c:pt>
                <c:pt idx="40">
                  <c:v>0.79991837567595148</c:v>
                </c:pt>
                <c:pt idx="41">
                  <c:v>0.8031833486378942</c:v>
                </c:pt>
                <c:pt idx="42">
                  <c:v>0.80563207835935113</c:v>
                </c:pt>
                <c:pt idx="43">
                  <c:v>0.80726456484032261</c:v>
                </c:pt>
                <c:pt idx="44">
                  <c:v>0.80808080808080818</c:v>
                </c:pt>
                <c:pt idx="45">
                  <c:v>0.80808080808080818</c:v>
                </c:pt>
              </c:numCache>
            </c:numRef>
          </c:val>
          <c:extLst>
            <c:ext xmlns:c16="http://schemas.microsoft.com/office/drawing/2014/chart" uri="{C3380CC4-5D6E-409C-BE32-E72D297353CC}">
              <c16:uniqueId val="{00000019-6E82-4273-87B1-1CC09D173F3C}"/>
            </c:ext>
          </c:extLst>
        </c:ser>
        <c:ser>
          <c:idx val="26"/>
          <c:order val="26"/>
          <c:tx>
            <c:strRef>
              <c:f>'Ej. 3'!$P$35</c:f>
              <c:strCache>
                <c:ptCount val="1"/>
                <c:pt idx="0">
                  <c:v>26</c:v>
                </c:pt>
              </c:strCache>
            </c:strRef>
          </c:tx>
          <c:spPr>
            <a:ln w="9525" cap="rnd">
              <a:solidFill>
                <a:schemeClr val="accent6">
                  <a:tint val="92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3'!$Q$35:$BJ$35</c:f>
              <c:numCache>
                <c:formatCode>0.00%</c:formatCode>
                <c:ptCount val="46"/>
                <c:pt idx="0">
                  <c:v>0</c:v>
                </c:pt>
                <c:pt idx="1">
                  <c:v>3.6767676767676769E-2</c:v>
                </c:pt>
                <c:pt idx="2">
                  <c:v>7.269972451790635E-2</c:v>
                </c:pt>
                <c:pt idx="3">
                  <c:v>0.10779614325068872</c:v>
                </c:pt>
                <c:pt idx="4">
                  <c:v>0.14205693296602387</c:v>
                </c:pt>
                <c:pt idx="5">
                  <c:v>0.17548209366391182</c:v>
                </c:pt>
                <c:pt idx="6">
                  <c:v>0.20807162534435261</c:v>
                </c:pt>
                <c:pt idx="7">
                  <c:v>0.23982552800734616</c:v>
                </c:pt>
                <c:pt idx="8">
                  <c:v>0.27074380165289258</c:v>
                </c:pt>
                <c:pt idx="9">
                  <c:v>0.30082644628099175</c:v>
                </c:pt>
                <c:pt idx="10">
                  <c:v>0.33007346189164372</c:v>
                </c:pt>
                <c:pt idx="11">
                  <c:v>0.35848484848484852</c:v>
                </c:pt>
                <c:pt idx="12">
                  <c:v>0.38606060606060605</c:v>
                </c:pt>
                <c:pt idx="13">
                  <c:v>0.41280073461891642</c:v>
                </c:pt>
                <c:pt idx="14">
                  <c:v>0.43870523415977958</c:v>
                </c:pt>
                <c:pt idx="15">
                  <c:v>0.46377410468319552</c:v>
                </c:pt>
                <c:pt idx="16">
                  <c:v>0.48800734618916441</c:v>
                </c:pt>
                <c:pt idx="17">
                  <c:v>0.51140495867768598</c:v>
                </c:pt>
                <c:pt idx="18">
                  <c:v>0.53396694214876039</c:v>
                </c:pt>
                <c:pt idx="19">
                  <c:v>0.55569329660238753</c:v>
                </c:pt>
                <c:pt idx="20">
                  <c:v>0.57658402203856751</c:v>
                </c:pt>
                <c:pt idx="21">
                  <c:v>0.59663911845730022</c:v>
                </c:pt>
                <c:pt idx="22">
                  <c:v>0.61585858585858588</c:v>
                </c:pt>
                <c:pt idx="23">
                  <c:v>0.63424242424242416</c:v>
                </c:pt>
                <c:pt idx="24">
                  <c:v>0.6517906336088154</c:v>
                </c:pt>
                <c:pt idx="25">
                  <c:v>0.66850321395775947</c:v>
                </c:pt>
                <c:pt idx="26">
                  <c:v>0.68438016528925616</c:v>
                </c:pt>
                <c:pt idx="27">
                  <c:v>0.6994214876033058</c:v>
                </c:pt>
                <c:pt idx="28">
                  <c:v>0.71362718089990818</c:v>
                </c:pt>
                <c:pt idx="29">
                  <c:v>0.7269972451790635</c:v>
                </c:pt>
                <c:pt idx="30">
                  <c:v>0.73953168044077122</c:v>
                </c:pt>
                <c:pt idx="31">
                  <c:v>0.75123048668503212</c:v>
                </c:pt>
                <c:pt idx="32">
                  <c:v>0.76209366391184574</c:v>
                </c:pt>
                <c:pt idx="33">
                  <c:v>0.7721212121212121</c:v>
                </c:pt>
                <c:pt idx="34">
                  <c:v>0.78131313131313129</c:v>
                </c:pt>
                <c:pt idx="35">
                  <c:v>0.78966942148760333</c:v>
                </c:pt>
                <c:pt idx="36">
                  <c:v>0.79719008264462821</c:v>
                </c:pt>
                <c:pt idx="37">
                  <c:v>0.8038751147842057</c:v>
                </c:pt>
                <c:pt idx="38">
                  <c:v>0.80972451790633604</c:v>
                </c:pt>
                <c:pt idx="39">
                  <c:v>0.81473829201101933</c:v>
                </c:pt>
                <c:pt idx="40">
                  <c:v>0.81891643709825523</c:v>
                </c:pt>
                <c:pt idx="41">
                  <c:v>0.82225895316804409</c:v>
                </c:pt>
                <c:pt idx="42">
                  <c:v>0.82476584022038568</c:v>
                </c:pt>
                <c:pt idx="43">
                  <c:v>0.82643709825528011</c:v>
                </c:pt>
                <c:pt idx="44">
                  <c:v>0.82727272727272727</c:v>
                </c:pt>
                <c:pt idx="45">
                  <c:v>0.82727272727272727</c:v>
                </c:pt>
              </c:numCache>
            </c:numRef>
          </c:val>
          <c:extLst>
            <c:ext xmlns:c16="http://schemas.microsoft.com/office/drawing/2014/chart" uri="{C3380CC4-5D6E-409C-BE32-E72D297353CC}">
              <c16:uniqueId val="{0000001A-6E82-4273-87B1-1CC09D173F3C}"/>
            </c:ext>
          </c:extLst>
        </c:ser>
        <c:ser>
          <c:idx val="27"/>
          <c:order val="27"/>
          <c:tx>
            <c:strRef>
              <c:f>'Ej. 3'!$P$36</c:f>
              <c:strCache>
                <c:ptCount val="1"/>
                <c:pt idx="0">
                  <c:v>27</c:v>
                </c:pt>
              </c:strCache>
            </c:strRef>
          </c:tx>
          <c:spPr>
            <a:ln w="9525" cap="rnd">
              <a:solidFill>
                <a:schemeClr val="accent6">
                  <a:tint val="89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3'!$Q$36:$BJ$36</c:f>
              <c:numCache>
                <c:formatCode>0.00%</c:formatCode>
                <c:ptCount val="46"/>
                <c:pt idx="0">
                  <c:v>0</c:v>
                </c:pt>
                <c:pt idx="1">
                  <c:v>3.7575757575757575E-2</c:v>
                </c:pt>
                <c:pt idx="2">
                  <c:v>7.4297520661157038E-2</c:v>
                </c:pt>
                <c:pt idx="3">
                  <c:v>0.11016528925619835</c:v>
                </c:pt>
                <c:pt idx="4">
                  <c:v>0.14517906336088154</c:v>
                </c:pt>
                <c:pt idx="5">
                  <c:v>0.17933884297520658</c:v>
                </c:pt>
                <c:pt idx="6">
                  <c:v>0.21264462809917356</c:v>
                </c:pt>
                <c:pt idx="7">
                  <c:v>0.24509641873278235</c:v>
                </c:pt>
                <c:pt idx="8">
                  <c:v>0.27669421487603307</c:v>
                </c:pt>
                <c:pt idx="9">
                  <c:v>0.30743801652892561</c:v>
                </c:pt>
                <c:pt idx="10">
                  <c:v>0.33732782369146008</c:v>
                </c:pt>
                <c:pt idx="11">
                  <c:v>0.36636363636363639</c:v>
                </c:pt>
                <c:pt idx="12">
                  <c:v>0.39454545454545453</c:v>
                </c:pt>
                <c:pt idx="13">
                  <c:v>0.42187327823691462</c:v>
                </c:pt>
                <c:pt idx="14">
                  <c:v>0.44834710743801653</c:v>
                </c:pt>
                <c:pt idx="15">
                  <c:v>0.47396694214876028</c:v>
                </c:pt>
                <c:pt idx="16">
                  <c:v>0.49873278236914603</c:v>
                </c:pt>
                <c:pt idx="17">
                  <c:v>0.52264462809917356</c:v>
                </c:pt>
                <c:pt idx="18">
                  <c:v>0.54570247933884297</c:v>
                </c:pt>
                <c:pt idx="19">
                  <c:v>0.56790633608815422</c:v>
                </c:pt>
                <c:pt idx="20">
                  <c:v>0.58925619834710752</c:v>
                </c:pt>
                <c:pt idx="21">
                  <c:v>0.60975206611570243</c:v>
                </c:pt>
                <c:pt idx="22">
                  <c:v>0.62939393939393939</c:v>
                </c:pt>
                <c:pt idx="23">
                  <c:v>0.64818181818181808</c:v>
                </c:pt>
                <c:pt idx="24">
                  <c:v>0.66611570247933882</c:v>
                </c:pt>
                <c:pt idx="25">
                  <c:v>0.68319559228650151</c:v>
                </c:pt>
                <c:pt idx="26">
                  <c:v>0.6994214876033058</c:v>
                </c:pt>
                <c:pt idx="27">
                  <c:v>0.71479338842975204</c:v>
                </c:pt>
                <c:pt idx="28">
                  <c:v>0.72931129476584022</c:v>
                </c:pt>
                <c:pt idx="29">
                  <c:v>0.74297520661157035</c:v>
                </c:pt>
                <c:pt idx="30">
                  <c:v>0.75578512396694209</c:v>
                </c:pt>
                <c:pt idx="31">
                  <c:v>0.76774104683195588</c:v>
                </c:pt>
                <c:pt idx="32">
                  <c:v>0.77884297520661161</c:v>
                </c:pt>
                <c:pt idx="33">
                  <c:v>0.78909090909090907</c:v>
                </c:pt>
                <c:pt idx="34">
                  <c:v>0.79848484848484846</c:v>
                </c:pt>
                <c:pt idx="35">
                  <c:v>0.80702479338842981</c:v>
                </c:pt>
                <c:pt idx="36">
                  <c:v>0.81471074380165298</c:v>
                </c:pt>
                <c:pt idx="37">
                  <c:v>0.82154269972451799</c:v>
                </c:pt>
                <c:pt idx="38">
                  <c:v>0.82752066115702483</c:v>
                </c:pt>
                <c:pt idx="39">
                  <c:v>0.83264462809917361</c:v>
                </c:pt>
                <c:pt idx="40">
                  <c:v>0.83691460055096412</c:v>
                </c:pt>
                <c:pt idx="41">
                  <c:v>0.84033057851239668</c:v>
                </c:pt>
                <c:pt idx="42">
                  <c:v>0.84289256198347107</c:v>
                </c:pt>
                <c:pt idx="43">
                  <c:v>0.8446005509641874</c:v>
                </c:pt>
                <c:pt idx="44">
                  <c:v>0.84545454545454546</c:v>
                </c:pt>
                <c:pt idx="45">
                  <c:v>0.84545454545454546</c:v>
                </c:pt>
              </c:numCache>
            </c:numRef>
          </c:val>
          <c:extLst>
            <c:ext xmlns:c16="http://schemas.microsoft.com/office/drawing/2014/chart" uri="{C3380CC4-5D6E-409C-BE32-E72D297353CC}">
              <c16:uniqueId val="{0000001B-6E82-4273-87B1-1CC09D173F3C}"/>
            </c:ext>
          </c:extLst>
        </c:ser>
        <c:ser>
          <c:idx val="28"/>
          <c:order val="28"/>
          <c:tx>
            <c:strRef>
              <c:f>'Ej. 3'!$P$37</c:f>
              <c:strCache>
                <c:ptCount val="1"/>
                <c:pt idx="0">
                  <c:v>28</c:v>
                </c:pt>
              </c:strCache>
            </c:strRef>
          </c:tx>
          <c:spPr>
            <a:ln w="9525" cap="rnd">
              <a:solidFill>
                <a:schemeClr val="accent6">
                  <a:tint val="86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3'!$Q$37:$BJ$37</c:f>
              <c:numCache>
                <c:formatCode>0.00%</c:formatCode>
                <c:ptCount val="46"/>
                <c:pt idx="0">
                  <c:v>0</c:v>
                </c:pt>
                <c:pt idx="1">
                  <c:v>3.8338945005611677E-2</c:v>
                </c:pt>
                <c:pt idx="2">
                  <c:v>7.5806550352004912E-2</c:v>
                </c:pt>
                <c:pt idx="3">
                  <c:v>0.11240281603917968</c:v>
                </c:pt>
                <c:pt idx="4">
                  <c:v>0.148127742067136</c:v>
                </c:pt>
                <c:pt idx="5">
                  <c:v>0.18298132843587386</c:v>
                </c:pt>
                <c:pt idx="6">
                  <c:v>0.21696357514539333</c:v>
                </c:pt>
                <c:pt idx="7">
                  <c:v>0.25007448219569428</c:v>
                </c:pt>
                <c:pt idx="8">
                  <c:v>0.28231404958677686</c:v>
                </c:pt>
                <c:pt idx="9">
                  <c:v>0.31368227731864096</c:v>
                </c:pt>
                <c:pt idx="10">
                  <c:v>0.34417916539128662</c:v>
                </c:pt>
                <c:pt idx="11">
                  <c:v>0.37380471380471381</c:v>
                </c:pt>
                <c:pt idx="12">
                  <c:v>0.40255892255892256</c:v>
                </c:pt>
                <c:pt idx="13">
                  <c:v>0.43044179165391289</c:v>
                </c:pt>
                <c:pt idx="14">
                  <c:v>0.45745332108968473</c:v>
                </c:pt>
                <c:pt idx="15">
                  <c:v>0.48359351086623809</c:v>
                </c:pt>
                <c:pt idx="16">
                  <c:v>0.50886236098357318</c:v>
                </c:pt>
                <c:pt idx="17">
                  <c:v>0.53325987144168963</c:v>
                </c:pt>
                <c:pt idx="18">
                  <c:v>0.5567860422405877</c:v>
                </c:pt>
                <c:pt idx="19">
                  <c:v>0.57944087338026729</c:v>
                </c:pt>
                <c:pt idx="20">
                  <c:v>0.6012243648607285</c:v>
                </c:pt>
                <c:pt idx="21">
                  <c:v>0.62213651668197123</c:v>
                </c:pt>
                <c:pt idx="22">
                  <c:v>0.64217732884399548</c:v>
                </c:pt>
                <c:pt idx="23">
                  <c:v>0.66134680134680135</c:v>
                </c:pt>
                <c:pt idx="24">
                  <c:v>0.67964493419038874</c:v>
                </c:pt>
                <c:pt idx="25">
                  <c:v>0.69707172737475775</c:v>
                </c:pt>
                <c:pt idx="26">
                  <c:v>0.71362718089990818</c:v>
                </c:pt>
                <c:pt idx="27">
                  <c:v>0.72931129476584022</c:v>
                </c:pt>
                <c:pt idx="28">
                  <c:v>0.74412406897255379</c:v>
                </c:pt>
                <c:pt idx="29">
                  <c:v>0.75806550352004909</c:v>
                </c:pt>
                <c:pt idx="30">
                  <c:v>0.77113559840832557</c:v>
                </c:pt>
                <c:pt idx="31">
                  <c:v>0.78333435363738391</c:v>
                </c:pt>
                <c:pt idx="32">
                  <c:v>0.79466176920722376</c:v>
                </c:pt>
                <c:pt idx="33">
                  <c:v>0.80511784511784512</c:v>
                </c:pt>
                <c:pt idx="34">
                  <c:v>0.814702581369248</c:v>
                </c:pt>
                <c:pt idx="35">
                  <c:v>0.82341597796143251</c:v>
                </c:pt>
                <c:pt idx="36">
                  <c:v>0.83125803489439865</c:v>
                </c:pt>
                <c:pt idx="37">
                  <c:v>0.83822875216814619</c:v>
                </c:pt>
                <c:pt idx="38">
                  <c:v>0.84432812978267524</c:v>
                </c:pt>
                <c:pt idx="39">
                  <c:v>0.84955616773798592</c:v>
                </c:pt>
                <c:pt idx="40">
                  <c:v>0.85391286603407812</c:v>
                </c:pt>
                <c:pt idx="41">
                  <c:v>0.85739822467095195</c:v>
                </c:pt>
                <c:pt idx="42">
                  <c:v>0.86001224364860729</c:v>
                </c:pt>
                <c:pt idx="43">
                  <c:v>0.86175492296704426</c:v>
                </c:pt>
                <c:pt idx="44">
                  <c:v>0.86262626262626263</c:v>
                </c:pt>
                <c:pt idx="45">
                  <c:v>0.86262626262626263</c:v>
                </c:pt>
              </c:numCache>
            </c:numRef>
          </c:val>
          <c:extLst>
            <c:ext xmlns:c16="http://schemas.microsoft.com/office/drawing/2014/chart" uri="{C3380CC4-5D6E-409C-BE32-E72D297353CC}">
              <c16:uniqueId val="{0000001C-6E82-4273-87B1-1CC09D173F3C}"/>
            </c:ext>
          </c:extLst>
        </c:ser>
        <c:ser>
          <c:idx val="29"/>
          <c:order val="29"/>
          <c:tx>
            <c:strRef>
              <c:f>'Ej. 3'!$P$38</c:f>
              <c:strCache>
                <c:ptCount val="1"/>
                <c:pt idx="0">
                  <c:v>29</c:v>
                </c:pt>
              </c:strCache>
            </c:strRef>
          </c:tx>
          <c:spPr>
            <a:ln w="9525" cap="rnd">
              <a:solidFill>
                <a:schemeClr val="accent6">
                  <a:tint val="83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3'!$Q$38:$BJ$38</c:f>
              <c:numCache>
                <c:formatCode>0.00%</c:formatCode>
                <c:ptCount val="46"/>
                <c:pt idx="0">
                  <c:v>0</c:v>
                </c:pt>
                <c:pt idx="1">
                  <c:v>3.9057239057239061E-2</c:v>
                </c:pt>
                <c:pt idx="2">
                  <c:v>7.7226813590449972E-2</c:v>
                </c:pt>
                <c:pt idx="3">
                  <c:v>0.11450872359963271</c:v>
                </c:pt>
                <c:pt idx="4">
                  <c:v>0.15090296908478729</c:v>
                </c:pt>
                <c:pt idx="5">
                  <c:v>0.1864095500459137</c:v>
                </c:pt>
                <c:pt idx="6">
                  <c:v>0.22102846648301197</c:v>
                </c:pt>
                <c:pt idx="7">
                  <c:v>0.25475971839608202</c:v>
                </c:pt>
                <c:pt idx="8">
                  <c:v>0.287603305785124</c:v>
                </c:pt>
                <c:pt idx="9">
                  <c:v>0.31955922865013781</c:v>
                </c:pt>
                <c:pt idx="10">
                  <c:v>0.35062748699112339</c:v>
                </c:pt>
                <c:pt idx="11">
                  <c:v>0.38080808080808087</c:v>
                </c:pt>
                <c:pt idx="12">
                  <c:v>0.41010101010101013</c:v>
                </c:pt>
                <c:pt idx="13">
                  <c:v>0.43850627486991128</c:v>
                </c:pt>
                <c:pt idx="14">
                  <c:v>0.46602387511478421</c:v>
                </c:pt>
                <c:pt idx="15">
                  <c:v>0.49265381083562904</c:v>
                </c:pt>
                <c:pt idx="16">
                  <c:v>0.5183960820324458</c:v>
                </c:pt>
                <c:pt idx="17">
                  <c:v>0.54325068870523419</c:v>
                </c:pt>
                <c:pt idx="18">
                  <c:v>0.56721763085399457</c:v>
                </c:pt>
                <c:pt idx="19">
                  <c:v>0.59029690847872673</c:v>
                </c:pt>
                <c:pt idx="20">
                  <c:v>0.61248852157943079</c:v>
                </c:pt>
                <c:pt idx="21">
                  <c:v>0.63379247015610662</c:v>
                </c:pt>
                <c:pt idx="22">
                  <c:v>0.65420875420875435</c:v>
                </c:pt>
                <c:pt idx="23">
                  <c:v>0.67373737373737375</c:v>
                </c:pt>
                <c:pt idx="24">
                  <c:v>0.69237832874196514</c:v>
                </c:pt>
                <c:pt idx="25">
                  <c:v>0.71013161922252843</c:v>
                </c:pt>
                <c:pt idx="26">
                  <c:v>0.7269972451790635</c:v>
                </c:pt>
                <c:pt idx="27">
                  <c:v>0.74297520661157035</c:v>
                </c:pt>
                <c:pt idx="28">
                  <c:v>0.75806550352004909</c:v>
                </c:pt>
                <c:pt idx="29">
                  <c:v>0.77226813590449972</c:v>
                </c:pt>
                <c:pt idx="30">
                  <c:v>0.78558310376492191</c:v>
                </c:pt>
                <c:pt idx="31">
                  <c:v>0.79801040710131621</c:v>
                </c:pt>
                <c:pt idx="32">
                  <c:v>0.8095500459136824</c:v>
                </c:pt>
                <c:pt idx="33">
                  <c:v>0.82020202020202027</c:v>
                </c:pt>
                <c:pt idx="34">
                  <c:v>0.82996632996633002</c:v>
                </c:pt>
                <c:pt idx="35">
                  <c:v>0.83884297520661166</c:v>
                </c:pt>
                <c:pt idx="36">
                  <c:v>0.8468319559228652</c:v>
                </c:pt>
                <c:pt idx="37">
                  <c:v>0.8539332721150904</c:v>
                </c:pt>
                <c:pt idx="38">
                  <c:v>0.8601469237832875</c:v>
                </c:pt>
                <c:pt idx="39">
                  <c:v>0.86547291092745648</c:v>
                </c:pt>
                <c:pt idx="40">
                  <c:v>0.86991123354759725</c:v>
                </c:pt>
                <c:pt idx="41">
                  <c:v>0.87346189164370991</c:v>
                </c:pt>
                <c:pt idx="42">
                  <c:v>0.87612488521579435</c:v>
                </c:pt>
                <c:pt idx="43">
                  <c:v>0.87790021426385079</c:v>
                </c:pt>
                <c:pt idx="44">
                  <c:v>0.8787878787878789</c:v>
                </c:pt>
                <c:pt idx="45">
                  <c:v>0.8787878787878789</c:v>
                </c:pt>
              </c:numCache>
            </c:numRef>
          </c:val>
          <c:extLst>
            <c:ext xmlns:c16="http://schemas.microsoft.com/office/drawing/2014/chart" uri="{C3380CC4-5D6E-409C-BE32-E72D297353CC}">
              <c16:uniqueId val="{0000001D-6E82-4273-87B1-1CC09D173F3C}"/>
            </c:ext>
          </c:extLst>
        </c:ser>
        <c:ser>
          <c:idx val="30"/>
          <c:order val="30"/>
          <c:tx>
            <c:strRef>
              <c:f>'Ej. 3'!$P$39</c:f>
              <c:strCache>
                <c:ptCount val="1"/>
                <c:pt idx="0">
                  <c:v>30</c:v>
                </c:pt>
              </c:strCache>
            </c:strRef>
          </c:tx>
          <c:spPr>
            <a:ln w="9525" cap="rnd">
              <a:solidFill>
                <a:schemeClr val="accent6">
                  <a:tint val="80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3'!$Q$39:$BJ$39</c:f>
              <c:numCache>
                <c:formatCode>0.00%</c:formatCode>
                <c:ptCount val="46"/>
                <c:pt idx="0">
                  <c:v>0</c:v>
                </c:pt>
                <c:pt idx="1">
                  <c:v>3.9730639730639727E-2</c:v>
                </c:pt>
                <c:pt idx="2">
                  <c:v>7.8558310376492191E-2</c:v>
                </c:pt>
                <c:pt idx="3">
                  <c:v>0.11648301193755738</c:v>
                </c:pt>
                <c:pt idx="4">
                  <c:v>0.1535047444138353</c:v>
                </c:pt>
                <c:pt idx="5">
                  <c:v>0.18962350780532594</c:v>
                </c:pt>
                <c:pt idx="6">
                  <c:v>0.22483930211202935</c:v>
                </c:pt>
                <c:pt idx="7">
                  <c:v>0.25915212733394544</c:v>
                </c:pt>
                <c:pt idx="8">
                  <c:v>0.29256198347107432</c:v>
                </c:pt>
                <c:pt idx="9">
                  <c:v>0.32506887052341593</c:v>
                </c:pt>
                <c:pt idx="10">
                  <c:v>0.35667278849097028</c:v>
                </c:pt>
                <c:pt idx="11">
                  <c:v>0.38737373737373731</c:v>
                </c:pt>
                <c:pt idx="12">
                  <c:v>0.41717171717171714</c:v>
                </c:pt>
                <c:pt idx="13">
                  <c:v>0.44606672788490964</c:v>
                </c:pt>
                <c:pt idx="14">
                  <c:v>0.47405876951331488</c:v>
                </c:pt>
                <c:pt idx="15">
                  <c:v>0.50114784205693286</c:v>
                </c:pt>
                <c:pt idx="16">
                  <c:v>0.52733394551576362</c:v>
                </c:pt>
                <c:pt idx="17">
                  <c:v>0.55261707988980702</c:v>
                </c:pt>
                <c:pt idx="18">
                  <c:v>0.57699724517906337</c:v>
                </c:pt>
                <c:pt idx="19">
                  <c:v>0.60047444138353223</c:v>
                </c:pt>
                <c:pt idx="20">
                  <c:v>0.62304866850321394</c:v>
                </c:pt>
                <c:pt idx="21">
                  <c:v>0.64471992653810828</c:v>
                </c:pt>
                <c:pt idx="22">
                  <c:v>0.66548821548821546</c:v>
                </c:pt>
                <c:pt idx="23">
                  <c:v>0.68535353535353516</c:v>
                </c:pt>
                <c:pt idx="24">
                  <c:v>0.70431588613406781</c:v>
                </c:pt>
                <c:pt idx="25">
                  <c:v>0.72237526782981332</c:v>
                </c:pt>
                <c:pt idx="26">
                  <c:v>0.73953168044077122</c:v>
                </c:pt>
                <c:pt idx="27">
                  <c:v>0.75578512396694209</c:v>
                </c:pt>
                <c:pt idx="28">
                  <c:v>0.77113559840832557</c:v>
                </c:pt>
                <c:pt idx="29">
                  <c:v>0.78558310376492191</c:v>
                </c:pt>
                <c:pt idx="30">
                  <c:v>0.79912764003673076</c:v>
                </c:pt>
                <c:pt idx="31">
                  <c:v>0.81176920722375256</c:v>
                </c:pt>
                <c:pt idx="32">
                  <c:v>0.82350780532598711</c:v>
                </c:pt>
                <c:pt idx="33">
                  <c:v>0.83434343434343428</c:v>
                </c:pt>
                <c:pt idx="34">
                  <c:v>0.84427609427609418</c:v>
                </c:pt>
                <c:pt idx="35">
                  <c:v>0.85330578512396682</c:v>
                </c:pt>
                <c:pt idx="36">
                  <c:v>0.86143250688705231</c:v>
                </c:pt>
                <c:pt idx="37">
                  <c:v>0.86865625956535042</c:v>
                </c:pt>
                <c:pt idx="38">
                  <c:v>0.87497704315886116</c:v>
                </c:pt>
                <c:pt idx="39">
                  <c:v>0.88039485766758485</c:v>
                </c:pt>
                <c:pt idx="40">
                  <c:v>0.88490970309152106</c:v>
                </c:pt>
                <c:pt idx="41">
                  <c:v>0.88852157943067023</c:v>
                </c:pt>
                <c:pt idx="42">
                  <c:v>0.89123048668503202</c:v>
                </c:pt>
                <c:pt idx="43">
                  <c:v>0.89303642485460666</c:v>
                </c:pt>
                <c:pt idx="44">
                  <c:v>0.89393939393939381</c:v>
                </c:pt>
                <c:pt idx="45">
                  <c:v>0.89393939393939381</c:v>
                </c:pt>
              </c:numCache>
            </c:numRef>
          </c:val>
          <c:extLst>
            <c:ext xmlns:c16="http://schemas.microsoft.com/office/drawing/2014/chart" uri="{C3380CC4-5D6E-409C-BE32-E72D297353CC}">
              <c16:uniqueId val="{0000001E-6E82-4273-87B1-1CC09D173F3C}"/>
            </c:ext>
          </c:extLst>
        </c:ser>
        <c:ser>
          <c:idx val="31"/>
          <c:order val="31"/>
          <c:tx>
            <c:strRef>
              <c:f>'Ej. 3'!$P$40</c:f>
              <c:strCache>
                <c:ptCount val="1"/>
                <c:pt idx="0">
                  <c:v>31</c:v>
                </c:pt>
              </c:strCache>
            </c:strRef>
          </c:tx>
          <c:spPr>
            <a:ln w="9525" cap="rnd">
              <a:solidFill>
                <a:schemeClr val="accent6">
                  <a:tint val="77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3'!$Q$40:$BJ$40</c:f>
              <c:numCache>
                <c:formatCode>0.00%</c:formatCode>
                <c:ptCount val="46"/>
                <c:pt idx="0">
                  <c:v>0</c:v>
                </c:pt>
                <c:pt idx="1">
                  <c:v>4.0359147025813689E-2</c:v>
                </c:pt>
                <c:pt idx="2">
                  <c:v>7.9801040710131624E-2</c:v>
                </c:pt>
                <c:pt idx="3">
                  <c:v>0.11832568105295378</c:v>
                </c:pt>
                <c:pt idx="4">
                  <c:v>0.15593306805428017</c:v>
                </c:pt>
                <c:pt idx="5">
                  <c:v>0.19262320171411076</c:v>
                </c:pt>
                <c:pt idx="6">
                  <c:v>0.22839608203244566</c:v>
                </c:pt>
                <c:pt idx="7">
                  <c:v>0.26325170900928474</c:v>
                </c:pt>
                <c:pt idx="8">
                  <c:v>0.2971900826446281</c:v>
                </c:pt>
                <c:pt idx="9">
                  <c:v>0.33021120293847567</c:v>
                </c:pt>
                <c:pt idx="10">
                  <c:v>0.36231506989082746</c:v>
                </c:pt>
                <c:pt idx="11">
                  <c:v>0.39350168350168352</c:v>
                </c:pt>
                <c:pt idx="12">
                  <c:v>0.42377104377104374</c:v>
                </c:pt>
                <c:pt idx="13">
                  <c:v>0.45312315069890824</c:v>
                </c:pt>
                <c:pt idx="14">
                  <c:v>0.48155800428527695</c:v>
                </c:pt>
                <c:pt idx="15">
                  <c:v>0.50907560453014988</c:v>
                </c:pt>
                <c:pt idx="16">
                  <c:v>0.5356759514335272</c:v>
                </c:pt>
                <c:pt idx="17">
                  <c:v>0.56135904499540856</c:v>
                </c:pt>
                <c:pt idx="18">
                  <c:v>0.58612488521579431</c:v>
                </c:pt>
                <c:pt idx="19">
                  <c:v>0.60997347209468422</c:v>
                </c:pt>
                <c:pt idx="20">
                  <c:v>0.6329048056320784</c:v>
                </c:pt>
                <c:pt idx="21">
                  <c:v>0.65491888582797675</c:v>
                </c:pt>
                <c:pt idx="22">
                  <c:v>0.67601571268237937</c:v>
                </c:pt>
                <c:pt idx="23">
                  <c:v>0.69619528619528614</c:v>
                </c:pt>
                <c:pt idx="24">
                  <c:v>0.7154576063666972</c:v>
                </c:pt>
                <c:pt idx="25">
                  <c:v>0.73380267319661263</c:v>
                </c:pt>
                <c:pt idx="26">
                  <c:v>0.75123048668503212</c:v>
                </c:pt>
                <c:pt idx="27">
                  <c:v>0.76774104683195588</c:v>
                </c:pt>
                <c:pt idx="28">
                  <c:v>0.78333435363738391</c:v>
                </c:pt>
                <c:pt idx="29">
                  <c:v>0.79801040710131621</c:v>
                </c:pt>
                <c:pt idx="30">
                  <c:v>0.81176920722375256</c:v>
                </c:pt>
                <c:pt idx="31">
                  <c:v>0.8246107540046933</c:v>
                </c:pt>
                <c:pt idx="32">
                  <c:v>0.83653504744413831</c:v>
                </c:pt>
                <c:pt idx="33">
                  <c:v>0.84754208754208749</c:v>
                </c:pt>
                <c:pt idx="34">
                  <c:v>0.85763187429854093</c:v>
                </c:pt>
                <c:pt idx="35">
                  <c:v>0.86680440771349865</c:v>
                </c:pt>
                <c:pt idx="36">
                  <c:v>0.87505968778696053</c:v>
                </c:pt>
                <c:pt idx="37">
                  <c:v>0.88239771451892668</c:v>
                </c:pt>
                <c:pt idx="38">
                  <c:v>0.88881848790939699</c:v>
                </c:pt>
                <c:pt idx="39">
                  <c:v>0.89432200795837158</c:v>
                </c:pt>
                <c:pt idx="40">
                  <c:v>0.89890827466585033</c:v>
                </c:pt>
                <c:pt idx="41">
                  <c:v>0.90257728803183346</c:v>
                </c:pt>
                <c:pt idx="42">
                  <c:v>0.90532904805632075</c:v>
                </c:pt>
                <c:pt idx="43">
                  <c:v>0.90716355473931243</c:v>
                </c:pt>
                <c:pt idx="44">
                  <c:v>0.90808080808080804</c:v>
                </c:pt>
                <c:pt idx="45">
                  <c:v>0.90808080808080804</c:v>
                </c:pt>
              </c:numCache>
            </c:numRef>
          </c:val>
          <c:extLst>
            <c:ext xmlns:c16="http://schemas.microsoft.com/office/drawing/2014/chart" uri="{C3380CC4-5D6E-409C-BE32-E72D297353CC}">
              <c16:uniqueId val="{0000001F-6E82-4273-87B1-1CC09D173F3C}"/>
            </c:ext>
          </c:extLst>
        </c:ser>
        <c:ser>
          <c:idx val="32"/>
          <c:order val="32"/>
          <c:tx>
            <c:strRef>
              <c:f>'Ej. 3'!$P$41</c:f>
              <c:strCache>
                <c:ptCount val="1"/>
                <c:pt idx="0">
                  <c:v>32</c:v>
                </c:pt>
              </c:strCache>
            </c:strRef>
          </c:tx>
          <c:spPr>
            <a:ln w="9525" cap="rnd">
              <a:solidFill>
                <a:schemeClr val="accent6">
                  <a:tint val="74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3'!$Q$41:$BJ$41</c:f>
              <c:numCache>
                <c:formatCode>0.00%</c:formatCode>
                <c:ptCount val="46"/>
                <c:pt idx="0">
                  <c:v>0</c:v>
                </c:pt>
                <c:pt idx="1">
                  <c:v>4.0942760942760947E-2</c:v>
                </c:pt>
                <c:pt idx="2">
                  <c:v>8.0955004591368243E-2</c:v>
                </c:pt>
                <c:pt idx="3">
                  <c:v>0.12003673094582187</c:v>
                </c:pt>
                <c:pt idx="4">
                  <c:v>0.15818794000612182</c:v>
                </c:pt>
                <c:pt idx="5">
                  <c:v>0.19540863177226814</c:v>
                </c:pt>
                <c:pt idx="6">
                  <c:v>0.23169880624426081</c:v>
                </c:pt>
                <c:pt idx="7">
                  <c:v>0.26705846342209977</c:v>
                </c:pt>
                <c:pt idx="8">
                  <c:v>0.30148760330578511</c:v>
                </c:pt>
                <c:pt idx="9">
                  <c:v>0.33498622589531685</c:v>
                </c:pt>
                <c:pt idx="10">
                  <c:v>0.36755433119069486</c:v>
                </c:pt>
                <c:pt idx="11">
                  <c:v>0.39919191919191921</c:v>
                </c:pt>
                <c:pt idx="12">
                  <c:v>0.42989898989898995</c:v>
                </c:pt>
                <c:pt idx="13">
                  <c:v>0.45967554331190696</c:v>
                </c:pt>
                <c:pt idx="14">
                  <c:v>0.48852157943067032</c:v>
                </c:pt>
                <c:pt idx="15">
                  <c:v>0.51643709825528006</c:v>
                </c:pt>
                <c:pt idx="16">
                  <c:v>0.54342209978573619</c:v>
                </c:pt>
                <c:pt idx="17">
                  <c:v>0.5694765840220386</c:v>
                </c:pt>
                <c:pt idx="18">
                  <c:v>0.5946005509641874</c:v>
                </c:pt>
                <c:pt idx="19">
                  <c:v>0.61879400061218248</c:v>
                </c:pt>
                <c:pt idx="20">
                  <c:v>0.64205693296602395</c:v>
                </c:pt>
                <c:pt idx="21">
                  <c:v>0.6643893480257117</c:v>
                </c:pt>
                <c:pt idx="22">
                  <c:v>0.68579124579124584</c:v>
                </c:pt>
                <c:pt idx="23">
                  <c:v>0.70626262626262626</c:v>
                </c:pt>
                <c:pt idx="24">
                  <c:v>0.72580348943985307</c:v>
                </c:pt>
                <c:pt idx="25">
                  <c:v>0.74441383532292638</c:v>
                </c:pt>
                <c:pt idx="26">
                  <c:v>0.76209366391184574</c:v>
                </c:pt>
                <c:pt idx="27">
                  <c:v>0.77884297520661161</c:v>
                </c:pt>
                <c:pt idx="28">
                  <c:v>0.79466176920722376</c:v>
                </c:pt>
                <c:pt idx="29">
                  <c:v>0.8095500459136824</c:v>
                </c:pt>
                <c:pt idx="30">
                  <c:v>0.82350780532598711</c:v>
                </c:pt>
                <c:pt idx="31">
                  <c:v>0.83653504744413831</c:v>
                </c:pt>
                <c:pt idx="32">
                  <c:v>0.84863177226813602</c:v>
                </c:pt>
                <c:pt idx="33">
                  <c:v>0.85979797979797989</c:v>
                </c:pt>
                <c:pt idx="34">
                  <c:v>0.87003367003367005</c:v>
                </c:pt>
                <c:pt idx="35">
                  <c:v>0.8793388429752067</c:v>
                </c:pt>
                <c:pt idx="36">
                  <c:v>0.88771349862258964</c:v>
                </c:pt>
                <c:pt idx="37">
                  <c:v>0.89515763697581885</c:v>
                </c:pt>
                <c:pt idx="38">
                  <c:v>0.90167125803489445</c:v>
                </c:pt>
                <c:pt idx="39">
                  <c:v>0.90725436179981644</c:v>
                </c:pt>
                <c:pt idx="40">
                  <c:v>0.91190694827058461</c:v>
                </c:pt>
                <c:pt idx="41">
                  <c:v>0.91562901744719927</c:v>
                </c:pt>
                <c:pt idx="42">
                  <c:v>0.91842056932966032</c:v>
                </c:pt>
                <c:pt idx="43">
                  <c:v>0.92028160391796765</c:v>
                </c:pt>
                <c:pt idx="44">
                  <c:v>0.92121212121212126</c:v>
                </c:pt>
                <c:pt idx="45">
                  <c:v>0.92121212121212126</c:v>
                </c:pt>
              </c:numCache>
            </c:numRef>
          </c:val>
          <c:extLst>
            <c:ext xmlns:c16="http://schemas.microsoft.com/office/drawing/2014/chart" uri="{C3380CC4-5D6E-409C-BE32-E72D297353CC}">
              <c16:uniqueId val="{00000020-6E82-4273-87B1-1CC09D173F3C}"/>
            </c:ext>
          </c:extLst>
        </c:ser>
        <c:ser>
          <c:idx val="33"/>
          <c:order val="33"/>
          <c:tx>
            <c:strRef>
              <c:f>'Ej. 3'!$P$42</c:f>
              <c:strCache>
                <c:ptCount val="1"/>
                <c:pt idx="0">
                  <c:v>33</c:v>
                </c:pt>
              </c:strCache>
            </c:strRef>
          </c:tx>
          <c:spPr>
            <a:ln w="9525" cap="rnd">
              <a:solidFill>
                <a:schemeClr val="accent6">
                  <a:tint val="71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3'!$Q$42:$BJ$42</c:f>
              <c:numCache>
                <c:formatCode>0.00%</c:formatCode>
                <c:ptCount val="46"/>
                <c:pt idx="0">
                  <c:v>0</c:v>
                </c:pt>
                <c:pt idx="1">
                  <c:v>4.148148148148148E-2</c:v>
                </c:pt>
                <c:pt idx="2">
                  <c:v>8.2020202020202035E-2</c:v>
                </c:pt>
                <c:pt idx="3">
                  <c:v>0.12161616161616162</c:v>
                </c:pt>
                <c:pt idx="4">
                  <c:v>0.16026936026936026</c:v>
                </c:pt>
                <c:pt idx="5">
                  <c:v>0.19797979797979795</c:v>
                </c:pt>
                <c:pt idx="6">
                  <c:v>0.23474747474747476</c:v>
                </c:pt>
                <c:pt idx="7">
                  <c:v>0.27057239057239058</c:v>
                </c:pt>
                <c:pt idx="8">
                  <c:v>0.30545454545454548</c:v>
                </c:pt>
                <c:pt idx="9">
                  <c:v>0.33939393939393941</c:v>
                </c:pt>
                <c:pt idx="10">
                  <c:v>0.37239057239057244</c:v>
                </c:pt>
                <c:pt idx="11">
                  <c:v>0.40444444444444444</c:v>
                </c:pt>
                <c:pt idx="12">
                  <c:v>0.43555555555555558</c:v>
                </c:pt>
                <c:pt idx="13">
                  <c:v>0.46572390572390571</c:v>
                </c:pt>
                <c:pt idx="14">
                  <c:v>0.49494949494949492</c:v>
                </c:pt>
                <c:pt idx="15">
                  <c:v>0.52323232323232316</c:v>
                </c:pt>
                <c:pt idx="16">
                  <c:v>0.5505723905723906</c:v>
                </c:pt>
                <c:pt idx="17">
                  <c:v>0.57696969696969691</c:v>
                </c:pt>
                <c:pt idx="18">
                  <c:v>0.60242424242424253</c:v>
                </c:pt>
                <c:pt idx="19">
                  <c:v>0.6269360269360269</c:v>
                </c:pt>
                <c:pt idx="20">
                  <c:v>0.65050505050505059</c:v>
                </c:pt>
                <c:pt idx="21">
                  <c:v>0.67313131313131314</c:v>
                </c:pt>
                <c:pt idx="22">
                  <c:v>0.69481481481481489</c:v>
                </c:pt>
                <c:pt idx="23">
                  <c:v>0.7155555555555555</c:v>
                </c:pt>
                <c:pt idx="24">
                  <c:v>0.73535353535353531</c:v>
                </c:pt>
                <c:pt idx="25">
                  <c:v>0.75420875420875433</c:v>
                </c:pt>
                <c:pt idx="26">
                  <c:v>0.7721212121212121</c:v>
                </c:pt>
                <c:pt idx="27">
                  <c:v>0.78909090909090907</c:v>
                </c:pt>
                <c:pt idx="28">
                  <c:v>0.80511784511784512</c:v>
                </c:pt>
                <c:pt idx="29">
                  <c:v>0.82020202020202027</c:v>
                </c:pt>
                <c:pt idx="30">
                  <c:v>0.83434343434343428</c:v>
                </c:pt>
                <c:pt idx="31">
                  <c:v>0.84754208754208749</c:v>
                </c:pt>
                <c:pt idx="32">
                  <c:v>0.85979797979797989</c:v>
                </c:pt>
                <c:pt idx="33">
                  <c:v>0.87111111111111117</c:v>
                </c:pt>
                <c:pt idx="34">
                  <c:v>0.88148148148148142</c:v>
                </c:pt>
                <c:pt idx="35">
                  <c:v>0.89090909090909098</c:v>
                </c:pt>
                <c:pt idx="36">
                  <c:v>0.89939393939393952</c:v>
                </c:pt>
                <c:pt idx="37">
                  <c:v>0.90693602693602704</c:v>
                </c:pt>
                <c:pt idx="38">
                  <c:v>0.91353535353535353</c:v>
                </c:pt>
                <c:pt idx="39">
                  <c:v>0.91919191919191923</c:v>
                </c:pt>
                <c:pt idx="40">
                  <c:v>0.9239057239057239</c:v>
                </c:pt>
                <c:pt idx="41">
                  <c:v>0.92767676767676766</c:v>
                </c:pt>
                <c:pt idx="42">
                  <c:v>0.9305050505050505</c:v>
                </c:pt>
                <c:pt idx="43">
                  <c:v>0.93239057239057255</c:v>
                </c:pt>
                <c:pt idx="44">
                  <c:v>0.93333333333333335</c:v>
                </c:pt>
                <c:pt idx="45">
                  <c:v>0.93333333333333335</c:v>
                </c:pt>
              </c:numCache>
            </c:numRef>
          </c:val>
          <c:extLst>
            <c:ext xmlns:c16="http://schemas.microsoft.com/office/drawing/2014/chart" uri="{C3380CC4-5D6E-409C-BE32-E72D297353CC}">
              <c16:uniqueId val="{00000021-6E82-4273-87B1-1CC09D173F3C}"/>
            </c:ext>
          </c:extLst>
        </c:ser>
        <c:ser>
          <c:idx val="34"/>
          <c:order val="34"/>
          <c:tx>
            <c:strRef>
              <c:f>'Ej. 3'!$P$43</c:f>
              <c:strCache>
                <c:ptCount val="1"/>
                <c:pt idx="0">
                  <c:v>34</c:v>
                </c:pt>
              </c:strCache>
            </c:strRef>
          </c:tx>
          <c:spPr>
            <a:ln w="9525" cap="rnd">
              <a:solidFill>
                <a:schemeClr val="accent6">
                  <a:tint val="68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3'!$Q$43:$BJ$43</c:f>
              <c:numCache>
                <c:formatCode>0.00%</c:formatCode>
                <c:ptCount val="46"/>
                <c:pt idx="0">
                  <c:v>0</c:v>
                </c:pt>
                <c:pt idx="1">
                  <c:v>4.1975308641975309E-2</c:v>
                </c:pt>
                <c:pt idx="2">
                  <c:v>8.2996632996632999E-2</c:v>
                </c:pt>
                <c:pt idx="3">
                  <c:v>0.12306397306397307</c:v>
                </c:pt>
                <c:pt idx="4">
                  <c:v>0.16217732884399549</c:v>
                </c:pt>
                <c:pt idx="5">
                  <c:v>0.20033670033670031</c:v>
                </c:pt>
                <c:pt idx="6">
                  <c:v>0.23754208754208755</c:v>
                </c:pt>
                <c:pt idx="7">
                  <c:v>0.27379349046015711</c:v>
                </c:pt>
                <c:pt idx="8">
                  <c:v>0.30909090909090908</c:v>
                </c:pt>
                <c:pt idx="9">
                  <c:v>0.34343434343434343</c:v>
                </c:pt>
                <c:pt idx="10">
                  <c:v>0.37682379349046013</c:v>
                </c:pt>
                <c:pt idx="11">
                  <c:v>0.40925925925925927</c:v>
                </c:pt>
                <c:pt idx="12">
                  <c:v>0.44074074074074071</c:v>
                </c:pt>
                <c:pt idx="13">
                  <c:v>0.47126823793490458</c:v>
                </c:pt>
                <c:pt idx="14">
                  <c:v>0.50084175084175075</c:v>
                </c:pt>
                <c:pt idx="15">
                  <c:v>0.52946127946127941</c:v>
                </c:pt>
                <c:pt idx="16">
                  <c:v>0.55712682379349043</c:v>
                </c:pt>
                <c:pt idx="17">
                  <c:v>0.58383838383838382</c:v>
                </c:pt>
                <c:pt idx="18">
                  <c:v>0.60959595959595958</c:v>
                </c:pt>
                <c:pt idx="19">
                  <c:v>0.6343995510662177</c:v>
                </c:pt>
                <c:pt idx="20">
                  <c:v>0.65824915824915831</c:v>
                </c:pt>
                <c:pt idx="21">
                  <c:v>0.68114478114478116</c:v>
                </c:pt>
                <c:pt idx="22">
                  <c:v>0.70308641975308639</c:v>
                </c:pt>
                <c:pt idx="23">
                  <c:v>0.72407407407407398</c:v>
                </c:pt>
                <c:pt idx="24">
                  <c:v>0.74410774410774405</c:v>
                </c:pt>
                <c:pt idx="25">
                  <c:v>0.7631874298540966</c:v>
                </c:pt>
                <c:pt idx="26">
                  <c:v>0.78131313131313129</c:v>
                </c:pt>
                <c:pt idx="27">
                  <c:v>0.79848484848484846</c:v>
                </c:pt>
                <c:pt idx="28">
                  <c:v>0.814702581369248</c:v>
                </c:pt>
                <c:pt idx="29">
                  <c:v>0.82996632996633002</c:v>
                </c:pt>
                <c:pt idx="30">
                  <c:v>0.84427609427609418</c:v>
                </c:pt>
                <c:pt idx="31">
                  <c:v>0.85763187429854093</c:v>
                </c:pt>
                <c:pt idx="32">
                  <c:v>0.87003367003367005</c:v>
                </c:pt>
                <c:pt idx="33">
                  <c:v>0.88148148148148142</c:v>
                </c:pt>
                <c:pt idx="34">
                  <c:v>0.89197530864197527</c:v>
                </c:pt>
                <c:pt idx="35">
                  <c:v>0.90151515151515149</c:v>
                </c:pt>
                <c:pt idx="36">
                  <c:v>0.91010101010101019</c:v>
                </c:pt>
                <c:pt idx="37">
                  <c:v>0.91773288439955103</c:v>
                </c:pt>
                <c:pt idx="38">
                  <c:v>0.92441077441077435</c:v>
                </c:pt>
                <c:pt idx="39">
                  <c:v>0.93013468013468015</c:v>
                </c:pt>
                <c:pt idx="40">
                  <c:v>0.9349046015712682</c:v>
                </c:pt>
                <c:pt idx="41">
                  <c:v>0.93872053872053862</c:v>
                </c:pt>
                <c:pt idx="42">
                  <c:v>0.94158249158249152</c:v>
                </c:pt>
                <c:pt idx="43">
                  <c:v>0.9434904601571269</c:v>
                </c:pt>
                <c:pt idx="44">
                  <c:v>0.94444444444444442</c:v>
                </c:pt>
                <c:pt idx="45">
                  <c:v>0.94444444444444442</c:v>
                </c:pt>
              </c:numCache>
            </c:numRef>
          </c:val>
          <c:extLst>
            <c:ext xmlns:c16="http://schemas.microsoft.com/office/drawing/2014/chart" uri="{C3380CC4-5D6E-409C-BE32-E72D297353CC}">
              <c16:uniqueId val="{00000022-6E82-4273-87B1-1CC09D173F3C}"/>
            </c:ext>
          </c:extLst>
        </c:ser>
        <c:ser>
          <c:idx val="35"/>
          <c:order val="35"/>
          <c:tx>
            <c:strRef>
              <c:f>'Ej. 3'!$P$44</c:f>
              <c:strCache>
                <c:ptCount val="1"/>
                <c:pt idx="0">
                  <c:v>35</c:v>
                </c:pt>
              </c:strCache>
            </c:strRef>
          </c:tx>
          <c:spPr>
            <a:ln w="9525" cap="rnd">
              <a:solidFill>
                <a:schemeClr val="accent6">
                  <a:tint val="65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3'!$Q$44:$BJ$44</c:f>
              <c:numCache>
                <c:formatCode>0.00%</c:formatCode>
                <c:ptCount val="46"/>
                <c:pt idx="0">
                  <c:v>0</c:v>
                </c:pt>
                <c:pt idx="1">
                  <c:v>4.2424242424242427E-2</c:v>
                </c:pt>
                <c:pt idx="2">
                  <c:v>8.3884297520661177E-2</c:v>
                </c:pt>
                <c:pt idx="3">
                  <c:v>0.1243801652892562</c:v>
                </c:pt>
                <c:pt idx="4">
                  <c:v>0.16391184573002754</c:v>
                </c:pt>
                <c:pt idx="5">
                  <c:v>0.2024793388429752</c:v>
                </c:pt>
                <c:pt idx="6">
                  <c:v>0.2400826446280992</c:v>
                </c:pt>
                <c:pt idx="7">
                  <c:v>0.27672176308539942</c:v>
                </c:pt>
                <c:pt idx="8">
                  <c:v>0.31239669421487604</c:v>
                </c:pt>
                <c:pt idx="9">
                  <c:v>0.34710743801652894</c:v>
                </c:pt>
                <c:pt idx="10">
                  <c:v>0.38085399449035817</c:v>
                </c:pt>
                <c:pt idx="11">
                  <c:v>0.41363636363636369</c:v>
                </c:pt>
                <c:pt idx="12">
                  <c:v>0.44545454545454549</c:v>
                </c:pt>
                <c:pt idx="13">
                  <c:v>0.47630853994490358</c:v>
                </c:pt>
                <c:pt idx="14">
                  <c:v>0.50619834710743805</c:v>
                </c:pt>
                <c:pt idx="15">
                  <c:v>0.5351239669421487</c:v>
                </c:pt>
                <c:pt idx="16">
                  <c:v>0.56308539944903591</c:v>
                </c:pt>
                <c:pt idx="17">
                  <c:v>0.59008264462809923</c:v>
                </c:pt>
                <c:pt idx="18">
                  <c:v>0.61611570247933889</c:v>
                </c:pt>
                <c:pt idx="19">
                  <c:v>0.64118457300275489</c:v>
                </c:pt>
                <c:pt idx="20">
                  <c:v>0.66528925619834722</c:v>
                </c:pt>
                <c:pt idx="21">
                  <c:v>0.68842975206611567</c:v>
                </c:pt>
                <c:pt idx="22">
                  <c:v>0.71060606060606069</c:v>
                </c:pt>
                <c:pt idx="23">
                  <c:v>0.73181818181818181</c:v>
                </c:pt>
                <c:pt idx="24">
                  <c:v>0.75206611570247939</c:v>
                </c:pt>
                <c:pt idx="25">
                  <c:v>0.7713498622589533</c:v>
                </c:pt>
                <c:pt idx="26">
                  <c:v>0.78966942148760333</c:v>
                </c:pt>
                <c:pt idx="27">
                  <c:v>0.80702479338842981</c:v>
                </c:pt>
                <c:pt idx="28">
                  <c:v>0.82341597796143251</c:v>
                </c:pt>
                <c:pt idx="29">
                  <c:v>0.83884297520661166</c:v>
                </c:pt>
                <c:pt idx="30">
                  <c:v>0.85330578512396682</c:v>
                </c:pt>
                <c:pt idx="31">
                  <c:v>0.86680440771349865</c:v>
                </c:pt>
                <c:pt idx="32">
                  <c:v>0.8793388429752067</c:v>
                </c:pt>
                <c:pt idx="33">
                  <c:v>0.89090909090909098</c:v>
                </c:pt>
                <c:pt idx="34">
                  <c:v>0.90151515151515149</c:v>
                </c:pt>
                <c:pt idx="35">
                  <c:v>0.91115702479338856</c:v>
                </c:pt>
                <c:pt idx="36">
                  <c:v>0.91983471074380174</c:v>
                </c:pt>
                <c:pt idx="37">
                  <c:v>0.92754820936639126</c:v>
                </c:pt>
                <c:pt idx="38">
                  <c:v>0.93429752066115701</c:v>
                </c:pt>
                <c:pt idx="39">
                  <c:v>0.94008264462809921</c:v>
                </c:pt>
                <c:pt idx="40">
                  <c:v>0.94490358126721763</c:v>
                </c:pt>
                <c:pt idx="41">
                  <c:v>0.94876033057851239</c:v>
                </c:pt>
                <c:pt idx="42">
                  <c:v>0.95165289256198349</c:v>
                </c:pt>
                <c:pt idx="43">
                  <c:v>0.95358126721763103</c:v>
                </c:pt>
                <c:pt idx="44">
                  <c:v>0.95454545454545459</c:v>
                </c:pt>
                <c:pt idx="45">
                  <c:v>0.95454545454545459</c:v>
                </c:pt>
              </c:numCache>
            </c:numRef>
          </c:val>
          <c:extLst>
            <c:ext xmlns:c16="http://schemas.microsoft.com/office/drawing/2014/chart" uri="{C3380CC4-5D6E-409C-BE32-E72D297353CC}">
              <c16:uniqueId val="{00000023-6E82-4273-87B1-1CC09D173F3C}"/>
            </c:ext>
          </c:extLst>
        </c:ser>
        <c:ser>
          <c:idx val="36"/>
          <c:order val="36"/>
          <c:tx>
            <c:strRef>
              <c:f>'Ej. 3'!$P$45</c:f>
              <c:strCache>
                <c:ptCount val="1"/>
                <c:pt idx="0">
                  <c:v>36</c:v>
                </c:pt>
              </c:strCache>
            </c:strRef>
          </c:tx>
          <c:spPr>
            <a:ln w="9525" cap="rnd">
              <a:solidFill>
                <a:schemeClr val="accent6">
                  <a:tint val="63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3'!$Q$45:$BJ$45</c:f>
              <c:numCache>
                <c:formatCode>0.00%</c:formatCode>
                <c:ptCount val="46"/>
                <c:pt idx="0">
                  <c:v>0</c:v>
                </c:pt>
                <c:pt idx="1">
                  <c:v>4.2828282828282833E-2</c:v>
                </c:pt>
                <c:pt idx="2">
                  <c:v>8.4683195592286514E-2</c:v>
                </c:pt>
                <c:pt idx="3">
                  <c:v>0.12556473829201104</c:v>
                </c:pt>
                <c:pt idx="4">
                  <c:v>0.16547291092745639</c:v>
                </c:pt>
                <c:pt idx="5">
                  <c:v>0.20440771349862258</c:v>
                </c:pt>
                <c:pt idx="6">
                  <c:v>0.24236914600550968</c:v>
                </c:pt>
                <c:pt idx="7">
                  <c:v>0.27935720844811757</c:v>
                </c:pt>
                <c:pt idx="8">
                  <c:v>0.31537190082644634</c:v>
                </c:pt>
                <c:pt idx="9">
                  <c:v>0.35041322314049589</c:v>
                </c:pt>
                <c:pt idx="10">
                  <c:v>0.38448117539026633</c:v>
                </c:pt>
                <c:pt idx="11">
                  <c:v>0.41757575757575766</c:v>
                </c:pt>
                <c:pt idx="12">
                  <c:v>0.44969696969696976</c:v>
                </c:pt>
                <c:pt idx="13">
                  <c:v>0.4808448117539027</c:v>
                </c:pt>
                <c:pt idx="14">
                  <c:v>0.51101928374655647</c:v>
                </c:pt>
                <c:pt idx="15">
                  <c:v>0.54022038567493114</c:v>
                </c:pt>
                <c:pt idx="16">
                  <c:v>0.56844811753902669</c:v>
                </c:pt>
                <c:pt idx="17">
                  <c:v>0.59570247933884302</c:v>
                </c:pt>
                <c:pt idx="18">
                  <c:v>0.62198347107438023</c:v>
                </c:pt>
                <c:pt idx="19">
                  <c:v>0.64729109274563823</c:v>
                </c:pt>
                <c:pt idx="20">
                  <c:v>0.67162534435261723</c:v>
                </c:pt>
                <c:pt idx="21">
                  <c:v>0.69498622589531689</c:v>
                </c:pt>
                <c:pt idx="22">
                  <c:v>0.71737373737373744</c:v>
                </c:pt>
                <c:pt idx="23">
                  <c:v>0.73878787878787877</c:v>
                </c:pt>
                <c:pt idx="24">
                  <c:v>0.7592286501377411</c:v>
                </c:pt>
                <c:pt idx="25">
                  <c:v>0.77869605142332432</c:v>
                </c:pt>
                <c:pt idx="26">
                  <c:v>0.79719008264462821</c:v>
                </c:pt>
                <c:pt idx="27">
                  <c:v>0.81471074380165298</c:v>
                </c:pt>
                <c:pt idx="28">
                  <c:v>0.83125803489439865</c:v>
                </c:pt>
                <c:pt idx="29">
                  <c:v>0.8468319559228652</c:v>
                </c:pt>
                <c:pt idx="30">
                  <c:v>0.86143250688705231</c:v>
                </c:pt>
                <c:pt idx="31">
                  <c:v>0.87505968778696053</c:v>
                </c:pt>
                <c:pt idx="32">
                  <c:v>0.88771349862258964</c:v>
                </c:pt>
                <c:pt idx="33">
                  <c:v>0.89939393939393952</c:v>
                </c:pt>
                <c:pt idx="34">
                  <c:v>0.91010101010101019</c:v>
                </c:pt>
                <c:pt idx="35">
                  <c:v>0.91983471074380174</c:v>
                </c:pt>
                <c:pt idx="36">
                  <c:v>0.92859504132231419</c:v>
                </c:pt>
                <c:pt idx="37">
                  <c:v>0.93638200183654741</c:v>
                </c:pt>
                <c:pt idx="38">
                  <c:v>0.94319559228650141</c:v>
                </c:pt>
                <c:pt idx="39">
                  <c:v>0.9490358126721764</c:v>
                </c:pt>
                <c:pt idx="40">
                  <c:v>0.95390266299357207</c:v>
                </c:pt>
                <c:pt idx="41">
                  <c:v>0.95779614325068874</c:v>
                </c:pt>
                <c:pt idx="42">
                  <c:v>0.96071625344352629</c:v>
                </c:pt>
                <c:pt idx="43">
                  <c:v>0.96266299357208474</c:v>
                </c:pt>
                <c:pt idx="44">
                  <c:v>0.96363636363636374</c:v>
                </c:pt>
                <c:pt idx="45">
                  <c:v>0.96363636363636374</c:v>
                </c:pt>
              </c:numCache>
            </c:numRef>
          </c:val>
          <c:extLst>
            <c:ext xmlns:c16="http://schemas.microsoft.com/office/drawing/2014/chart" uri="{C3380CC4-5D6E-409C-BE32-E72D297353CC}">
              <c16:uniqueId val="{00000024-6E82-4273-87B1-1CC09D173F3C}"/>
            </c:ext>
          </c:extLst>
        </c:ser>
        <c:ser>
          <c:idx val="37"/>
          <c:order val="37"/>
          <c:tx>
            <c:strRef>
              <c:f>'Ej. 3'!$P$46</c:f>
              <c:strCache>
                <c:ptCount val="1"/>
                <c:pt idx="0">
                  <c:v>37</c:v>
                </c:pt>
              </c:strCache>
            </c:strRef>
          </c:tx>
          <c:spPr>
            <a:ln w="9525" cap="rnd">
              <a:solidFill>
                <a:schemeClr val="accent6">
                  <a:tint val="60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3'!$Q$46:$BJ$46</c:f>
              <c:numCache>
                <c:formatCode>0.00%</c:formatCode>
                <c:ptCount val="46"/>
                <c:pt idx="0">
                  <c:v>0</c:v>
                </c:pt>
                <c:pt idx="1">
                  <c:v>4.3187429854096522E-2</c:v>
                </c:pt>
                <c:pt idx="2">
                  <c:v>8.5393327211509037E-2</c:v>
                </c:pt>
                <c:pt idx="3">
                  <c:v>0.12661769207223753</c:v>
                </c:pt>
                <c:pt idx="4">
                  <c:v>0.16686052443628202</c:v>
                </c:pt>
                <c:pt idx="5">
                  <c:v>0.20612182430364248</c:v>
                </c:pt>
                <c:pt idx="6">
                  <c:v>0.24440159167431896</c:v>
                </c:pt>
                <c:pt idx="7">
                  <c:v>0.28169982654831138</c:v>
                </c:pt>
                <c:pt idx="8">
                  <c:v>0.31801652892561982</c:v>
                </c:pt>
                <c:pt idx="9">
                  <c:v>0.35335169880624429</c:v>
                </c:pt>
                <c:pt idx="10">
                  <c:v>0.38770533619018471</c:v>
                </c:pt>
                <c:pt idx="11">
                  <c:v>0.42107744107744111</c:v>
                </c:pt>
                <c:pt idx="12">
                  <c:v>0.45346801346801352</c:v>
                </c:pt>
                <c:pt idx="13">
                  <c:v>0.48487705336190184</c:v>
                </c:pt>
                <c:pt idx="14">
                  <c:v>0.51530456075910624</c:v>
                </c:pt>
                <c:pt idx="15">
                  <c:v>0.5447505356596265</c:v>
                </c:pt>
                <c:pt idx="16">
                  <c:v>0.573214978063463</c:v>
                </c:pt>
                <c:pt idx="17">
                  <c:v>0.6006978879706153</c:v>
                </c:pt>
                <c:pt idx="18">
                  <c:v>0.62719926538108361</c:v>
                </c:pt>
                <c:pt idx="19">
                  <c:v>0.65271911029486784</c:v>
                </c:pt>
                <c:pt idx="20">
                  <c:v>0.6772574227119682</c:v>
                </c:pt>
                <c:pt idx="21">
                  <c:v>0.70081420263238448</c:v>
                </c:pt>
                <c:pt idx="22">
                  <c:v>0.72338945005611677</c:v>
                </c:pt>
                <c:pt idx="23">
                  <c:v>0.74498316498316497</c:v>
                </c:pt>
                <c:pt idx="24">
                  <c:v>0.76559534741352919</c:v>
                </c:pt>
                <c:pt idx="25">
                  <c:v>0.78522599734720955</c:v>
                </c:pt>
                <c:pt idx="26">
                  <c:v>0.8038751147842057</c:v>
                </c:pt>
                <c:pt idx="27">
                  <c:v>0.82154269972451799</c:v>
                </c:pt>
                <c:pt idx="28">
                  <c:v>0.83822875216814619</c:v>
                </c:pt>
                <c:pt idx="29">
                  <c:v>0.8539332721150904</c:v>
                </c:pt>
                <c:pt idx="30">
                  <c:v>0.86865625956535042</c:v>
                </c:pt>
                <c:pt idx="31">
                  <c:v>0.88239771451892668</c:v>
                </c:pt>
                <c:pt idx="32">
                  <c:v>0.89515763697581885</c:v>
                </c:pt>
                <c:pt idx="33">
                  <c:v>0.90693602693602704</c:v>
                </c:pt>
                <c:pt idx="34">
                  <c:v>0.91773288439955103</c:v>
                </c:pt>
                <c:pt idx="35">
                  <c:v>0.92754820936639126</c:v>
                </c:pt>
                <c:pt idx="36">
                  <c:v>0.93638200183654741</c:v>
                </c:pt>
                <c:pt idx="37">
                  <c:v>0.94423426181001946</c:v>
                </c:pt>
                <c:pt idx="38">
                  <c:v>0.95110498928680753</c:v>
                </c:pt>
                <c:pt idx="39">
                  <c:v>0.95699418426691163</c:v>
                </c:pt>
                <c:pt idx="40">
                  <c:v>0.96190184675033152</c:v>
                </c:pt>
                <c:pt idx="41">
                  <c:v>0.96582797673706766</c:v>
                </c:pt>
                <c:pt idx="42">
                  <c:v>0.96877257422711971</c:v>
                </c:pt>
                <c:pt idx="43">
                  <c:v>0.97073563922048789</c:v>
                </c:pt>
                <c:pt idx="44">
                  <c:v>0.97171717171717176</c:v>
                </c:pt>
                <c:pt idx="45">
                  <c:v>0.97171717171717176</c:v>
                </c:pt>
              </c:numCache>
            </c:numRef>
          </c:val>
          <c:extLst>
            <c:ext xmlns:c16="http://schemas.microsoft.com/office/drawing/2014/chart" uri="{C3380CC4-5D6E-409C-BE32-E72D297353CC}">
              <c16:uniqueId val="{00000025-6E82-4273-87B1-1CC09D173F3C}"/>
            </c:ext>
          </c:extLst>
        </c:ser>
        <c:ser>
          <c:idx val="38"/>
          <c:order val="38"/>
          <c:tx>
            <c:strRef>
              <c:f>'Ej. 3'!$P$47</c:f>
              <c:strCache>
                <c:ptCount val="1"/>
                <c:pt idx="0">
                  <c:v>38</c:v>
                </c:pt>
              </c:strCache>
            </c:strRef>
          </c:tx>
          <c:spPr>
            <a:ln w="9525" cap="rnd">
              <a:solidFill>
                <a:schemeClr val="accent6">
                  <a:tint val="57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3'!$Q$47:$BJ$47</c:f>
              <c:numCache>
                <c:formatCode>0.00%</c:formatCode>
                <c:ptCount val="46"/>
                <c:pt idx="0">
                  <c:v>0</c:v>
                </c:pt>
                <c:pt idx="1">
                  <c:v>4.35016835016835E-2</c:v>
                </c:pt>
                <c:pt idx="2">
                  <c:v>8.6014692378328747E-2</c:v>
                </c:pt>
                <c:pt idx="3">
                  <c:v>0.12753902662993571</c:v>
                </c:pt>
                <c:pt idx="4">
                  <c:v>0.16807468625650443</c:v>
                </c:pt>
                <c:pt idx="5">
                  <c:v>0.20762167125803488</c:v>
                </c:pt>
                <c:pt idx="6">
                  <c:v>0.24617998163452709</c:v>
                </c:pt>
                <c:pt idx="7">
                  <c:v>0.28374961738598098</c:v>
                </c:pt>
                <c:pt idx="8">
                  <c:v>0.32033057851239666</c:v>
                </c:pt>
                <c:pt idx="9">
                  <c:v>0.35592286501377413</c:v>
                </c:pt>
                <c:pt idx="10">
                  <c:v>0.39052647689011327</c:v>
                </c:pt>
                <c:pt idx="11">
                  <c:v>0.42414141414141415</c:v>
                </c:pt>
                <c:pt idx="12">
                  <c:v>0.45676767676767677</c:v>
                </c:pt>
                <c:pt idx="13">
                  <c:v>0.48840526476890112</c:v>
                </c:pt>
                <c:pt idx="14">
                  <c:v>0.51905417814508714</c:v>
                </c:pt>
                <c:pt idx="15">
                  <c:v>0.54871441689623501</c:v>
                </c:pt>
                <c:pt idx="16">
                  <c:v>0.57738598102234462</c:v>
                </c:pt>
                <c:pt idx="17">
                  <c:v>0.60506887052341596</c:v>
                </c:pt>
                <c:pt idx="18">
                  <c:v>0.63176308539944903</c:v>
                </c:pt>
                <c:pt idx="19">
                  <c:v>0.65746862565044384</c:v>
                </c:pt>
                <c:pt idx="20">
                  <c:v>0.68218549127640038</c:v>
                </c:pt>
                <c:pt idx="21">
                  <c:v>0.70591368227731865</c:v>
                </c:pt>
                <c:pt idx="22">
                  <c:v>0.72865319865319866</c:v>
                </c:pt>
                <c:pt idx="23">
                  <c:v>0.7504040404040403</c:v>
                </c:pt>
                <c:pt idx="24">
                  <c:v>0.77116620752984388</c:v>
                </c:pt>
                <c:pt idx="25">
                  <c:v>0.79093970003060921</c:v>
                </c:pt>
                <c:pt idx="26">
                  <c:v>0.80972451790633604</c:v>
                </c:pt>
                <c:pt idx="27">
                  <c:v>0.82752066115702483</c:v>
                </c:pt>
                <c:pt idx="28">
                  <c:v>0.84432812978267524</c:v>
                </c:pt>
                <c:pt idx="29">
                  <c:v>0.8601469237832875</c:v>
                </c:pt>
                <c:pt idx="30">
                  <c:v>0.87497704315886116</c:v>
                </c:pt>
                <c:pt idx="31">
                  <c:v>0.88881848790939699</c:v>
                </c:pt>
                <c:pt idx="32">
                  <c:v>0.90167125803489445</c:v>
                </c:pt>
                <c:pt idx="33">
                  <c:v>0.91353535353535353</c:v>
                </c:pt>
                <c:pt idx="34">
                  <c:v>0.92441077441077435</c:v>
                </c:pt>
                <c:pt idx="35">
                  <c:v>0.93429752066115701</c:v>
                </c:pt>
                <c:pt idx="36">
                  <c:v>0.94319559228650141</c:v>
                </c:pt>
                <c:pt idx="37">
                  <c:v>0.95110498928680753</c:v>
                </c:pt>
                <c:pt idx="38">
                  <c:v>0.95802571166207529</c:v>
                </c:pt>
                <c:pt idx="39">
                  <c:v>0.96395775941230488</c:v>
                </c:pt>
                <c:pt idx="40">
                  <c:v>0.9689011325374961</c:v>
                </c:pt>
                <c:pt idx="41">
                  <c:v>0.97285583103764917</c:v>
                </c:pt>
                <c:pt idx="42">
                  <c:v>0.97582185491276396</c:v>
                </c:pt>
                <c:pt idx="43">
                  <c:v>0.97779920416284061</c:v>
                </c:pt>
                <c:pt idx="44">
                  <c:v>0.97878787878787876</c:v>
                </c:pt>
                <c:pt idx="45">
                  <c:v>0.97878787878787876</c:v>
                </c:pt>
              </c:numCache>
            </c:numRef>
          </c:val>
          <c:extLst>
            <c:ext xmlns:c16="http://schemas.microsoft.com/office/drawing/2014/chart" uri="{C3380CC4-5D6E-409C-BE32-E72D297353CC}">
              <c16:uniqueId val="{00000026-6E82-4273-87B1-1CC09D173F3C}"/>
            </c:ext>
          </c:extLst>
        </c:ser>
        <c:ser>
          <c:idx val="39"/>
          <c:order val="39"/>
          <c:tx>
            <c:strRef>
              <c:f>'Ej. 3'!$P$48</c:f>
              <c:strCache>
                <c:ptCount val="1"/>
                <c:pt idx="0">
                  <c:v>39</c:v>
                </c:pt>
              </c:strCache>
            </c:strRef>
          </c:tx>
          <c:spPr>
            <a:ln w="9525" cap="rnd">
              <a:solidFill>
                <a:schemeClr val="accent6">
                  <a:tint val="54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3'!$Q$48:$BJ$48</c:f>
              <c:numCache>
                <c:formatCode>0.00%</c:formatCode>
                <c:ptCount val="46"/>
                <c:pt idx="0">
                  <c:v>0</c:v>
                </c:pt>
                <c:pt idx="1">
                  <c:v>4.3771043771043773E-2</c:v>
                </c:pt>
                <c:pt idx="2">
                  <c:v>8.6547291092745657E-2</c:v>
                </c:pt>
                <c:pt idx="3">
                  <c:v>0.1283287419651056</c:v>
                </c:pt>
                <c:pt idx="4">
                  <c:v>0.16911539638812365</c:v>
                </c:pt>
                <c:pt idx="5">
                  <c:v>0.2089072543617998</c:v>
                </c:pt>
                <c:pt idx="6">
                  <c:v>0.24770431588613409</c:v>
                </c:pt>
                <c:pt idx="7">
                  <c:v>0.28550658096112641</c:v>
                </c:pt>
                <c:pt idx="8">
                  <c:v>0.32231404958677684</c:v>
                </c:pt>
                <c:pt idx="9">
                  <c:v>0.35812672176308541</c:v>
                </c:pt>
                <c:pt idx="10">
                  <c:v>0.39294459749005206</c:v>
                </c:pt>
                <c:pt idx="11">
                  <c:v>0.4267676767676768</c:v>
                </c:pt>
                <c:pt idx="12">
                  <c:v>0.45959595959595961</c:v>
                </c:pt>
                <c:pt idx="13">
                  <c:v>0.49142944597490051</c:v>
                </c:pt>
                <c:pt idx="14">
                  <c:v>0.5222681359044995</c:v>
                </c:pt>
                <c:pt idx="15">
                  <c:v>0.55211202938475656</c:v>
                </c:pt>
                <c:pt idx="16">
                  <c:v>0.58096112641567188</c:v>
                </c:pt>
                <c:pt idx="17">
                  <c:v>0.60881542699724522</c:v>
                </c:pt>
                <c:pt idx="18">
                  <c:v>0.63567493112947659</c:v>
                </c:pt>
                <c:pt idx="19">
                  <c:v>0.6615396388123661</c:v>
                </c:pt>
                <c:pt idx="20">
                  <c:v>0.68640955004591375</c:v>
                </c:pt>
                <c:pt idx="21">
                  <c:v>0.71028466483011932</c:v>
                </c:pt>
                <c:pt idx="22">
                  <c:v>0.73316498316498324</c:v>
                </c:pt>
                <c:pt idx="23">
                  <c:v>0.75505050505050497</c:v>
                </c:pt>
                <c:pt idx="24">
                  <c:v>0.77594123048668506</c:v>
                </c:pt>
                <c:pt idx="25">
                  <c:v>0.79583715947352318</c:v>
                </c:pt>
                <c:pt idx="26">
                  <c:v>0.81473829201101933</c:v>
                </c:pt>
                <c:pt idx="27">
                  <c:v>0.83264462809917361</c:v>
                </c:pt>
                <c:pt idx="28">
                  <c:v>0.84955616773798592</c:v>
                </c:pt>
                <c:pt idx="29">
                  <c:v>0.86547291092745648</c:v>
                </c:pt>
                <c:pt idx="30">
                  <c:v>0.88039485766758485</c:v>
                </c:pt>
                <c:pt idx="31">
                  <c:v>0.89432200795837158</c:v>
                </c:pt>
                <c:pt idx="32">
                  <c:v>0.90725436179981644</c:v>
                </c:pt>
                <c:pt idx="33">
                  <c:v>0.91919191919191923</c:v>
                </c:pt>
                <c:pt idx="34">
                  <c:v>0.93013468013468015</c:v>
                </c:pt>
                <c:pt idx="35">
                  <c:v>0.94008264462809921</c:v>
                </c:pt>
                <c:pt idx="36">
                  <c:v>0.9490358126721764</c:v>
                </c:pt>
                <c:pt idx="37">
                  <c:v>0.95699418426691163</c:v>
                </c:pt>
                <c:pt idx="38">
                  <c:v>0.96395775941230488</c:v>
                </c:pt>
                <c:pt idx="39">
                  <c:v>0.96992653810835627</c:v>
                </c:pt>
                <c:pt idx="40">
                  <c:v>0.9749005203550658</c:v>
                </c:pt>
                <c:pt idx="41">
                  <c:v>0.97887970615243336</c:v>
                </c:pt>
                <c:pt idx="42">
                  <c:v>0.98186409550045917</c:v>
                </c:pt>
                <c:pt idx="43">
                  <c:v>0.98385368839914311</c:v>
                </c:pt>
                <c:pt idx="44">
                  <c:v>0.98484848484848486</c:v>
                </c:pt>
                <c:pt idx="45">
                  <c:v>0.98484848484848486</c:v>
                </c:pt>
              </c:numCache>
            </c:numRef>
          </c:val>
          <c:extLst>
            <c:ext xmlns:c16="http://schemas.microsoft.com/office/drawing/2014/chart" uri="{C3380CC4-5D6E-409C-BE32-E72D297353CC}">
              <c16:uniqueId val="{00000027-6E82-4273-87B1-1CC09D173F3C}"/>
            </c:ext>
          </c:extLst>
        </c:ser>
        <c:ser>
          <c:idx val="40"/>
          <c:order val="40"/>
          <c:tx>
            <c:strRef>
              <c:f>'Ej. 3'!$P$49</c:f>
              <c:strCache>
                <c:ptCount val="1"/>
                <c:pt idx="0">
                  <c:v>40</c:v>
                </c:pt>
              </c:strCache>
            </c:strRef>
          </c:tx>
          <c:spPr>
            <a:ln w="9525" cap="rnd">
              <a:solidFill>
                <a:schemeClr val="accent6">
                  <a:tint val="51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3'!$Q$49:$BJ$49</c:f>
              <c:numCache>
                <c:formatCode>0.00%</c:formatCode>
                <c:ptCount val="46"/>
                <c:pt idx="0">
                  <c:v>0</c:v>
                </c:pt>
                <c:pt idx="1">
                  <c:v>4.3995510662177328E-2</c:v>
                </c:pt>
                <c:pt idx="2">
                  <c:v>8.6991123354759725E-2</c:v>
                </c:pt>
                <c:pt idx="3">
                  <c:v>0.12898683807774716</c:v>
                </c:pt>
                <c:pt idx="4">
                  <c:v>0.16998265483113967</c:v>
                </c:pt>
                <c:pt idx="5">
                  <c:v>0.20997857361493721</c:v>
                </c:pt>
                <c:pt idx="6">
                  <c:v>0.24897459442913988</c:v>
                </c:pt>
                <c:pt idx="7">
                  <c:v>0.28697071727374751</c:v>
                </c:pt>
                <c:pt idx="8">
                  <c:v>0.32396694214876032</c:v>
                </c:pt>
                <c:pt idx="9">
                  <c:v>0.35996326905417814</c:v>
                </c:pt>
                <c:pt idx="10">
                  <c:v>0.39495969799000102</c:v>
                </c:pt>
                <c:pt idx="11">
                  <c:v>0.42895622895622892</c:v>
                </c:pt>
                <c:pt idx="12">
                  <c:v>0.46195286195286195</c:v>
                </c:pt>
                <c:pt idx="13">
                  <c:v>0.49394959697989999</c:v>
                </c:pt>
                <c:pt idx="14">
                  <c:v>0.52494643403734309</c:v>
                </c:pt>
                <c:pt idx="15">
                  <c:v>0.55494337312519126</c:v>
                </c:pt>
                <c:pt idx="16">
                  <c:v>0.58394041424344456</c:v>
                </c:pt>
                <c:pt idx="17">
                  <c:v>0.61193755739210276</c:v>
                </c:pt>
                <c:pt idx="18">
                  <c:v>0.63893480257116619</c:v>
                </c:pt>
                <c:pt idx="19">
                  <c:v>0.66493214978063453</c:v>
                </c:pt>
                <c:pt idx="20">
                  <c:v>0.6899295990205081</c:v>
                </c:pt>
                <c:pt idx="21">
                  <c:v>0.71392715029078657</c:v>
                </c:pt>
                <c:pt idx="22">
                  <c:v>0.73692480359147028</c:v>
                </c:pt>
                <c:pt idx="23">
                  <c:v>0.75892255892255878</c:v>
                </c:pt>
                <c:pt idx="24">
                  <c:v>0.77992041628405251</c:v>
                </c:pt>
                <c:pt idx="25">
                  <c:v>0.79991837567595148</c:v>
                </c:pt>
                <c:pt idx="26">
                  <c:v>0.81891643709825523</c:v>
                </c:pt>
                <c:pt idx="27">
                  <c:v>0.83691460055096412</c:v>
                </c:pt>
                <c:pt idx="28">
                  <c:v>0.85391286603407812</c:v>
                </c:pt>
                <c:pt idx="29">
                  <c:v>0.86991123354759725</c:v>
                </c:pt>
                <c:pt idx="30">
                  <c:v>0.88490970309152106</c:v>
                </c:pt>
                <c:pt idx="31">
                  <c:v>0.89890827466585033</c:v>
                </c:pt>
                <c:pt idx="32">
                  <c:v>0.91190694827058461</c:v>
                </c:pt>
                <c:pt idx="33">
                  <c:v>0.9239057239057239</c:v>
                </c:pt>
                <c:pt idx="34">
                  <c:v>0.9349046015712682</c:v>
                </c:pt>
                <c:pt idx="35">
                  <c:v>0.94490358126721763</c:v>
                </c:pt>
                <c:pt idx="36">
                  <c:v>0.95390266299357207</c:v>
                </c:pt>
                <c:pt idx="37">
                  <c:v>0.96190184675033152</c:v>
                </c:pt>
                <c:pt idx="38">
                  <c:v>0.9689011325374961</c:v>
                </c:pt>
                <c:pt idx="39">
                  <c:v>0.9749005203550658</c:v>
                </c:pt>
                <c:pt idx="40">
                  <c:v>0.97990001020304041</c:v>
                </c:pt>
                <c:pt idx="41">
                  <c:v>0.98389960208142013</c:v>
                </c:pt>
                <c:pt idx="42">
                  <c:v>0.98689929599020498</c:v>
                </c:pt>
                <c:pt idx="43">
                  <c:v>0.98889909192939496</c:v>
                </c:pt>
                <c:pt idx="44">
                  <c:v>0.98989898989898983</c:v>
                </c:pt>
                <c:pt idx="45">
                  <c:v>0.98989898989898983</c:v>
                </c:pt>
              </c:numCache>
            </c:numRef>
          </c:val>
          <c:extLst>
            <c:ext xmlns:c16="http://schemas.microsoft.com/office/drawing/2014/chart" uri="{C3380CC4-5D6E-409C-BE32-E72D297353CC}">
              <c16:uniqueId val="{00000028-6E82-4273-87B1-1CC09D173F3C}"/>
            </c:ext>
          </c:extLst>
        </c:ser>
        <c:ser>
          <c:idx val="41"/>
          <c:order val="41"/>
          <c:tx>
            <c:strRef>
              <c:f>'Ej. 3'!$P$50</c:f>
              <c:strCache>
                <c:ptCount val="1"/>
                <c:pt idx="0">
                  <c:v>41</c:v>
                </c:pt>
              </c:strCache>
            </c:strRef>
          </c:tx>
          <c:spPr>
            <a:ln w="9525" cap="rnd">
              <a:solidFill>
                <a:schemeClr val="accent6">
                  <a:tint val="48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3'!$Q$50:$BJ$50</c:f>
              <c:numCache>
                <c:formatCode>0.00%</c:formatCode>
                <c:ptCount val="46"/>
                <c:pt idx="0">
                  <c:v>0</c:v>
                </c:pt>
                <c:pt idx="1">
                  <c:v>4.4175084175084173E-2</c:v>
                </c:pt>
                <c:pt idx="2">
                  <c:v>8.7346189164370994E-2</c:v>
                </c:pt>
                <c:pt idx="3">
                  <c:v>0.12951331496786042</c:v>
                </c:pt>
                <c:pt idx="4">
                  <c:v>0.1706764615855525</c:v>
                </c:pt>
                <c:pt idx="5">
                  <c:v>0.21083562901744718</c:v>
                </c:pt>
                <c:pt idx="6">
                  <c:v>0.24999081726354452</c:v>
                </c:pt>
                <c:pt idx="7">
                  <c:v>0.28814202632384445</c:v>
                </c:pt>
                <c:pt idx="8">
                  <c:v>0.32528925619834709</c:v>
                </c:pt>
                <c:pt idx="9">
                  <c:v>0.36143250688705236</c:v>
                </c:pt>
                <c:pt idx="10">
                  <c:v>0.39657177838996022</c:v>
                </c:pt>
                <c:pt idx="11">
                  <c:v>0.4307070707070707</c:v>
                </c:pt>
                <c:pt idx="12">
                  <c:v>0.46383838383838383</c:v>
                </c:pt>
                <c:pt idx="13">
                  <c:v>0.49596571778389958</c:v>
                </c:pt>
                <c:pt idx="14">
                  <c:v>0.52708907254361792</c:v>
                </c:pt>
                <c:pt idx="15">
                  <c:v>0.557208448117539</c:v>
                </c:pt>
                <c:pt idx="16">
                  <c:v>0.58632384450566266</c:v>
                </c:pt>
                <c:pt idx="17">
                  <c:v>0.6144352617079889</c:v>
                </c:pt>
                <c:pt idx="18">
                  <c:v>0.64154269972451794</c:v>
                </c:pt>
                <c:pt idx="19">
                  <c:v>0.66764615855524945</c:v>
                </c:pt>
                <c:pt idx="20">
                  <c:v>0.69274563820018364</c:v>
                </c:pt>
                <c:pt idx="21">
                  <c:v>0.71684113865932042</c:v>
                </c:pt>
                <c:pt idx="22">
                  <c:v>0.73993265993265989</c:v>
                </c:pt>
                <c:pt idx="23">
                  <c:v>0.76202020202020193</c:v>
                </c:pt>
                <c:pt idx="24">
                  <c:v>0.78310376492194667</c:v>
                </c:pt>
                <c:pt idx="25">
                  <c:v>0.8031833486378942</c:v>
                </c:pt>
                <c:pt idx="26">
                  <c:v>0.82225895316804409</c:v>
                </c:pt>
                <c:pt idx="27">
                  <c:v>0.84033057851239668</c:v>
                </c:pt>
                <c:pt idx="28">
                  <c:v>0.85739822467095195</c:v>
                </c:pt>
                <c:pt idx="29">
                  <c:v>0.87346189164370991</c:v>
                </c:pt>
                <c:pt idx="30">
                  <c:v>0.88852157943067023</c:v>
                </c:pt>
                <c:pt idx="31">
                  <c:v>0.90257728803183346</c:v>
                </c:pt>
                <c:pt idx="32">
                  <c:v>0.91562901744719927</c:v>
                </c:pt>
                <c:pt idx="33">
                  <c:v>0.92767676767676766</c:v>
                </c:pt>
                <c:pt idx="34">
                  <c:v>0.93872053872053862</c:v>
                </c:pt>
                <c:pt idx="35">
                  <c:v>0.94876033057851239</c:v>
                </c:pt>
                <c:pt idx="36">
                  <c:v>0.95779614325068874</c:v>
                </c:pt>
                <c:pt idx="37">
                  <c:v>0.96582797673706766</c:v>
                </c:pt>
                <c:pt idx="38">
                  <c:v>0.97285583103764917</c:v>
                </c:pt>
                <c:pt idx="39">
                  <c:v>0.97887970615243336</c:v>
                </c:pt>
                <c:pt idx="40">
                  <c:v>0.98389960208142013</c:v>
                </c:pt>
                <c:pt idx="41">
                  <c:v>0.98791551882460971</c:v>
                </c:pt>
                <c:pt idx="42">
                  <c:v>0.99092745638200175</c:v>
                </c:pt>
                <c:pt idx="43">
                  <c:v>0.99293541475359659</c:v>
                </c:pt>
                <c:pt idx="44">
                  <c:v>0.9939393939393939</c:v>
                </c:pt>
                <c:pt idx="45">
                  <c:v>0.9939393939393939</c:v>
                </c:pt>
              </c:numCache>
            </c:numRef>
          </c:val>
          <c:extLst>
            <c:ext xmlns:c16="http://schemas.microsoft.com/office/drawing/2014/chart" uri="{C3380CC4-5D6E-409C-BE32-E72D297353CC}">
              <c16:uniqueId val="{00000029-6E82-4273-87B1-1CC09D173F3C}"/>
            </c:ext>
          </c:extLst>
        </c:ser>
        <c:ser>
          <c:idx val="42"/>
          <c:order val="42"/>
          <c:tx>
            <c:strRef>
              <c:f>'Ej. 3'!$P$51</c:f>
              <c:strCache>
                <c:ptCount val="1"/>
                <c:pt idx="0">
                  <c:v>42</c:v>
                </c:pt>
              </c:strCache>
            </c:strRef>
          </c:tx>
          <c:spPr>
            <a:ln w="9525" cap="rnd">
              <a:solidFill>
                <a:schemeClr val="accent6">
                  <a:tint val="45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3'!$Q$51:$BJ$51</c:f>
              <c:numCache>
                <c:formatCode>0.00%</c:formatCode>
                <c:ptCount val="46"/>
                <c:pt idx="0">
                  <c:v>0</c:v>
                </c:pt>
                <c:pt idx="1">
                  <c:v>4.4309764309764313E-2</c:v>
                </c:pt>
                <c:pt idx="2">
                  <c:v>8.7612488521579435E-2</c:v>
                </c:pt>
                <c:pt idx="3">
                  <c:v>0.12990817263544538</c:v>
                </c:pt>
                <c:pt idx="4">
                  <c:v>0.1711968166513621</c:v>
                </c:pt>
                <c:pt idx="5">
                  <c:v>0.21147842056932964</c:v>
                </c:pt>
                <c:pt idx="6">
                  <c:v>0.25075298438934801</c:v>
                </c:pt>
                <c:pt idx="7">
                  <c:v>0.28902050811141716</c:v>
                </c:pt>
                <c:pt idx="8">
                  <c:v>0.32628099173553721</c:v>
                </c:pt>
                <c:pt idx="9">
                  <c:v>0.36253443526170798</c:v>
                </c:pt>
                <c:pt idx="10">
                  <c:v>0.39778083868992958</c:v>
                </c:pt>
                <c:pt idx="11">
                  <c:v>0.43202020202020203</c:v>
                </c:pt>
                <c:pt idx="12">
                  <c:v>0.46525252525252525</c:v>
                </c:pt>
                <c:pt idx="13">
                  <c:v>0.49747780838689926</c:v>
                </c:pt>
                <c:pt idx="14">
                  <c:v>0.5286960514233241</c:v>
                </c:pt>
                <c:pt idx="15">
                  <c:v>0.55890725436179978</c:v>
                </c:pt>
                <c:pt idx="16">
                  <c:v>0.58811141720232629</c:v>
                </c:pt>
                <c:pt idx="17">
                  <c:v>0.61630853994490353</c:v>
                </c:pt>
                <c:pt idx="18">
                  <c:v>0.64349862258953172</c:v>
                </c:pt>
                <c:pt idx="19">
                  <c:v>0.66968166513621052</c:v>
                </c:pt>
                <c:pt idx="20">
                  <c:v>0.69485766758494039</c:v>
                </c:pt>
                <c:pt idx="21">
                  <c:v>0.71902662993572086</c:v>
                </c:pt>
                <c:pt idx="22">
                  <c:v>0.74218855218855218</c:v>
                </c:pt>
                <c:pt idx="23">
                  <c:v>0.76434343434343432</c:v>
                </c:pt>
                <c:pt idx="24">
                  <c:v>0.78549127640036731</c:v>
                </c:pt>
                <c:pt idx="25">
                  <c:v>0.80563207835935113</c:v>
                </c:pt>
                <c:pt idx="26">
                  <c:v>0.82476584022038568</c:v>
                </c:pt>
                <c:pt idx="27">
                  <c:v>0.84289256198347107</c:v>
                </c:pt>
                <c:pt idx="28">
                  <c:v>0.86001224364860729</c:v>
                </c:pt>
                <c:pt idx="29">
                  <c:v>0.87612488521579435</c:v>
                </c:pt>
                <c:pt idx="30">
                  <c:v>0.89123048668503202</c:v>
                </c:pt>
                <c:pt idx="31">
                  <c:v>0.90532904805632075</c:v>
                </c:pt>
                <c:pt idx="32">
                  <c:v>0.91842056932966032</c:v>
                </c:pt>
                <c:pt idx="33">
                  <c:v>0.9305050505050505</c:v>
                </c:pt>
                <c:pt idx="34">
                  <c:v>0.94158249158249152</c:v>
                </c:pt>
                <c:pt idx="35">
                  <c:v>0.95165289256198349</c:v>
                </c:pt>
                <c:pt idx="36">
                  <c:v>0.96071625344352629</c:v>
                </c:pt>
                <c:pt idx="37">
                  <c:v>0.96877257422711971</c:v>
                </c:pt>
                <c:pt idx="38">
                  <c:v>0.97582185491276396</c:v>
                </c:pt>
                <c:pt idx="39">
                  <c:v>0.98186409550045917</c:v>
                </c:pt>
                <c:pt idx="40">
                  <c:v>0.98689929599020498</c:v>
                </c:pt>
                <c:pt idx="41">
                  <c:v>0.99092745638200175</c:v>
                </c:pt>
                <c:pt idx="42">
                  <c:v>0.99394857667584935</c:v>
                </c:pt>
                <c:pt idx="43">
                  <c:v>0.9959626568717479</c:v>
                </c:pt>
                <c:pt idx="44">
                  <c:v>0.99696969696969695</c:v>
                </c:pt>
                <c:pt idx="45">
                  <c:v>0.99696969696969695</c:v>
                </c:pt>
              </c:numCache>
            </c:numRef>
          </c:val>
          <c:extLst>
            <c:ext xmlns:c16="http://schemas.microsoft.com/office/drawing/2014/chart" uri="{C3380CC4-5D6E-409C-BE32-E72D297353CC}">
              <c16:uniqueId val="{0000002A-6E82-4273-87B1-1CC09D173F3C}"/>
            </c:ext>
          </c:extLst>
        </c:ser>
        <c:ser>
          <c:idx val="43"/>
          <c:order val="43"/>
          <c:tx>
            <c:strRef>
              <c:f>'Ej. 3'!$P$52</c:f>
              <c:strCache>
                <c:ptCount val="1"/>
                <c:pt idx="0">
                  <c:v>43</c:v>
                </c:pt>
              </c:strCache>
            </c:strRef>
          </c:tx>
          <c:spPr>
            <a:ln w="9525" cap="rnd">
              <a:solidFill>
                <a:schemeClr val="accent6">
                  <a:tint val="42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3'!$Q$52:$BJ$52</c:f>
              <c:numCache>
                <c:formatCode>0.00%</c:formatCode>
                <c:ptCount val="46"/>
                <c:pt idx="0">
                  <c:v>0</c:v>
                </c:pt>
                <c:pt idx="1">
                  <c:v>4.4399551066217742E-2</c:v>
                </c:pt>
                <c:pt idx="2">
                  <c:v>8.7790021426385076E-2</c:v>
                </c:pt>
                <c:pt idx="3">
                  <c:v>0.13017141108050201</c:v>
                </c:pt>
                <c:pt idx="4">
                  <c:v>0.17154372002856852</c:v>
                </c:pt>
                <c:pt idx="5">
                  <c:v>0.21190694827058462</c:v>
                </c:pt>
                <c:pt idx="6">
                  <c:v>0.25126109580655037</c:v>
                </c:pt>
                <c:pt idx="7">
                  <c:v>0.28960616263646566</c:v>
                </c:pt>
                <c:pt idx="8">
                  <c:v>0.32694214876033062</c:v>
                </c:pt>
                <c:pt idx="9">
                  <c:v>0.36326905417814515</c:v>
                </c:pt>
                <c:pt idx="10">
                  <c:v>0.39858687888990924</c:v>
                </c:pt>
                <c:pt idx="11">
                  <c:v>0.43289562289562294</c:v>
                </c:pt>
                <c:pt idx="12">
                  <c:v>0.46619528619528627</c:v>
                </c:pt>
                <c:pt idx="13">
                  <c:v>0.49848586878889911</c:v>
                </c:pt>
                <c:pt idx="14">
                  <c:v>0.52976737067646162</c:v>
                </c:pt>
                <c:pt idx="15">
                  <c:v>0.5600397918579737</c:v>
                </c:pt>
                <c:pt idx="16">
                  <c:v>0.58930313233343545</c:v>
                </c:pt>
                <c:pt idx="17">
                  <c:v>0.61755739210284666</c:v>
                </c:pt>
                <c:pt idx="18">
                  <c:v>0.64480257116620765</c:v>
                </c:pt>
                <c:pt idx="19">
                  <c:v>0.67103866952351809</c:v>
                </c:pt>
                <c:pt idx="20">
                  <c:v>0.69626568717477821</c:v>
                </c:pt>
                <c:pt idx="21">
                  <c:v>0.72048362411998779</c:v>
                </c:pt>
                <c:pt idx="22">
                  <c:v>0.74369248035914715</c:v>
                </c:pt>
                <c:pt idx="23">
                  <c:v>0.76589225589225596</c:v>
                </c:pt>
                <c:pt idx="24">
                  <c:v>0.78708295071931444</c:v>
                </c:pt>
                <c:pt idx="25">
                  <c:v>0.80726456484032261</c:v>
                </c:pt>
                <c:pt idx="26">
                  <c:v>0.82643709825528011</c:v>
                </c:pt>
                <c:pt idx="27">
                  <c:v>0.8446005509641874</c:v>
                </c:pt>
                <c:pt idx="28">
                  <c:v>0.86175492296704426</c:v>
                </c:pt>
                <c:pt idx="29">
                  <c:v>0.87790021426385079</c:v>
                </c:pt>
                <c:pt idx="30">
                  <c:v>0.89303642485460666</c:v>
                </c:pt>
                <c:pt idx="31">
                  <c:v>0.90716355473931243</c:v>
                </c:pt>
                <c:pt idx="32">
                  <c:v>0.92028160391796765</c:v>
                </c:pt>
                <c:pt idx="33">
                  <c:v>0.93239057239057255</c:v>
                </c:pt>
                <c:pt idx="34">
                  <c:v>0.9434904601571269</c:v>
                </c:pt>
                <c:pt idx="35">
                  <c:v>0.95358126721763103</c:v>
                </c:pt>
                <c:pt idx="36">
                  <c:v>0.96266299357208474</c:v>
                </c:pt>
                <c:pt idx="37">
                  <c:v>0.97073563922048789</c:v>
                </c:pt>
                <c:pt idx="38">
                  <c:v>0.97779920416284061</c:v>
                </c:pt>
                <c:pt idx="39">
                  <c:v>0.98385368839914311</c:v>
                </c:pt>
                <c:pt idx="40">
                  <c:v>0.98889909192939496</c:v>
                </c:pt>
                <c:pt idx="41">
                  <c:v>0.99293541475359659</c:v>
                </c:pt>
                <c:pt idx="42">
                  <c:v>0.9959626568717479</c:v>
                </c:pt>
                <c:pt idx="43">
                  <c:v>0.99798081828384877</c:v>
                </c:pt>
                <c:pt idx="44">
                  <c:v>0.99898989898989909</c:v>
                </c:pt>
                <c:pt idx="45">
                  <c:v>0.99898989898989909</c:v>
                </c:pt>
              </c:numCache>
            </c:numRef>
          </c:val>
          <c:extLst>
            <c:ext xmlns:c16="http://schemas.microsoft.com/office/drawing/2014/chart" uri="{C3380CC4-5D6E-409C-BE32-E72D297353CC}">
              <c16:uniqueId val="{0000002B-6E82-4273-87B1-1CC09D173F3C}"/>
            </c:ext>
          </c:extLst>
        </c:ser>
        <c:ser>
          <c:idx val="44"/>
          <c:order val="44"/>
          <c:tx>
            <c:strRef>
              <c:f>'Ej. 3'!$P$53</c:f>
              <c:strCache>
                <c:ptCount val="1"/>
                <c:pt idx="0">
                  <c:v>44</c:v>
                </c:pt>
              </c:strCache>
            </c:strRef>
          </c:tx>
          <c:spPr>
            <a:ln w="9525" cap="rnd">
              <a:solidFill>
                <a:schemeClr val="accent6">
                  <a:tint val="39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3'!$Q$53:$BJ$53</c:f>
              <c:numCache>
                <c:formatCode>0.00%</c:formatCode>
                <c:ptCount val="46"/>
                <c:pt idx="0">
                  <c:v>0</c:v>
                </c:pt>
                <c:pt idx="1">
                  <c:v>4.4444444444444446E-2</c:v>
                </c:pt>
                <c:pt idx="2">
                  <c:v>8.787878787878789E-2</c:v>
                </c:pt>
                <c:pt idx="3">
                  <c:v>0.13030303030303031</c:v>
                </c:pt>
                <c:pt idx="4">
                  <c:v>0.17171717171717171</c:v>
                </c:pt>
                <c:pt idx="5">
                  <c:v>0.2121212121212121</c:v>
                </c:pt>
                <c:pt idx="6">
                  <c:v>0.25151515151515152</c:v>
                </c:pt>
                <c:pt idx="7">
                  <c:v>0.28989898989898988</c:v>
                </c:pt>
                <c:pt idx="8">
                  <c:v>0.32727272727272727</c:v>
                </c:pt>
                <c:pt idx="9">
                  <c:v>0.36363636363636365</c:v>
                </c:pt>
                <c:pt idx="10">
                  <c:v>0.39898989898989901</c:v>
                </c:pt>
                <c:pt idx="11">
                  <c:v>0.43333333333333335</c:v>
                </c:pt>
                <c:pt idx="12">
                  <c:v>0.46666666666666667</c:v>
                </c:pt>
                <c:pt idx="13">
                  <c:v>0.49898989898989898</c:v>
                </c:pt>
                <c:pt idx="14">
                  <c:v>0.53030303030303028</c:v>
                </c:pt>
                <c:pt idx="15">
                  <c:v>0.56060606060606055</c:v>
                </c:pt>
                <c:pt idx="16">
                  <c:v>0.58989898989898992</c:v>
                </c:pt>
                <c:pt idx="17">
                  <c:v>0.61818181818181817</c:v>
                </c:pt>
                <c:pt idx="18">
                  <c:v>0.6454545454545455</c:v>
                </c:pt>
                <c:pt idx="19">
                  <c:v>0.67171717171717171</c:v>
                </c:pt>
                <c:pt idx="20">
                  <c:v>0.69696969696969702</c:v>
                </c:pt>
                <c:pt idx="21">
                  <c:v>0.72121212121212119</c:v>
                </c:pt>
                <c:pt idx="22">
                  <c:v>0.74444444444444446</c:v>
                </c:pt>
                <c:pt idx="23">
                  <c:v>0.76666666666666661</c:v>
                </c:pt>
                <c:pt idx="24">
                  <c:v>0.78787878787878785</c:v>
                </c:pt>
                <c:pt idx="25">
                  <c:v>0.80808080808080818</c:v>
                </c:pt>
                <c:pt idx="26">
                  <c:v>0.82727272727272727</c:v>
                </c:pt>
                <c:pt idx="27">
                  <c:v>0.84545454545454546</c:v>
                </c:pt>
                <c:pt idx="28">
                  <c:v>0.86262626262626263</c:v>
                </c:pt>
                <c:pt idx="29">
                  <c:v>0.8787878787878789</c:v>
                </c:pt>
                <c:pt idx="30">
                  <c:v>0.89393939393939381</c:v>
                </c:pt>
                <c:pt idx="31">
                  <c:v>0.90808080808080804</c:v>
                </c:pt>
                <c:pt idx="32">
                  <c:v>0.92121212121212126</c:v>
                </c:pt>
                <c:pt idx="33">
                  <c:v>0.93333333333333335</c:v>
                </c:pt>
                <c:pt idx="34">
                  <c:v>0.94444444444444442</c:v>
                </c:pt>
                <c:pt idx="35">
                  <c:v>0.95454545454545459</c:v>
                </c:pt>
                <c:pt idx="36">
                  <c:v>0.96363636363636374</c:v>
                </c:pt>
                <c:pt idx="37">
                  <c:v>0.97171717171717176</c:v>
                </c:pt>
                <c:pt idx="38">
                  <c:v>0.97878787878787876</c:v>
                </c:pt>
                <c:pt idx="39">
                  <c:v>0.98484848484848486</c:v>
                </c:pt>
                <c:pt idx="40">
                  <c:v>0.98989898989898983</c:v>
                </c:pt>
                <c:pt idx="41">
                  <c:v>0.9939393939393939</c:v>
                </c:pt>
                <c:pt idx="42">
                  <c:v>0.99696969696969695</c:v>
                </c:pt>
                <c:pt idx="43">
                  <c:v>0.99898989898989909</c:v>
                </c:pt>
                <c:pt idx="44">
                  <c:v>1</c:v>
                </c:pt>
                <c:pt idx="45">
                  <c:v>1</c:v>
                </c:pt>
              </c:numCache>
            </c:numRef>
          </c:val>
          <c:extLst>
            <c:ext xmlns:c16="http://schemas.microsoft.com/office/drawing/2014/chart" uri="{C3380CC4-5D6E-409C-BE32-E72D297353CC}">
              <c16:uniqueId val="{0000002C-6E82-4273-87B1-1CC09D173F3C}"/>
            </c:ext>
          </c:extLst>
        </c:ser>
        <c:ser>
          <c:idx val="45"/>
          <c:order val="45"/>
          <c:tx>
            <c:strRef>
              <c:f>'Ej. 3'!$P$54</c:f>
              <c:strCache>
                <c:ptCount val="1"/>
                <c:pt idx="0">
                  <c:v>45</c:v>
                </c:pt>
              </c:strCache>
            </c:strRef>
          </c:tx>
          <c:spPr>
            <a:ln w="9525" cap="rnd">
              <a:solidFill>
                <a:schemeClr val="accent6">
                  <a:tint val="36000"/>
                </a:schemeClr>
              </a:solidFill>
              <a:round/>
            </a:ln>
            <a:effectLst/>
          </c:spPr>
          <c:cat>
            <c:numRef>
              <c:f>'Ej. 3'!$Q$8:$BJ$8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3'!$Q$54:$BJ$54</c:f>
              <c:numCache>
                <c:formatCode>0.00%</c:formatCode>
                <c:ptCount val="46"/>
                <c:pt idx="0">
                  <c:v>0</c:v>
                </c:pt>
                <c:pt idx="1">
                  <c:v>4.4444444444444446E-2</c:v>
                </c:pt>
                <c:pt idx="2">
                  <c:v>8.787878787878789E-2</c:v>
                </c:pt>
                <c:pt idx="3">
                  <c:v>0.13030303030303031</c:v>
                </c:pt>
                <c:pt idx="4">
                  <c:v>0.17171717171717171</c:v>
                </c:pt>
                <c:pt idx="5">
                  <c:v>0.2121212121212121</c:v>
                </c:pt>
                <c:pt idx="6">
                  <c:v>0.25151515151515152</c:v>
                </c:pt>
                <c:pt idx="7">
                  <c:v>0.28989898989898988</c:v>
                </c:pt>
                <c:pt idx="8">
                  <c:v>0.32727272727272727</c:v>
                </c:pt>
                <c:pt idx="9">
                  <c:v>0.36363636363636365</c:v>
                </c:pt>
                <c:pt idx="10">
                  <c:v>0.39898989898989901</c:v>
                </c:pt>
                <c:pt idx="11">
                  <c:v>0.43333333333333335</c:v>
                </c:pt>
                <c:pt idx="12">
                  <c:v>0.46666666666666667</c:v>
                </c:pt>
                <c:pt idx="13">
                  <c:v>0.49898989898989898</c:v>
                </c:pt>
                <c:pt idx="14">
                  <c:v>0.53030303030303028</c:v>
                </c:pt>
                <c:pt idx="15">
                  <c:v>0.56060606060606055</c:v>
                </c:pt>
                <c:pt idx="16">
                  <c:v>0.58989898989898992</c:v>
                </c:pt>
                <c:pt idx="17">
                  <c:v>0.61818181818181817</c:v>
                </c:pt>
                <c:pt idx="18">
                  <c:v>0.6454545454545455</c:v>
                </c:pt>
                <c:pt idx="19">
                  <c:v>0.67171717171717171</c:v>
                </c:pt>
                <c:pt idx="20">
                  <c:v>0.69696969696969702</c:v>
                </c:pt>
                <c:pt idx="21">
                  <c:v>0.72121212121212119</c:v>
                </c:pt>
                <c:pt idx="22">
                  <c:v>0.74444444444444446</c:v>
                </c:pt>
                <c:pt idx="23">
                  <c:v>0.76666666666666661</c:v>
                </c:pt>
                <c:pt idx="24">
                  <c:v>0.78787878787878785</c:v>
                </c:pt>
                <c:pt idx="25">
                  <c:v>0.80808080808080818</c:v>
                </c:pt>
                <c:pt idx="26">
                  <c:v>0.82727272727272727</c:v>
                </c:pt>
                <c:pt idx="27">
                  <c:v>0.84545454545454546</c:v>
                </c:pt>
                <c:pt idx="28">
                  <c:v>0.86262626262626263</c:v>
                </c:pt>
                <c:pt idx="29">
                  <c:v>0.8787878787878789</c:v>
                </c:pt>
                <c:pt idx="30">
                  <c:v>0.89393939393939381</c:v>
                </c:pt>
                <c:pt idx="31">
                  <c:v>0.90808080808080804</c:v>
                </c:pt>
                <c:pt idx="32">
                  <c:v>0.92121212121212126</c:v>
                </c:pt>
                <c:pt idx="33">
                  <c:v>0.93333333333333335</c:v>
                </c:pt>
                <c:pt idx="34">
                  <c:v>0.94444444444444442</c:v>
                </c:pt>
                <c:pt idx="35">
                  <c:v>0.95454545454545459</c:v>
                </c:pt>
                <c:pt idx="36">
                  <c:v>0.96363636363636374</c:v>
                </c:pt>
                <c:pt idx="37">
                  <c:v>0.97171717171717176</c:v>
                </c:pt>
                <c:pt idx="38">
                  <c:v>0.97878787878787876</c:v>
                </c:pt>
                <c:pt idx="39">
                  <c:v>0.98484848484848486</c:v>
                </c:pt>
                <c:pt idx="40">
                  <c:v>0.98989898989898983</c:v>
                </c:pt>
                <c:pt idx="41">
                  <c:v>0.9939393939393939</c:v>
                </c:pt>
                <c:pt idx="42">
                  <c:v>0.99696969696969695</c:v>
                </c:pt>
                <c:pt idx="43">
                  <c:v>0.99898989898989909</c:v>
                </c:pt>
                <c:pt idx="44">
                  <c:v>1</c:v>
                </c:pt>
                <c:pt idx="45">
                  <c:v>1</c:v>
                </c:pt>
              </c:numCache>
            </c:numRef>
          </c:val>
          <c:extLst>
            <c:ext xmlns:c16="http://schemas.microsoft.com/office/drawing/2014/chart" uri="{C3380CC4-5D6E-409C-BE32-E72D297353CC}">
              <c16:uniqueId val="{0000002E-6E82-4273-87B1-1CC09D173F3C}"/>
            </c:ext>
          </c:extLst>
        </c:ser>
        <c:bandFmts>
          <c:bandFmt>
            <c:idx val="0"/>
            <c:spPr>
              <a:ln w="9525" cap="rnd">
                <a:solidFill>
                  <a:schemeClr val="accent6">
                    <a:shade val="41000"/>
                  </a:schemeClr>
                </a:solidFill>
                <a:round/>
              </a:ln>
              <a:effectLst/>
            </c:spPr>
          </c:bandFmt>
          <c:bandFmt>
            <c:idx val="1"/>
            <c:spPr>
              <a:ln w="9525" cap="rnd">
                <a:solidFill>
                  <a:schemeClr val="accent6">
                    <a:shade val="53000"/>
                  </a:schemeClr>
                </a:solidFill>
                <a:round/>
              </a:ln>
              <a:effectLst/>
            </c:spPr>
          </c:bandFmt>
          <c:bandFmt>
            <c:idx val="2"/>
            <c:spPr>
              <a:ln w="9525" cap="rnd">
                <a:solidFill>
                  <a:schemeClr val="accent6">
                    <a:shade val="65000"/>
                  </a:schemeClr>
                </a:solidFill>
                <a:round/>
              </a:ln>
              <a:effectLst/>
            </c:spPr>
          </c:bandFmt>
          <c:bandFmt>
            <c:idx val="3"/>
            <c:spPr>
              <a:ln w="9525" cap="rnd">
                <a:solidFill>
                  <a:schemeClr val="accent6">
                    <a:shade val="76000"/>
                  </a:schemeClr>
                </a:solidFill>
                <a:round/>
              </a:ln>
              <a:effectLst/>
            </c:spPr>
          </c:bandFmt>
          <c:bandFmt>
            <c:idx val="4"/>
            <c:spPr>
              <a:ln w="9525" cap="rnd">
                <a:solidFill>
                  <a:schemeClr val="accent6">
                    <a:shade val="88000"/>
                  </a:schemeClr>
                </a:solidFill>
                <a:round/>
              </a:ln>
              <a:effectLst/>
            </c:spPr>
          </c:bandFmt>
          <c:bandFmt>
            <c:idx val="5"/>
            <c:spPr>
              <a:ln w="9525" cap="rnd">
                <a:solidFill>
                  <a:schemeClr val="accent6"/>
                </a:solidFill>
                <a:round/>
              </a:ln>
              <a:effectLst/>
            </c:spPr>
          </c:bandFmt>
          <c:bandFmt>
            <c:idx val="6"/>
            <c:spPr>
              <a:ln w="9525" cap="rnd">
                <a:solidFill>
                  <a:schemeClr val="accent6">
                    <a:tint val="89000"/>
                  </a:schemeClr>
                </a:solidFill>
                <a:round/>
              </a:ln>
              <a:effectLst/>
            </c:spPr>
          </c:bandFmt>
          <c:bandFmt>
            <c:idx val="7"/>
            <c:spPr>
              <a:ln w="9525" cap="rnd">
                <a:solidFill>
                  <a:schemeClr val="accent6">
                    <a:tint val="77000"/>
                  </a:schemeClr>
                </a:solidFill>
                <a:round/>
              </a:ln>
              <a:effectLst/>
            </c:spPr>
          </c:bandFmt>
          <c:bandFmt>
            <c:idx val="8"/>
            <c:spPr>
              <a:ln w="9525" cap="rnd">
                <a:solidFill>
                  <a:schemeClr val="accent6">
                    <a:tint val="65000"/>
                  </a:schemeClr>
                </a:solidFill>
                <a:round/>
              </a:ln>
              <a:effectLst/>
            </c:spPr>
          </c:bandFmt>
          <c:bandFmt>
            <c:idx val="9"/>
            <c:spPr>
              <a:ln w="9525" cap="rnd">
                <a:solidFill>
                  <a:schemeClr val="accent6">
                    <a:tint val="54000"/>
                  </a:schemeClr>
                </a:solidFill>
                <a:round/>
              </a:ln>
              <a:effectLst/>
            </c:spPr>
          </c:bandFmt>
          <c:bandFmt>
            <c:idx val="10"/>
            <c:spPr>
              <a:ln w="9525" cap="rnd">
                <a:solidFill>
                  <a:schemeClr val="accent6">
                    <a:tint val="42000"/>
                  </a:schemeClr>
                </a:solidFill>
                <a:round/>
              </a:ln>
              <a:effectLst/>
            </c:spPr>
          </c:bandFmt>
          <c:bandFmt>
            <c:idx val="11"/>
            <c:spPr>
              <a:ln w="9525" cap="rnd">
                <a:solidFill>
                  <a:schemeClr val="accent6">
                    <a:tint val="30000"/>
                  </a:schemeClr>
                </a:solidFill>
                <a:round/>
              </a:ln>
              <a:effectLst/>
            </c:spPr>
          </c:bandFmt>
          <c:bandFmt>
            <c:idx val="12"/>
            <c:spPr>
              <a:ln w="9525" cap="rnd">
                <a:solidFill>
                  <a:schemeClr val="accent6">
                    <a:tint val="19000"/>
                  </a:schemeClr>
                </a:solidFill>
                <a:round/>
              </a:ln>
              <a:effectLst/>
            </c:spPr>
          </c:bandFmt>
          <c:bandFmt>
            <c:idx val="13"/>
            <c:spPr>
              <a:ln w="9525" cap="rnd">
                <a:solidFill>
                  <a:schemeClr val="accent6">
                    <a:tint val="7000"/>
                  </a:schemeClr>
                </a:solidFill>
                <a:round/>
              </a:ln>
              <a:effectLst/>
            </c:spPr>
          </c:bandFmt>
          <c:bandFmt>
            <c:idx val="14"/>
            <c:spPr>
              <a:ln w="9525" cap="rnd">
                <a:solidFill>
                  <a:schemeClr val="accent6">
                    <a:tint val="95000"/>
                  </a:schemeClr>
                </a:solidFill>
                <a:round/>
              </a:ln>
              <a:effectLst/>
            </c:spPr>
          </c:bandFmt>
        </c:bandFmts>
        <c:axId val="1549533536"/>
        <c:axId val="1549535200"/>
        <c:axId val="50636720"/>
      </c:surface3DChart>
      <c:catAx>
        <c:axId val="1549533536"/>
        <c:scaling>
          <c:orientation val="maxMin"/>
        </c:scaling>
        <c:delete val="0"/>
        <c:axPos val="b"/>
        <c:numFmt formatCode="@"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549535200"/>
        <c:crosses val="autoZero"/>
        <c:auto val="1"/>
        <c:lblAlgn val="ctr"/>
        <c:lblOffset val="100"/>
        <c:tickLblSkip val="5"/>
        <c:noMultiLvlLbl val="0"/>
      </c:catAx>
      <c:valAx>
        <c:axId val="1549535200"/>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549533536"/>
        <c:crosses val="autoZero"/>
        <c:crossBetween val="midCat"/>
        <c:majorUnit val="0.1"/>
      </c:valAx>
      <c:serAx>
        <c:axId val="50636720"/>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549535200"/>
        <c:crosses val="autoZero"/>
        <c:tickLblSkip val="5"/>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s-ES"/>
              <a:t>Probabilidades</a:t>
            </a:r>
            <a:r>
              <a:rPr lang="es-ES" baseline="0"/>
              <a:t> por tema estudiado</a:t>
            </a:r>
            <a:endParaRPr lang="es-ES"/>
          </a:p>
        </c:rich>
      </c:tx>
      <c:overlay val="0"/>
      <c:spPr>
        <a:noFill/>
        <a:ln>
          <a:noFill/>
        </a:ln>
        <a:effectLst/>
      </c:spPr>
    </c:title>
    <c:autoTitleDeleted val="0"/>
    <c:view3D>
      <c:rotX val="22"/>
      <c:rotY val="45"/>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3348622922947981E-2"/>
          <c:y val="9.1614402758510488E-2"/>
          <c:w val="0.90964015440524026"/>
          <c:h val="0.85562865365923912"/>
        </c:manualLayout>
      </c:layout>
      <c:surface3DChart>
        <c:wireframe val="0"/>
        <c:ser>
          <c:idx val="0"/>
          <c:order val="0"/>
          <c:tx>
            <c:strRef>
              <c:f>'Ej. 3'!$P$59</c:f>
              <c:strCache>
                <c:ptCount val="1"/>
                <c:pt idx="0">
                  <c:v>0</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3'!$Q$59:$BJ$59</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5A3E-43E6-80E0-958E8C2306B8}"/>
            </c:ext>
          </c:extLst>
        </c:ser>
        <c:ser>
          <c:idx val="1"/>
          <c:order val="1"/>
          <c:tx>
            <c:strRef>
              <c:f>'Ej. 3'!$P$60</c:f>
              <c:strCache>
                <c:ptCount val="1"/>
                <c:pt idx="0">
                  <c:v>1</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3'!$Q$60:$BJ$60</c:f>
              <c:numCache>
                <c:formatCode>0.00%</c:formatCode>
                <c:ptCount val="46"/>
                <c:pt idx="0">
                  <c:v>0</c:v>
                </c:pt>
                <c:pt idx="1">
                  <c:v>9.8765432098765434E-4</c:v>
                </c:pt>
                <c:pt idx="2">
                  <c:v>1.3019079685746354E-3</c:v>
                </c:pt>
                <c:pt idx="3">
                  <c:v>1.4478114478114479E-3</c:v>
                </c:pt>
                <c:pt idx="4">
                  <c:v>1.5263748597081931E-3</c:v>
                </c:pt>
                <c:pt idx="5">
                  <c:v>1.5712682379349044E-3</c:v>
                </c:pt>
                <c:pt idx="6">
                  <c:v>1.5969215969215971E-3</c:v>
                </c:pt>
                <c:pt idx="7">
                  <c:v>1.6105499438832771E-3</c:v>
                </c:pt>
                <c:pt idx="8">
                  <c:v>1.6161616161616162E-3</c:v>
                </c:pt>
                <c:pt idx="9">
                  <c:v>1.6161616161616162E-3</c:v>
                </c:pt>
                <c:pt idx="10">
                  <c:v>1.6120803999591878E-3</c:v>
                </c:pt>
                <c:pt idx="11">
                  <c:v>1.6049382716049384E-3</c:v>
                </c:pt>
                <c:pt idx="12">
                  <c:v>1.5954415954415953E-3</c:v>
                </c:pt>
                <c:pt idx="13">
                  <c:v>1.5840949174282509E-3</c:v>
                </c:pt>
                <c:pt idx="14">
                  <c:v>1.5712682379349046E-3</c:v>
                </c:pt>
                <c:pt idx="15">
                  <c:v>1.5572390572390572E-3</c:v>
                </c:pt>
                <c:pt idx="16">
                  <c:v>1.5422195814352678E-3</c:v>
                </c:pt>
                <c:pt idx="17">
                  <c:v>1.5263748597081931E-3</c:v>
                </c:pt>
                <c:pt idx="18">
                  <c:v>1.5098351940457206E-3</c:v>
                </c:pt>
                <c:pt idx="19">
                  <c:v>1.4927048260381594E-3</c:v>
                </c:pt>
                <c:pt idx="20">
                  <c:v>1.4750681417348085E-3</c:v>
                </c:pt>
                <c:pt idx="21">
                  <c:v>1.4569941842669117E-3</c:v>
                </c:pt>
                <c:pt idx="22">
                  <c:v>1.438539989264627E-3</c:v>
                </c:pt>
                <c:pt idx="23">
                  <c:v>1.4197530864197532E-3</c:v>
                </c:pt>
                <c:pt idx="24">
                  <c:v>1.4006734006734006E-3</c:v>
                </c:pt>
                <c:pt idx="25">
                  <c:v>1.3813347146680482E-3</c:v>
                </c:pt>
                <c:pt idx="26">
                  <c:v>1.3617658062102507E-3</c:v>
                </c:pt>
                <c:pt idx="27">
                  <c:v>1.341991341991342E-3</c:v>
                </c:pt>
                <c:pt idx="28">
                  <c:v>1.3220325864004027E-3</c:v>
                </c:pt>
                <c:pt idx="29">
                  <c:v>1.3019079685746354E-3</c:v>
                </c:pt>
                <c:pt idx="30">
                  <c:v>1.2816335396980557E-3</c:v>
                </c:pt>
                <c:pt idx="31">
                  <c:v>1.2612233445566778E-3</c:v>
                </c:pt>
                <c:pt idx="32">
                  <c:v>1.2406897255382106E-3</c:v>
                </c:pt>
                <c:pt idx="33">
                  <c:v>1.2200435729847494E-3</c:v>
                </c:pt>
                <c:pt idx="34">
                  <c:v>1.1992945326278659E-3</c:v>
                </c:pt>
                <c:pt idx="35">
                  <c:v>1.1784511784511786E-3</c:v>
                </c:pt>
                <c:pt idx="36">
                  <c:v>1.1575211575211577E-3</c:v>
                </c:pt>
                <c:pt idx="37">
                  <c:v>1.1365113119499084E-3</c:v>
                </c:pt>
                <c:pt idx="38">
                  <c:v>1.1154277820944487E-3</c:v>
                </c:pt>
                <c:pt idx="39">
                  <c:v>1.0942760942760942E-3</c:v>
                </c:pt>
                <c:pt idx="40">
                  <c:v>1.0730612356628618E-3</c:v>
                </c:pt>
                <c:pt idx="41">
                  <c:v>1.0517877184543852E-3</c:v>
                </c:pt>
                <c:pt idx="42">
                  <c:v>1.030459635110798E-3</c:v>
                </c:pt>
                <c:pt idx="43">
                  <c:v>1.0090807060504031E-3</c:v>
                </c:pt>
                <c:pt idx="44">
                  <c:v>9.8765432098765434E-4</c:v>
                </c:pt>
                <c:pt idx="45">
                  <c:v>9.6618357487922714E-4</c:v>
                </c:pt>
              </c:numCache>
            </c:numRef>
          </c:val>
          <c:extLst>
            <c:ext xmlns:c16="http://schemas.microsoft.com/office/drawing/2014/chart" uri="{C3380CC4-5D6E-409C-BE32-E72D297353CC}">
              <c16:uniqueId val="{00000001-5A3E-43E6-80E0-958E8C2306B8}"/>
            </c:ext>
          </c:extLst>
        </c:ser>
        <c:ser>
          <c:idx val="2"/>
          <c:order val="2"/>
          <c:tx>
            <c:strRef>
              <c:f>'Ej. 3'!$P$61</c:f>
              <c:strCache>
                <c:ptCount val="1"/>
                <c:pt idx="0">
                  <c:v>2</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3'!$Q$61:$BJ$61</c:f>
              <c:numCache>
                <c:formatCode>0.00%</c:formatCode>
                <c:ptCount val="46"/>
                <c:pt idx="0">
                  <c:v>0</c:v>
                </c:pt>
                <c:pt idx="1">
                  <c:v>1.3019079685746354E-3</c:v>
                </c:pt>
                <c:pt idx="2">
                  <c:v>1.9306703397612493E-3</c:v>
                </c:pt>
                <c:pt idx="3">
                  <c:v>2.2901744719926545E-3</c:v>
                </c:pt>
                <c:pt idx="4">
                  <c:v>2.5150494847464545E-3</c:v>
                </c:pt>
                <c:pt idx="5">
                  <c:v>2.6629935720844816E-3</c:v>
                </c:pt>
                <c:pt idx="6">
                  <c:v>2.7628558310376495E-3</c:v>
                </c:pt>
                <c:pt idx="7">
                  <c:v>2.8306635377342449E-3</c:v>
                </c:pt>
                <c:pt idx="8">
                  <c:v>2.8760330578512399E-3</c:v>
                </c:pt>
                <c:pt idx="9">
                  <c:v>2.9050838968194344E-3</c:v>
                </c:pt>
                <c:pt idx="10">
                  <c:v>2.9218957249260284E-3</c:v>
                </c:pt>
                <c:pt idx="11">
                  <c:v>2.9292929292929299E-3</c:v>
                </c:pt>
                <c:pt idx="12">
                  <c:v>2.9292929292929299E-3</c:v>
                </c:pt>
                <c:pt idx="13">
                  <c:v>2.9233751657994087E-3</c:v>
                </c:pt>
                <c:pt idx="14">
                  <c:v>2.9126492194674015E-3</c:v>
                </c:pt>
                <c:pt idx="15">
                  <c:v>2.8979635931507589E-3</c:v>
                </c:pt>
                <c:pt idx="16">
                  <c:v>2.8799782335135874E-3</c:v>
                </c:pt>
                <c:pt idx="17">
                  <c:v>2.8592141510801802E-3</c:v>
                </c:pt>
                <c:pt idx="18">
                  <c:v>2.8360881542699732E-3</c:v>
                </c:pt>
                <c:pt idx="19">
                  <c:v>2.8109376594225082E-3</c:v>
                </c:pt>
                <c:pt idx="20">
                  <c:v>2.7840387344519584E-3</c:v>
                </c:pt>
                <c:pt idx="21">
                  <c:v>2.7556194354613327E-3</c:v>
                </c:pt>
                <c:pt idx="22">
                  <c:v>2.725869809203143E-3</c:v>
                </c:pt>
                <c:pt idx="23">
                  <c:v>2.6949494949494949E-3</c:v>
                </c:pt>
                <c:pt idx="24">
                  <c:v>2.6629935720844816E-3</c:v>
                </c:pt>
                <c:pt idx="25">
                  <c:v>2.6301171082315868E-3</c:v>
                </c:pt>
                <c:pt idx="26">
                  <c:v>2.5964187327823696E-3</c:v>
                </c:pt>
                <c:pt idx="27">
                  <c:v>2.5619834710743808E-3</c:v>
                </c:pt>
                <c:pt idx="28">
                  <c:v>2.526885011733497E-3</c:v>
                </c:pt>
                <c:pt idx="29">
                  <c:v>2.4911875351758058E-3</c:v>
                </c:pt>
                <c:pt idx="30">
                  <c:v>2.454947199265381E-3</c:v>
                </c:pt>
                <c:pt idx="31">
                  <c:v>2.4182133548524736E-3</c:v>
                </c:pt>
                <c:pt idx="32">
                  <c:v>2.3810295468049483E-3</c:v>
                </c:pt>
                <c:pt idx="33">
                  <c:v>2.343434343434344E-3</c:v>
                </c:pt>
                <c:pt idx="34">
                  <c:v>2.3054620276842502E-3</c:v>
                </c:pt>
                <c:pt idx="35">
                  <c:v>2.267143176234086E-3</c:v>
                </c:pt>
                <c:pt idx="36">
                  <c:v>2.2285051471654348E-3</c:v>
                </c:pt>
                <c:pt idx="37">
                  <c:v>2.1895724926027957E-3</c:v>
                </c:pt>
                <c:pt idx="38">
                  <c:v>2.1503673094582188E-3</c:v>
                </c:pt>
                <c:pt idx="39">
                  <c:v>2.1109095388474552E-3</c:v>
                </c:pt>
                <c:pt idx="40">
                  <c:v>2.0712172227323744E-3</c:v>
                </c:pt>
                <c:pt idx="41">
                  <c:v>2.0313067247528138E-3</c:v>
                </c:pt>
                <c:pt idx="42">
                  <c:v>1.9911929209449871E-3</c:v>
                </c:pt>
                <c:pt idx="43">
                  <c:v>1.9508893650307794E-3</c:v>
                </c:pt>
                <c:pt idx="44">
                  <c:v>1.9104084321475629E-3</c:v>
                </c:pt>
                <c:pt idx="45">
                  <c:v>1.8697614442295296E-3</c:v>
                </c:pt>
              </c:numCache>
            </c:numRef>
          </c:val>
          <c:extLst>
            <c:ext xmlns:c16="http://schemas.microsoft.com/office/drawing/2014/chart" uri="{C3380CC4-5D6E-409C-BE32-E72D297353CC}">
              <c16:uniqueId val="{00000002-5A3E-43E6-80E0-958E8C2306B8}"/>
            </c:ext>
          </c:extLst>
        </c:ser>
        <c:ser>
          <c:idx val="3"/>
          <c:order val="3"/>
          <c:tx>
            <c:strRef>
              <c:f>'Ej. 3'!$P$62</c:f>
              <c:strCache>
                <c:ptCount val="1"/>
                <c:pt idx="0">
                  <c:v>3</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3'!$Q$62:$BJ$62</c:f>
              <c:numCache>
                <c:formatCode>0.00%</c:formatCode>
                <c:ptCount val="46"/>
                <c:pt idx="0">
                  <c:v>0</c:v>
                </c:pt>
                <c:pt idx="1">
                  <c:v>1.4478114478114479E-3</c:v>
                </c:pt>
                <c:pt idx="2">
                  <c:v>2.2901744719926545E-3</c:v>
                </c:pt>
                <c:pt idx="3">
                  <c:v>2.8298132843587388E-3</c:v>
                </c:pt>
                <c:pt idx="4">
                  <c:v>3.1964668328304693E-3</c:v>
                </c:pt>
                <c:pt idx="5">
                  <c:v>3.4550045913682276E-3</c:v>
                </c:pt>
                <c:pt idx="6">
                  <c:v>3.6414651566166723E-3</c:v>
                </c:pt>
                <c:pt idx="7">
                  <c:v>3.7774716865625951E-3</c:v>
                </c:pt>
                <c:pt idx="8">
                  <c:v>3.8767843726521412E-3</c:v>
                </c:pt>
                <c:pt idx="9">
                  <c:v>3.9485766758494039E-3</c:v>
                </c:pt>
                <c:pt idx="10">
                  <c:v>3.9991994537449081E-3</c:v>
                </c:pt>
                <c:pt idx="11">
                  <c:v>4.0331890331890335E-3</c:v>
                </c:pt>
                <c:pt idx="12">
                  <c:v>4.0538720538720544E-3</c:v>
                </c:pt>
                <c:pt idx="13">
                  <c:v>4.0637434955616775E-3</c:v>
                </c:pt>
                <c:pt idx="14">
                  <c:v>4.0647112839626211E-3</c:v>
                </c:pt>
                <c:pt idx="15">
                  <c:v>4.0582593612896638E-3</c:v>
                </c:pt>
                <c:pt idx="16">
                  <c:v>4.0455592608702661E-3</c:v>
                </c:pt>
                <c:pt idx="17">
                  <c:v>4.0275482093663911E-3</c:v>
                </c:pt>
                <c:pt idx="18">
                  <c:v>4.0049849140758233E-3</c:v>
                </c:pt>
                <c:pt idx="19">
                  <c:v>3.9784901355149295E-3</c:v>
                </c:pt>
                <c:pt idx="20">
                  <c:v>3.9485766758494039E-3</c:v>
                </c:pt>
                <c:pt idx="21">
                  <c:v>3.9156718702173252E-3</c:v>
                </c:pt>
                <c:pt idx="22">
                  <c:v>3.8801346801346803E-3</c:v>
                </c:pt>
                <c:pt idx="23">
                  <c:v>3.8422688422688417E-3</c:v>
                </c:pt>
                <c:pt idx="24">
                  <c:v>3.8023330952623884E-3</c:v>
                </c:pt>
                <c:pt idx="25">
                  <c:v>3.7605492150946701E-3</c:v>
                </c:pt>
                <c:pt idx="26">
                  <c:v>3.7171083879547835E-3</c:v>
                </c:pt>
                <c:pt idx="27">
                  <c:v>3.672176308539945E-3</c:v>
                </c:pt>
                <c:pt idx="28">
                  <c:v>3.6258972915864411E-3</c:v>
                </c:pt>
                <c:pt idx="29">
                  <c:v>3.5783976124885222E-3</c:v>
                </c:pt>
                <c:pt idx="30">
                  <c:v>3.5297882405320416E-3</c:v>
                </c:pt>
                <c:pt idx="31">
                  <c:v>3.4801670897927585E-3</c:v>
                </c:pt>
                <c:pt idx="32">
                  <c:v>3.4296208841663391E-3</c:v>
                </c:pt>
                <c:pt idx="33">
                  <c:v>3.3782267115600451E-3</c:v>
                </c:pt>
                <c:pt idx="34">
                  <c:v>3.3260533260533261E-3</c:v>
                </c:pt>
                <c:pt idx="35">
                  <c:v>3.2731622444541106E-3</c:v>
                </c:pt>
                <c:pt idx="36">
                  <c:v>3.2196086741541293E-3</c:v>
                </c:pt>
                <c:pt idx="37">
                  <c:v>3.165442301805938E-3</c:v>
                </c:pt>
                <c:pt idx="38">
                  <c:v>3.1107079665837981E-3</c:v>
                </c:pt>
                <c:pt idx="39">
                  <c:v>3.0554462372644189E-3</c:v>
                </c:pt>
                <c:pt idx="40">
                  <c:v>2.9996939087848177E-3</c:v>
                </c:pt>
                <c:pt idx="41">
                  <c:v>2.9434844310877368E-3</c:v>
                </c:pt>
                <c:pt idx="42">
                  <c:v>2.8868482807876752E-3</c:v>
                </c:pt>
                <c:pt idx="43">
                  <c:v>2.8298132843587393E-3</c:v>
                </c:pt>
                <c:pt idx="44">
                  <c:v>2.7724049000644748E-3</c:v>
                </c:pt>
                <c:pt idx="45">
                  <c:v>2.7146464646464648E-3</c:v>
                </c:pt>
              </c:numCache>
            </c:numRef>
          </c:val>
          <c:extLst>
            <c:ext xmlns:c16="http://schemas.microsoft.com/office/drawing/2014/chart" uri="{C3380CC4-5D6E-409C-BE32-E72D297353CC}">
              <c16:uniqueId val="{00000003-5A3E-43E6-80E0-958E8C2306B8}"/>
            </c:ext>
          </c:extLst>
        </c:ser>
        <c:ser>
          <c:idx val="4"/>
          <c:order val="4"/>
          <c:tx>
            <c:strRef>
              <c:f>'Ej. 3'!$P$63</c:f>
              <c:strCache>
                <c:ptCount val="1"/>
                <c:pt idx="0">
                  <c:v>4</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3'!$Q$63:$BJ$63</c:f>
              <c:numCache>
                <c:formatCode>0.00%</c:formatCode>
                <c:ptCount val="46"/>
                <c:pt idx="0">
                  <c:v>0</c:v>
                </c:pt>
                <c:pt idx="1">
                  <c:v>1.5263748597081931E-3</c:v>
                </c:pt>
                <c:pt idx="2">
                  <c:v>2.5150494847464545E-3</c:v>
                </c:pt>
                <c:pt idx="3">
                  <c:v>3.1964668328304693E-3</c:v>
                </c:pt>
                <c:pt idx="4">
                  <c:v>3.6858483828180796E-3</c:v>
                </c:pt>
                <c:pt idx="5">
                  <c:v>4.0472060674080872E-3</c:v>
                </c:pt>
                <c:pt idx="6">
                  <c:v>4.3189470462197729E-3</c:v>
                </c:pt>
                <c:pt idx="7">
                  <c:v>4.5255122390108612E-3</c:v>
                </c:pt>
                <c:pt idx="8">
                  <c:v>4.6831955922865013E-3</c:v>
                </c:pt>
                <c:pt idx="9">
                  <c:v>4.8032775305502573E-3</c:v>
                </c:pt>
                <c:pt idx="10">
                  <c:v>4.8938154998761059E-3</c:v>
                </c:pt>
                <c:pt idx="11">
                  <c:v>4.9607182940516279E-3</c:v>
                </c:pt>
                <c:pt idx="12">
                  <c:v>5.008417508417508E-3</c:v>
                </c:pt>
                <c:pt idx="13">
                  <c:v>5.0403020099989791E-3</c:v>
                </c:pt>
                <c:pt idx="14">
                  <c:v>5.059007584260109E-3</c:v>
                </c:pt>
                <c:pt idx="15">
                  <c:v>5.0666151144620033E-3</c:v>
                </c:pt>
                <c:pt idx="16">
                  <c:v>5.0647893072135498E-3</c:v>
                </c:pt>
                <c:pt idx="17">
                  <c:v>5.0548777821505086E-3</c:v>
                </c:pt>
                <c:pt idx="18">
                  <c:v>5.0379831371566907E-3</c:v>
                </c:pt>
                <c:pt idx="19">
                  <c:v>5.0150162139621949E-3</c:v>
                </c:pt>
                <c:pt idx="20">
                  <c:v>4.986736047342108E-3</c:v>
                </c:pt>
                <c:pt idx="21">
                  <c:v>4.953780226507499E-3</c:v>
                </c:pt>
                <c:pt idx="22">
                  <c:v>4.916688250021584E-3</c:v>
                </c:pt>
                <c:pt idx="23">
                  <c:v>4.8759196907345046E-3</c:v>
                </c:pt>
                <c:pt idx="24">
                  <c:v>4.8318684682321037E-3</c:v>
                </c:pt>
                <c:pt idx="25">
                  <c:v>4.7848741683642424E-3</c:v>
                </c:pt>
                <c:pt idx="26">
                  <c:v>4.7352310988674623E-3</c:v>
                </c:pt>
                <c:pt idx="27">
                  <c:v>4.6831955922865013E-3</c:v>
                </c:pt>
                <c:pt idx="28">
                  <c:v>4.6289919395979999E-3</c:v>
                </c:pt>
                <c:pt idx="29">
                  <c:v>4.5728172449935539E-3</c:v>
                </c:pt>
                <c:pt idx="30">
                  <c:v>4.5148454239363322E-3</c:v>
                </c:pt>
                <c:pt idx="31">
                  <c:v>4.4552305158365767E-3</c:v>
                </c:pt>
                <c:pt idx="32">
                  <c:v>4.3941094446144947E-3</c:v>
                </c:pt>
                <c:pt idx="33">
                  <c:v>4.331604331604331E-3</c:v>
                </c:pt>
                <c:pt idx="34">
                  <c:v>4.267824443263039E-3</c:v>
                </c:pt>
                <c:pt idx="35">
                  <c:v>4.202867839231475E-3</c:v>
                </c:pt>
                <c:pt idx="36">
                  <c:v>4.1368227731864099E-3</c:v>
                </c:pt>
                <c:pt idx="37">
                  <c:v>4.0697688886898054E-3</c:v>
                </c:pt>
                <c:pt idx="38">
                  <c:v>4.0017782442024865E-3</c:v>
                </c:pt>
                <c:pt idx="39">
                  <c:v>3.9329161950726428E-3</c:v>
                </c:pt>
                <c:pt idx="40">
                  <c:v>3.8632421552531743E-3</c:v>
                </c:pt>
                <c:pt idx="41">
                  <c:v>3.7928102574567224E-3</c:v>
                </c:pt>
                <c:pt idx="42">
                  <c:v>3.721669927203524E-3</c:v>
                </c:pt>
                <c:pt idx="43">
                  <c:v>3.6498663835865643E-3</c:v>
                </c:pt>
                <c:pt idx="44">
                  <c:v>3.5774410774410772E-3</c:v>
                </c:pt>
                <c:pt idx="45">
                  <c:v>3.5044320758606472E-3</c:v>
                </c:pt>
              </c:numCache>
            </c:numRef>
          </c:val>
          <c:extLst>
            <c:ext xmlns:c16="http://schemas.microsoft.com/office/drawing/2014/chart" uri="{C3380CC4-5D6E-409C-BE32-E72D297353CC}">
              <c16:uniqueId val="{00000004-5A3E-43E6-80E0-958E8C2306B8}"/>
            </c:ext>
          </c:extLst>
        </c:ser>
        <c:ser>
          <c:idx val="5"/>
          <c:order val="5"/>
          <c:tx>
            <c:strRef>
              <c:f>'Ej. 3'!$P$64</c:f>
              <c:strCache>
                <c:ptCount val="1"/>
                <c:pt idx="0">
                  <c:v>5</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3'!$Q$64:$BJ$64</c:f>
              <c:numCache>
                <c:formatCode>0.00%</c:formatCode>
                <c:ptCount val="46"/>
                <c:pt idx="0">
                  <c:v>0</c:v>
                </c:pt>
                <c:pt idx="1">
                  <c:v>1.5712682379349044E-3</c:v>
                </c:pt>
                <c:pt idx="2">
                  <c:v>2.6629935720844816E-3</c:v>
                </c:pt>
                <c:pt idx="3">
                  <c:v>3.4550045913682276E-3</c:v>
                </c:pt>
                <c:pt idx="4">
                  <c:v>4.0472060674080872E-3</c:v>
                </c:pt>
                <c:pt idx="5">
                  <c:v>4.4995408631772257E-3</c:v>
                </c:pt>
                <c:pt idx="6">
                  <c:v>4.8501544369312956E-3</c:v>
                </c:pt>
                <c:pt idx="7">
                  <c:v>5.1244770941740632E-3</c:v>
                </c:pt>
                <c:pt idx="8">
                  <c:v>5.3401144310235215E-3</c:v>
                </c:pt>
                <c:pt idx="9">
                  <c:v>5.5096418732782362E-3</c:v>
                </c:pt>
                <c:pt idx="10">
                  <c:v>5.6422813998571577E-3</c:v>
                </c:pt>
                <c:pt idx="11">
                  <c:v>5.7449494949494946E-3</c:v>
                </c:pt>
                <c:pt idx="12">
                  <c:v>5.8229352346999396E-3</c:v>
                </c:pt>
                <c:pt idx="13">
                  <c:v>5.8803523449988092E-3</c:v>
                </c:pt>
                <c:pt idx="14">
                  <c:v>5.9204485041805602E-3</c:v>
                </c:pt>
                <c:pt idx="15">
                  <c:v>5.9458218549127625E-3</c:v>
                </c:pt>
                <c:pt idx="16">
                  <c:v>5.9585756555453522E-3</c:v>
                </c:pt>
                <c:pt idx="17">
                  <c:v>5.9604307538191825E-3</c:v>
                </c:pt>
                <c:pt idx="18">
                  <c:v>5.952808719607139E-3</c:v>
                </c:pt>
                <c:pt idx="19">
                  <c:v>5.9368941944699513E-3</c:v>
                </c:pt>
                <c:pt idx="20">
                  <c:v>5.9136822773186402E-3</c:v>
                </c:pt>
                <c:pt idx="21">
                  <c:v>5.884014974924065E-3</c:v>
                </c:pt>
                <c:pt idx="22">
                  <c:v>5.8486095523132553E-3</c:v>
                </c:pt>
                <c:pt idx="23">
                  <c:v>5.8080808080808064E-3</c:v>
                </c:pt>
                <c:pt idx="24">
                  <c:v>5.7629587410151671E-3</c:v>
                </c:pt>
                <c:pt idx="25">
                  <c:v>5.713702683399653E-3</c:v>
                </c:pt>
                <c:pt idx="26">
                  <c:v>5.6607126988358651E-3</c:v>
                </c:pt>
                <c:pt idx="27">
                  <c:v>5.6043388429752056E-3</c:v>
                </c:pt>
                <c:pt idx="28">
                  <c:v>5.5448887404810259E-3</c:v>
                </c:pt>
                <c:pt idx="29">
                  <c:v>5.4826338248798144E-3</c:v>
                </c:pt>
                <c:pt idx="30">
                  <c:v>5.4178145087235979E-3</c:v>
                </c:pt>
                <c:pt idx="31">
                  <c:v>5.3506444920586324E-3</c:v>
                </c:pt>
                <c:pt idx="32">
                  <c:v>5.2813143722234635E-3</c:v>
                </c:pt>
                <c:pt idx="33">
                  <c:v>5.2099946836788938E-3</c:v>
                </c:pt>
                <c:pt idx="34">
                  <c:v>5.1368384701718029E-3</c:v>
                </c:pt>
                <c:pt idx="35">
                  <c:v>5.06198347107438E-3</c:v>
                </c:pt>
                <c:pt idx="36">
                  <c:v>4.9855539877712825E-3</c:v>
                </c:pt>
                <c:pt idx="37">
                  <c:v>4.9076624834200593E-3</c:v>
                </c:pt>
                <c:pt idx="38">
                  <c:v>4.8284109594891834E-3</c:v>
                </c:pt>
                <c:pt idx="39">
                  <c:v>4.7478921445863595E-3</c:v>
                </c:pt>
                <c:pt idx="40">
                  <c:v>4.6661905247763827E-3</c:v>
                </c:pt>
                <c:pt idx="41">
                  <c:v>4.583383239509721E-3</c:v>
                </c:pt>
                <c:pt idx="42">
                  <c:v>4.4995408631772265E-3</c:v>
                </c:pt>
                <c:pt idx="43">
                  <c:v>4.414728088970513E-3</c:v>
                </c:pt>
                <c:pt idx="44">
                  <c:v>4.3290043290043281E-3</c:v>
                </c:pt>
                <c:pt idx="45">
                  <c:v>4.242424242424242E-3</c:v>
                </c:pt>
              </c:numCache>
            </c:numRef>
          </c:val>
          <c:extLst>
            <c:ext xmlns:c16="http://schemas.microsoft.com/office/drawing/2014/chart" uri="{C3380CC4-5D6E-409C-BE32-E72D297353CC}">
              <c16:uniqueId val="{00000005-5A3E-43E6-80E0-958E8C2306B8}"/>
            </c:ext>
          </c:extLst>
        </c:ser>
        <c:ser>
          <c:idx val="6"/>
          <c:order val="6"/>
          <c:tx>
            <c:strRef>
              <c:f>'Ej. 3'!$P$65</c:f>
              <c:strCache>
                <c:ptCount val="1"/>
                <c:pt idx="0">
                  <c:v>6</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3'!$Q$65:$BJ$65</c:f>
              <c:numCache>
                <c:formatCode>0.00%</c:formatCode>
                <c:ptCount val="46"/>
                <c:pt idx="0">
                  <c:v>0</c:v>
                </c:pt>
                <c:pt idx="1">
                  <c:v>1.5969215969215971E-3</c:v>
                </c:pt>
                <c:pt idx="2">
                  <c:v>2.7628558310376495E-3</c:v>
                </c:pt>
                <c:pt idx="3">
                  <c:v>3.6414651566166723E-3</c:v>
                </c:pt>
                <c:pt idx="4">
                  <c:v>4.3189470462197729E-3</c:v>
                </c:pt>
                <c:pt idx="5">
                  <c:v>4.8501544369312956E-3</c:v>
                </c:pt>
                <c:pt idx="6">
                  <c:v>5.2716559534741357E-3</c:v>
                </c:pt>
                <c:pt idx="7">
                  <c:v>5.608768336041064E-3</c:v>
                </c:pt>
                <c:pt idx="8">
                  <c:v>5.8795749704840614E-3</c:v>
                </c:pt>
                <c:pt idx="9">
                  <c:v>6.0973370064279159E-3</c:v>
                </c:pt>
                <c:pt idx="10">
                  <c:v>6.2720003060912155E-3</c:v>
                </c:pt>
                <c:pt idx="11">
                  <c:v>6.4111705288175877E-3</c:v>
                </c:pt>
                <c:pt idx="12">
                  <c:v>6.5207631874298544E-3</c:v>
                </c:pt>
                <c:pt idx="13">
                  <c:v>6.6054484236302427E-3</c:v>
                </c:pt>
                <c:pt idx="14">
                  <c:v>6.6689623507805327E-3</c:v>
                </c:pt>
                <c:pt idx="15">
                  <c:v>6.7143294416021678E-3</c:v>
                </c:pt>
                <c:pt idx="16">
                  <c:v>6.7440242646854224E-3</c:v>
                </c:pt>
                <c:pt idx="17">
                  <c:v>6.7600910288657329E-3</c:v>
                </c:pt>
                <c:pt idx="18">
                  <c:v>6.7642332415059694E-3</c:v>
                </c:pt>
                <c:pt idx="19">
                  <c:v>6.7578818487909397E-3</c:v>
                </c:pt>
                <c:pt idx="20">
                  <c:v>6.742247651338561E-3</c:v>
                </c:pt>
                <c:pt idx="21">
                  <c:v>6.7183620718974258E-3</c:v>
                </c:pt>
                <c:pt idx="22">
                  <c:v>6.6871091871091876E-3</c:v>
                </c:pt>
                <c:pt idx="23">
                  <c:v>6.6492511320097522E-3</c:v>
                </c:pt>
                <c:pt idx="24">
                  <c:v>6.6054484236302419E-3</c:v>
                </c:pt>
                <c:pt idx="25">
                  <c:v>6.5562763509977593E-3</c:v>
                </c:pt>
                <c:pt idx="26">
                  <c:v>6.5022382920110191E-3</c:v>
                </c:pt>
                <c:pt idx="27">
                  <c:v>6.4437766090658655E-3</c:v>
                </c:pt>
                <c:pt idx="28">
                  <c:v>6.3812816219233331E-3</c:v>
                </c:pt>
                <c:pt idx="29">
                  <c:v>6.3150990423717704E-3</c:v>
                </c:pt>
                <c:pt idx="30">
                  <c:v>6.2455361697785934E-3</c:v>
                </c:pt>
                <c:pt idx="31">
                  <c:v>6.172867081957991E-3</c:v>
                </c:pt>
                <c:pt idx="32">
                  <c:v>6.0973370064279159E-3</c:v>
                </c:pt>
                <c:pt idx="33">
                  <c:v>6.0191660191660197E-3</c:v>
                </c:pt>
                <c:pt idx="34">
                  <c:v>5.9385521885521892E-3</c:v>
                </c:pt>
                <c:pt idx="35">
                  <c:v>5.8556742592219312E-3</c:v>
                </c:pt>
                <c:pt idx="36">
                  <c:v>5.7706939525121355E-3</c:v>
                </c:pt>
                <c:pt idx="37">
                  <c:v>5.6837579459143948E-3</c:v>
                </c:pt>
                <c:pt idx="38">
                  <c:v>5.5949995826028885E-3</c:v>
                </c:pt>
                <c:pt idx="39">
                  <c:v>5.5045403530252024E-3</c:v>
                </c:pt>
                <c:pt idx="40">
                  <c:v>5.4124911832421716E-3</c:v>
                </c:pt>
                <c:pt idx="41">
                  <c:v>5.3189535587988192E-3</c:v>
                </c:pt>
                <c:pt idx="42">
                  <c:v>5.2240205081114169E-3</c:v>
                </c:pt>
                <c:pt idx="43">
                  <c:v>5.1277774654398039E-3</c:v>
                </c:pt>
                <c:pt idx="44">
                  <c:v>5.0303030303030308E-3</c:v>
                </c:pt>
                <c:pt idx="45">
                  <c:v>4.9316696375519909E-3</c:v>
                </c:pt>
              </c:numCache>
            </c:numRef>
          </c:val>
          <c:extLst>
            <c:ext xmlns:c16="http://schemas.microsoft.com/office/drawing/2014/chart" uri="{C3380CC4-5D6E-409C-BE32-E72D297353CC}">
              <c16:uniqueId val="{00000006-5A3E-43E6-80E0-958E8C2306B8}"/>
            </c:ext>
          </c:extLst>
        </c:ser>
        <c:ser>
          <c:idx val="7"/>
          <c:order val="7"/>
          <c:tx>
            <c:strRef>
              <c:f>'Ej. 3'!$P$66</c:f>
              <c:strCache>
                <c:ptCount val="1"/>
                <c:pt idx="0">
                  <c:v>7</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3'!$Q$66:$BJ$66</c:f>
              <c:numCache>
                <c:formatCode>0.00%</c:formatCode>
                <c:ptCount val="46"/>
                <c:pt idx="0">
                  <c:v>0</c:v>
                </c:pt>
                <c:pt idx="1">
                  <c:v>1.6105499438832771E-3</c:v>
                </c:pt>
                <c:pt idx="2">
                  <c:v>2.8306635377342449E-3</c:v>
                </c:pt>
                <c:pt idx="3">
                  <c:v>3.7774716865625951E-3</c:v>
                </c:pt>
                <c:pt idx="4">
                  <c:v>4.5255122390108612E-3</c:v>
                </c:pt>
                <c:pt idx="5">
                  <c:v>5.1244770941740632E-3</c:v>
                </c:pt>
                <c:pt idx="6">
                  <c:v>5.608768336041064E-3</c:v>
                </c:pt>
                <c:pt idx="7">
                  <c:v>6.0029588817467599E-3</c:v>
                </c:pt>
                <c:pt idx="8">
                  <c:v>6.325068870523416E-3</c:v>
                </c:pt>
                <c:pt idx="9">
                  <c:v>6.5886134067952244E-3</c:v>
                </c:pt>
                <c:pt idx="10">
                  <c:v>6.803927570415984E-3</c:v>
                </c:pt>
                <c:pt idx="11">
                  <c:v>6.979049756827534E-3</c:v>
                </c:pt>
                <c:pt idx="12">
                  <c:v>7.1203260676944886E-3</c:v>
                </c:pt>
                <c:pt idx="13">
                  <c:v>7.2328333843485349E-3</c:v>
                </c:pt>
                <c:pt idx="14">
                  <c:v>7.3206815631058049E-3</c:v>
                </c:pt>
                <c:pt idx="15">
                  <c:v>7.3872332136794942E-3</c:v>
                </c:pt>
                <c:pt idx="16">
                  <c:v>7.4352661440935481E-3</c:v>
                </c:pt>
                <c:pt idx="17">
                  <c:v>7.467095194367921E-3</c:v>
                </c:pt>
                <c:pt idx="18">
                  <c:v>7.4846648301193754E-3</c:v>
                </c:pt>
                <c:pt idx="19">
                  <c:v>7.4896203684082464E-3</c:v>
                </c:pt>
                <c:pt idx="20">
                  <c:v>7.4833633756192681E-3</c:v>
                </c:pt>
                <c:pt idx="21">
                  <c:v>7.4670951943679202E-3</c:v>
                </c:pt>
                <c:pt idx="22">
                  <c:v>7.4418514648399705E-3</c:v>
                </c:pt>
                <c:pt idx="23">
                  <c:v>7.4085297418630741E-3</c:v>
                </c:pt>
                <c:pt idx="24">
                  <c:v>7.367911766738745E-3</c:v>
                </c:pt>
                <c:pt idx="25">
                  <c:v>7.3206815631058058E-3</c:v>
                </c:pt>
                <c:pt idx="26">
                  <c:v>7.2674402426468531E-3</c:v>
                </c:pt>
                <c:pt idx="27">
                  <c:v>7.2087181980230106E-3</c:v>
                </c:pt>
                <c:pt idx="28">
                  <c:v>7.1449852055912649E-3</c:v>
                </c:pt>
                <c:pt idx="29">
                  <c:v>7.0766588443356114E-3</c:v>
                </c:pt>
                <c:pt idx="30">
                  <c:v>7.0041115495660927E-3</c:v>
                </c:pt>
                <c:pt idx="31">
                  <c:v>6.9276765528759141E-3</c:v>
                </c:pt>
                <c:pt idx="32">
                  <c:v>6.8476529082589681E-3</c:v>
                </c:pt>
                <c:pt idx="33">
                  <c:v>6.7643097643097644E-3</c:v>
                </c:pt>
                <c:pt idx="34">
                  <c:v>6.677890011223344E-3</c:v>
                </c:pt>
                <c:pt idx="35">
                  <c:v>6.5886134067952244E-3</c:v>
                </c:pt>
                <c:pt idx="36">
                  <c:v>6.4966792662352925E-3</c:v>
                </c:pt>
                <c:pt idx="37">
                  <c:v>6.4022687851888948E-3</c:v>
                </c:pt>
                <c:pt idx="38">
                  <c:v>6.3055470530217995E-3</c:v>
                </c:pt>
                <c:pt idx="39">
                  <c:v>6.2066648035027485E-3</c:v>
                </c:pt>
                <c:pt idx="40">
                  <c:v>6.1057599419946278E-3</c:v>
                </c:pt>
                <c:pt idx="41">
                  <c:v>6.002958881746759E-3</c:v>
                </c:pt>
                <c:pt idx="42">
                  <c:v>5.8983777165595337E-3</c:v>
                </c:pt>
                <c:pt idx="43">
                  <c:v>5.7921232527293129E-3</c:v>
                </c:pt>
                <c:pt idx="44">
                  <c:v>5.6842939195880368E-3</c:v>
                </c:pt>
                <c:pt idx="45">
                  <c:v>5.5749805749805747E-3</c:v>
                </c:pt>
              </c:numCache>
            </c:numRef>
          </c:val>
          <c:extLst>
            <c:ext xmlns:c16="http://schemas.microsoft.com/office/drawing/2014/chart" uri="{C3380CC4-5D6E-409C-BE32-E72D297353CC}">
              <c16:uniqueId val="{00000007-5A3E-43E6-80E0-958E8C2306B8}"/>
            </c:ext>
          </c:extLst>
        </c:ser>
        <c:ser>
          <c:idx val="8"/>
          <c:order val="8"/>
          <c:tx>
            <c:strRef>
              <c:f>'Ej. 3'!$P$67</c:f>
              <c:strCache>
                <c:ptCount val="1"/>
                <c:pt idx="0">
                  <c:v>8</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3'!$Q$67:$BJ$67</c:f>
              <c:numCache>
                <c:formatCode>0.00%</c:formatCode>
                <c:ptCount val="46"/>
                <c:pt idx="0">
                  <c:v>0</c:v>
                </c:pt>
                <c:pt idx="1">
                  <c:v>1.6161616161616162E-3</c:v>
                </c:pt>
                <c:pt idx="2">
                  <c:v>2.8760330578512399E-3</c:v>
                </c:pt>
                <c:pt idx="3">
                  <c:v>3.8767843726521412E-3</c:v>
                </c:pt>
                <c:pt idx="4">
                  <c:v>4.6831955922865013E-3</c:v>
                </c:pt>
                <c:pt idx="5">
                  <c:v>5.3401144310235215E-3</c:v>
                </c:pt>
                <c:pt idx="6">
                  <c:v>5.8795749704840614E-3</c:v>
                </c:pt>
                <c:pt idx="7">
                  <c:v>6.325068870523416E-3</c:v>
                </c:pt>
                <c:pt idx="8">
                  <c:v>6.6942148760330581E-3</c:v>
                </c:pt>
                <c:pt idx="9">
                  <c:v>7.0004861448711717E-3</c:v>
                </c:pt>
                <c:pt idx="10">
                  <c:v>7.2543617998163451E-3</c:v>
                </c:pt>
                <c:pt idx="11">
                  <c:v>7.4641148325358848E-3</c:v>
                </c:pt>
                <c:pt idx="12">
                  <c:v>7.6363636363636373E-3</c:v>
                </c:pt>
                <c:pt idx="13">
                  <c:v>7.7764659582841393E-3</c:v>
                </c:pt>
                <c:pt idx="14">
                  <c:v>7.8888054094665653E-3</c:v>
                </c:pt>
                <c:pt idx="15">
                  <c:v>7.9770032339202285E-3</c:v>
                </c:pt>
                <c:pt idx="16">
                  <c:v>8.0440771349862255E-3</c:v>
                </c:pt>
                <c:pt idx="17">
                  <c:v>8.0925619834710735E-3</c:v>
                </c:pt>
                <c:pt idx="18">
                  <c:v>8.1246026700572162E-3</c:v>
                </c:pt>
                <c:pt idx="19">
                  <c:v>8.1420263238445052E-3</c:v>
                </c:pt>
                <c:pt idx="20">
                  <c:v>8.1463990554899654E-3</c:v>
                </c:pt>
                <c:pt idx="21">
                  <c:v>8.139070960387575E-3</c:v>
                </c:pt>
                <c:pt idx="22">
                  <c:v>8.1212121212121211E-3</c:v>
                </c:pt>
                <c:pt idx="23">
                  <c:v>8.0938416422287399E-3</c:v>
                </c:pt>
                <c:pt idx="24">
                  <c:v>8.057851239669421E-3</c:v>
                </c:pt>
                <c:pt idx="25">
                  <c:v>8.0140245429501638E-3</c:v>
                </c:pt>
                <c:pt idx="26">
                  <c:v>7.9630529897909575E-3</c:v>
                </c:pt>
                <c:pt idx="27">
                  <c:v>7.905548996458088E-3</c:v>
                </c:pt>
                <c:pt idx="28">
                  <c:v>7.8420569329660239E-3</c:v>
                </c:pt>
                <c:pt idx="29">
                  <c:v>7.7730623185168646E-3</c:v>
                </c:pt>
                <c:pt idx="30">
                  <c:v>7.6989995650282713E-3</c:v>
                </c:pt>
                <c:pt idx="31">
                  <c:v>7.620258529349438E-3</c:v>
                </c:pt>
                <c:pt idx="32">
                  <c:v>7.5371900826446282E-3</c:v>
                </c:pt>
                <c:pt idx="33">
                  <c:v>7.4501108647450119E-3</c:v>
                </c:pt>
                <c:pt idx="34">
                  <c:v>7.3593073593073589E-3</c:v>
                </c:pt>
                <c:pt idx="35">
                  <c:v>7.2650394003459543E-3</c:v>
                </c:pt>
                <c:pt idx="36">
                  <c:v>7.1675432006010533E-3</c:v>
                </c:pt>
                <c:pt idx="37">
                  <c:v>7.0670339761248853E-3</c:v>
                </c:pt>
                <c:pt idx="38">
                  <c:v>6.963708228530362E-3</c:v>
                </c:pt>
                <c:pt idx="39">
                  <c:v>6.8577457358888691E-3</c:v>
                </c:pt>
                <c:pt idx="40">
                  <c:v>6.7493112947658402E-3</c:v>
                </c:pt>
                <c:pt idx="41">
                  <c:v>6.638556248945859E-3</c:v>
                </c:pt>
                <c:pt idx="42">
                  <c:v>6.525619834710744E-3</c:v>
                </c:pt>
                <c:pt idx="43">
                  <c:v>6.4106303678496202E-3</c:v>
                </c:pt>
                <c:pt idx="44">
                  <c:v>6.2937062937062933E-3</c:v>
                </c:pt>
                <c:pt idx="45">
                  <c:v>6.1749571183533445E-3</c:v>
                </c:pt>
              </c:numCache>
            </c:numRef>
          </c:val>
          <c:extLst>
            <c:ext xmlns:c16="http://schemas.microsoft.com/office/drawing/2014/chart" uri="{C3380CC4-5D6E-409C-BE32-E72D297353CC}">
              <c16:uniqueId val="{00000008-5A3E-43E6-80E0-958E8C2306B8}"/>
            </c:ext>
          </c:extLst>
        </c:ser>
        <c:ser>
          <c:idx val="9"/>
          <c:order val="9"/>
          <c:tx>
            <c:strRef>
              <c:f>'Ej. 3'!$P$68</c:f>
              <c:strCache>
                <c:ptCount val="1"/>
                <c:pt idx="0">
                  <c:v>9</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3'!$Q$68:$BJ$68</c:f>
              <c:numCache>
                <c:formatCode>0.00%</c:formatCode>
                <c:ptCount val="46"/>
                <c:pt idx="0">
                  <c:v>0</c:v>
                </c:pt>
                <c:pt idx="1">
                  <c:v>1.6161616161616162E-3</c:v>
                </c:pt>
                <c:pt idx="2">
                  <c:v>2.9050838968194344E-3</c:v>
                </c:pt>
                <c:pt idx="3">
                  <c:v>3.9485766758494039E-3</c:v>
                </c:pt>
                <c:pt idx="4">
                  <c:v>4.8032775305502573E-3</c:v>
                </c:pt>
                <c:pt idx="5">
                  <c:v>5.5096418732782362E-3</c:v>
                </c:pt>
                <c:pt idx="6">
                  <c:v>6.0973370064279159E-3</c:v>
                </c:pt>
                <c:pt idx="7">
                  <c:v>6.5886134067952244E-3</c:v>
                </c:pt>
                <c:pt idx="8">
                  <c:v>7.0004861448711717E-3</c:v>
                </c:pt>
                <c:pt idx="9">
                  <c:v>7.3461891643709825E-3</c:v>
                </c:pt>
                <c:pt idx="10">
                  <c:v>7.6361703155961537E-3</c:v>
                </c:pt>
                <c:pt idx="11">
                  <c:v>7.8787878787878792E-3</c:v>
                </c:pt>
                <c:pt idx="12">
                  <c:v>8.0808080808080808E-3</c:v>
                </c:pt>
                <c:pt idx="13">
                  <c:v>8.2477669254528759E-3</c:v>
                </c:pt>
                <c:pt idx="14">
                  <c:v>8.384237633249492E-3</c:v>
                </c:pt>
                <c:pt idx="15">
                  <c:v>8.4940312213039482E-3</c:v>
                </c:pt>
                <c:pt idx="16">
                  <c:v>8.5803489439853081E-3</c:v>
                </c:pt>
                <c:pt idx="17">
                  <c:v>8.6458995549904653E-3</c:v>
                </c:pt>
                <c:pt idx="18">
                  <c:v>8.6929905111723296E-3</c:v>
                </c:pt>
                <c:pt idx="19">
                  <c:v>8.7235996326905426E-3</c:v>
                </c:pt>
                <c:pt idx="20">
                  <c:v>8.7394319369240997E-3</c:v>
                </c:pt>
                <c:pt idx="21">
                  <c:v>8.7419651056014694E-3</c:v>
                </c:pt>
                <c:pt idx="22">
                  <c:v>8.7324861518409905E-3</c:v>
                </c:pt>
                <c:pt idx="23">
                  <c:v>8.712121212121211E-3</c:v>
                </c:pt>
                <c:pt idx="24">
                  <c:v>8.6818599215293425E-3</c:v>
                </c:pt>
                <c:pt idx="25">
                  <c:v>8.6425754874952746E-3</c:v>
                </c:pt>
                <c:pt idx="26">
                  <c:v>8.5950413223140499E-3</c:v>
                </c:pt>
                <c:pt idx="27">
                  <c:v>8.5399449035812661E-3</c:v>
                </c:pt>
                <c:pt idx="28">
                  <c:v>8.4778993869902963E-3</c:v>
                </c:pt>
                <c:pt idx="29">
                  <c:v>8.4094533855299421E-3</c:v>
                </c:pt>
                <c:pt idx="30">
                  <c:v>8.3350992441901528E-3</c:v>
                </c:pt>
                <c:pt idx="31">
                  <c:v>8.2552800734618913E-3</c:v>
                </c:pt>
                <c:pt idx="32">
                  <c:v>8.1703957535443142E-3</c:v>
                </c:pt>
                <c:pt idx="33">
                  <c:v>8.0808080808080808E-3</c:v>
                </c:pt>
                <c:pt idx="34">
                  <c:v>7.9868451961475212E-3</c:v>
                </c:pt>
                <c:pt idx="35">
                  <c:v>7.888805409466567E-3</c:v>
                </c:pt>
                <c:pt idx="36">
                  <c:v>7.7869605142332418E-3</c:v>
                </c:pt>
                <c:pt idx="37">
                  <c:v>7.6815586697009629E-3</c:v>
                </c:pt>
                <c:pt idx="38">
                  <c:v>7.5728269151866838E-3</c:v>
                </c:pt>
                <c:pt idx="39">
                  <c:v>7.4609733700642797E-3</c:v>
                </c:pt>
                <c:pt idx="40">
                  <c:v>7.3461891643709825E-3</c:v>
                </c:pt>
                <c:pt idx="41">
                  <c:v>7.2286501377410474E-3</c:v>
                </c:pt>
                <c:pt idx="42">
                  <c:v>7.1085183384648623E-3</c:v>
                </c:pt>
                <c:pt idx="43">
                  <c:v>6.9859433495797147E-3</c:v>
                </c:pt>
                <c:pt idx="44">
                  <c:v>6.8610634648370496E-3</c:v>
                </c:pt>
                <c:pt idx="45">
                  <c:v>6.7340067340067346E-3</c:v>
                </c:pt>
              </c:numCache>
            </c:numRef>
          </c:val>
          <c:extLst>
            <c:ext xmlns:c16="http://schemas.microsoft.com/office/drawing/2014/chart" uri="{C3380CC4-5D6E-409C-BE32-E72D297353CC}">
              <c16:uniqueId val="{00000009-5A3E-43E6-80E0-958E8C2306B8}"/>
            </c:ext>
          </c:extLst>
        </c:ser>
        <c:ser>
          <c:idx val="10"/>
          <c:order val="10"/>
          <c:tx>
            <c:strRef>
              <c:f>'Ej. 3'!$P$69</c:f>
              <c:strCache>
                <c:ptCount val="1"/>
                <c:pt idx="0">
                  <c:v>10</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3'!$Q$69:$BJ$69</c:f>
              <c:numCache>
                <c:formatCode>0.00%</c:formatCode>
                <c:ptCount val="46"/>
                <c:pt idx="0">
                  <c:v>0</c:v>
                </c:pt>
                <c:pt idx="1">
                  <c:v>1.6120803999591878E-3</c:v>
                </c:pt>
                <c:pt idx="2">
                  <c:v>2.9218957249260284E-3</c:v>
                </c:pt>
                <c:pt idx="3">
                  <c:v>3.9991994537449081E-3</c:v>
                </c:pt>
                <c:pt idx="4">
                  <c:v>4.8938154998761059E-3</c:v>
                </c:pt>
                <c:pt idx="5">
                  <c:v>5.6422813998571577E-3</c:v>
                </c:pt>
                <c:pt idx="6">
                  <c:v>6.2720003060912155E-3</c:v>
                </c:pt>
                <c:pt idx="7">
                  <c:v>6.803927570415984E-3</c:v>
                </c:pt>
                <c:pt idx="8">
                  <c:v>7.2543617998163451E-3</c:v>
                </c:pt>
                <c:pt idx="9">
                  <c:v>7.6361703155961537E-3</c:v>
                </c:pt>
                <c:pt idx="10">
                  <c:v>7.9596469747984892E-3</c:v>
                </c:pt>
                <c:pt idx="11">
                  <c:v>8.2331248997915673E-3</c:v>
                </c:pt>
                <c:pt idx="12">
                  <c:v>8.4634220997857369E-3</c:v>
                </c:pt>
                <c:pt idx="13">
                  <c:v>8.6561708432591183E-3</c:v>
                </c:pt>
                <c:pt idx="14">
                  <c:v>8.8160646872768086E-3</c:v>
                </c:pt>
                <c:pt idx="15">
                  <c:v>8.947046219773493E-3</c:v>
                </c:pt>
                <c:pt idx="16">
                  <c:v>9.0524514766939027E-3</c:v>
                </c:pt>
                <c:pt idx="17">
                  <c:v>9.1351222664353988E-3</c:v>
                </c:pt>
                <c:pt idx="18">
                  <c:v>9.1974944247671525E-3</c:v>
                </c:pt>
                <c:pt idx="19">
                  <c:v>9.2416678101108606E-3</c:v>
                </c:pt>
                <c:pt idx="20">
                  <c:v>9.2694622997653315E-3</c:v>
                </c:pt>
                <c:pt idx="21">
                  <c:v>9.2824629481520985E-3</c:v>
                </c:pt>
                <c:pt idx="22">
                  <c:v>9.2820566778900118E-3</c:v>
                </c:pt>
                <c:pt idx="23">
                  <c:v>9.2694622997653298E-3</c:v>
                </c:pt>
                <c:pt idx="24">
                  <c:v>9.2457552350600474E-3</c:v>
                </c:pt>
                <c:pt idx="25">
                  <c:v>9.2118879997667904E-3</c:v>
                </c:pt>
                <c:pt idx="26">
                  <c:v>9.1687072747678802E-3</c:v>
                </c:pt>
                <c:pt idx="27">
                  <c:v>9.1169682078773E-3</c:v>
                </c:pt>
                <c:pt idx="28">
                  <c:v>9.0573464576654376E-3</c:v>
                </c:pt>
                <c:pt idx="29">
                  <c:v>8.9904483843877801E-3</c:v>
                </c:pt>
                <c:pt idx="30">
                  <c:v>8.9168197122742564E-3</c:v>
                </c:pt>
                <c:pt idx="31">
                  <c:v>8.8369529241665232E-3</c:v>
                </c:pt>
                <c:pt idx="32">
                  <c:v>8.7512935997784494E-3</c:v>
                </c:pt>
                <c:pt idx="33">
                  <c:v>8.660245869548196E-3</c:v>
                </c:pt>
                <c:pt idx="34">
                  <c:v>8.5641771247831847E-3</c:v>
                </c:pt>
                <c:pt idx="35">
                  <c:v>8.4634220997857369E-3</c:v>
                </c:pt>
                <c:pt idx="36">
                  <c:v>8.3582864215275294E-3</c:v>
                </c:pt>
                <c:pt idx="37">
                  <c:v>8.2490497061741431E-3</c:v>
                </c:pt>
                <c:pt idx="38">
                  <c:v>8.1359682685440259E-3</c:v>
                </c:pt>
                <c:pt idx="39">
                  <c:v>8.0192774997969816E-3</c:v>
                </c:pt>
                <c:pt idx="40">
                  <c:v>7.8991939598000212E-3</c:v>
                </c:pt>
                <c:pt idx="41">
                  <c:v>7.7759172233325532E-3</c:v>
                </c:pt>
                <c:pt idx="42">
                  <c:v>7.6496315132678766E-3</c:v>
                </c:pt>
                <c:pt idx="43">
                  <c:v>7.520507148866212E-3</c:v>
                </c:pt>
                <c:pt idx="44">
                  <c:v>7.3887018331462778E-3</c:v>
                </c:pt>
                <c:pt idx="45">
                  <c:v>7.2543617998163459E-3</c:v>
                </c:pt>
              </c:numCache>
            </c:numRef>
          </c:val>
          <c:extLst>
            <c:ext xmlns:c16="http://schemas.microsoft.com/office/drawing/2014/chart" uri="{C3380CC4-5D6E-409C-BE32-E72D297353CC}">
              <c16:uniqueId val="{0000000A-5A3E-43E6-80E0-958E8C2306B8}"/>
            </c:ext>
          </c:extLst>
        </c:ser>
        <c:ser>
          <c:idx val="11"/>
          <c:order val="11"/>
          <c:tx>
            <c:strRef>
              <c:f>'Ej. 3'!$P$70</c:f>
              <c:strCache>
                <c:ptCount val="1"/>
                <c:pt idx="0">
                  <c:v>11</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3'!$Q$70:$BJ$70</c:f>
              <c:numCache>
                <c:formatCode>0.00%</c:formatCode>
                <c:ptCount val="46"/>
                <c:pt idx="0">
                  <c:v>0</c:v>
                </c:pt>
                <c:pt idx="1">
                  <c:v>1.6049382716049384E-3</c:v>
                </c:pt>
                <c:pt idx="2">
                  <c:v>2.9292929292929299E-3</c:v>
                </c:pt>
                <c:pt idx="3">
                  <c:v>4.0331890331890335E-3</c:v>
                </c:pt>
                <c:pt idx="4">
                  <c:v>4.9607182940516279E-3</c:v>
                </c:pt>
                <c:pt idx="5">
                  <c:v>5.7449494949494946E-3</c:v>
                </c:pt>
                <c:pt idx="6">
                  <c:v>6.4111705288175877E-3</c:v>
                </c:pt>
                <c:pt idx="7">
                  <c:v>6.979049756827534E-3</c:v>
                </c:pt>
                <c:pt idx="8">
                  <c:v>7.4641148325358848E-3</c:v>
                </c:pt>
                <c:pt idx="9">
                  <c:v>7.8787878787878792E-3</c:v>
                </c:pt>
                <c:pt idx="10">
                  <c:v>8.2331248997915673E-3</c:v>
                </c:pt>
                <c:pt idx="11">
                  <c:v>8.5353535353535365E-3</c:v>
                </c:pt>
                <c:pt idx="12">
                  <c:v>8.7922705314009662E-3</c:v>
                </c:pt>
                <c:pt idx="13">
                  <c:v>9.0095398428731762E-3</c:v>
                </c:pt>
                <c:pt idx="14">
                  <c:v>9.1919191919191921E-3</c:v>
                </c:pt>
                <c:pt idx="15">
                  <c:v>9.3434343434343429E-3</c:v>
                </c:pt>
                <c:pt idx="16">
                  <c:v>9.4675146526998384E-3</c:v>
                </c:pt>
                <c:pt idx="17">
                  <c:v>9.5670995670995677E-3</c:v>
                </c:pt>
                <c:pt idx="18">
                  <c:v>9.6447230929989566E-3</c:v>
                </c:pt>
                <c:pt idx="19">
                  <c:v>9.7025813692480367E-3</c:v>
                </c:pt>
                <c:pt idx="20">
                  <c:v>9.7425871619420019E-3</c:v>
                </c:pt>
                <c:pt idx="21">
                  <c:v>9.7664141414141419E-3</c:v>
                </c:pt>
                <c:pt idx="22">
                  <c:v>9.7755331088664431E-3</c:v>
                </c:pt>
                <c:pt idx="23">
                  <c:v>9.7712418300653584E-3</c:v>
                </c:pt>
                <c:pt idx="24">
                  <c:v>9.7546897546897538E-3</c:v>
                </c:pt>
                <c:pt idx="25">
                  <c:v>9.7268986157875072E-3</c:v>
                </c:pt>
                <c:pt idx="26">
                  <c:v>9.6887796887796893E-3</c:v>
                </c:pt>
                <c:pt idx="27">
                  <c:v>9.6411483253588531E-3</c:v>
                </c:pt>
                <c:pt idx="28">
                  <c:v>9.5847362514029175E-3</c:v>
                </c:pt>
                <c:pt idx="29">
                  <c:v>9.5202020202020225E-3</c:v>
                </c:pt>
                <c:pt idx="30">
                  <c:v>9.4481399359448125E-3</c:v>
                </c:pt>
                <c:pt idx="31">
                  <c:v>9.3690877024210362E-3</c:v>
                </c:pt>
                <c:pt idx="32">
                  <c:v>9.2835330044632371E-3</c:v>
                </c:pt>
                <c:pt idx="33">
                  <c:v>9.1919191919191921E-3</c:v>
                </c:pt>
                <c:pt idx="34">
                  <c:v>9.094650205761317E-3</c:v>
                </c:pt>
                <c:pt idx="35">
                  <c:v>8.9920948616600809E-3</c:v>
                </c:pt>
                <c:pt idx="36">
                  <c:v>8.8845905867182481E-3</c:v>
                </c:pt>
                <c:pt idx="37">
                  <c:v>8.7724466891133564E-3</c:v>
                </c:pt>
                <c:pt idx="38">
                  <c:v>8.6559472273757994E-3</c:v>
                </c:pt>
                <c:pt idx="39">
                  <c:v>8.5353535353535365E-3</c:v>
                </c:pt>
                <c:pt idx="40">
                  <c:v>8.410906450122135E-3</c:v>
                </c:pt>
                <c:pt idx="41">
                  <c:v>8.2828282828282824E-3</c:v>
                </c:pt>
                <c:pt idx="42">
                  <c:v>8.1513245664189063E-3</c:v>
                </c:pt>
                <c:pt idx="43">
                  <c:v>8.0165856091782024E-3</c:v>
                </c:pt>
                <c:pt idx="44">
                  <c:v>7.8787878787878792E-3</c:v>
                </c:pt>
                <c:pt idx="45">
                  <c:v>7.7380952380952384E-3</c:v>
                </c:pt>
              </c:numCache>
            </c:numRef>
          </c:val>
          <c:extLst>
            <c:ext xmlns:c16="http://schemas.microsoft.com/office/drawing/2014/chart" uri="{C3380CC4-5D6E-409C-BE32-E72D297353CC}">
              <c16:uniqueId val="{0000000B-5A3E-43E6-80E0-958E8C2306B8}"/>
            </c:ext>
          </c:extLst>
        </c:ser>
        <c:ser>
          <c:idx val="12"/>
          <c:order val="12"/>
          <c:tx>
            <c:strRef>
              <c:f>'Ej. 3'!$P$71</c:f>
              <c:strCache>
                <c:ptCount val="1"/>
                <c:pt idx="0">
                  <c:v>12</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3'!$Q$71:$BJ$71</c:f>
              <c:numCache>
                <c:formatCode>0.00%</c:formatCode>
                <c:ptCount val="46"/>
                <c:pt idx="0">
                  <c:v>0</c:v>
                </c:pt>
                <c:pt idx="1">
                  <c:v>1.5954415954415953E-3</c:v>
                </c:pt>
                <c:pt idx="2">
                  <c:v>2.9292929292929299E-3</c:v>
                </c:pt>
                <c:pt idx="3">
                  <c:v>4.0538720538720544E-3</c:v>
                </c:pt>
                <c:pt idx="4">
                  <c:v>5.008417508417508E-3</c:v>
                </c:pt>
                <c:pt idx="5">
                  <c:v>5.8229352346999396E-3</c:v>
                </c:pt>
                <c:pt idx="6">
                  <c:v>6.5207631874298544E-3</c:v>
                </c:pt>
                <c:pt idx="7">
                  <c:v>7.1203260676944886E-3</c:v>
                </c:pt>
                <c:pt idx="8">
                  <c:v>7.6363636363636373E-3</c:v>
                </c:pt>
                <c:pt idx="9">
                  <c:v>8.0808080808080808E-3</c:v>
                </c:pt>
                <c:pt idx="10">
                  <c:v>8.4634220997857369E-3</c:v>
                </c:pt>
                <c:pt idx="11">
                  <c:v>8.7922705314009662E-3</c:v>
                </c:pt>
                <c:pt idx="12">
                  <c:v>9.0740740740740747E-3</c:v>
                </c:pt>
                <c:pt idx="13">
                  <c:v>9.3144781144781138E-3</c:v>
                </c:pt>
                <c:pt idx="14">
                  <c:v>9.518259518259518E-3</c:v>
                </c:pt>
                <c:pt idx="15">
                  <c:v>9.689487467265244E-3</c:v>
                </c:pt>
                <c:pt idx="16">
                  <c:v>9.8316498316498319E-3</c:v>
                </c:pt>
                <c:pt idx="17">
                  <c:v>9.9477533960292564E-3</c:v>
                </c:pt>
                <c:pt idx="18">
                  <c:v>1.0040404040404042E-2</c:v>
                </c:pt>
                <c:pt idx="19">
                  <c:v>1.0111871402193983E-2</c:v>
                </c:pt>
                <c:pt idx="20">
                  <c:v>1.0164141414141415E-2</c:v>
                </c:pt>
                <c:pt idx="21">
                  <c:v>1.0198959289868382E-2</c:v>
                </c:pt>
                <c:pt idx="22">
                  <c:v>1.0217864923747278E-2</c:v>
                </c:pt>
                <c:pt idx="23">
                  <c:v>1.0222222222222221E-2</c:v>
                </c:pt>
                <c:pt idx="24">
                  <c:v>1.021324354657688E-2</c:v>
                </c:pt>
                <c:pt idx="25">
                  <c:v>1.0192010192010194E-2</c:v>
                </c:pt>
                <c:pt idx="26">
                  <c:v>1.0159489633173844E-2</c:v>
                </c:pt>
                <c:pt idx="27">
                  <c:v>1.0116550116550117E-2</c:v>
                </c:pt>
                <c:pt idx="28">
                  <c:v>1.0063973063973063E-2</c:v>
                </c:pt>
                <c:pt idx="29">
                  <c:v>1.0002463661000247E-2</c:v>
                </c:pt>
                <c:pt idx="30">
                  <c:v>9.9326599326599319E-3</c:v>
                </c:pt>
                <c:pt idx="31">
                  <c:v>9.855140552814971E-3</c:v>
                </c:pt>
                <c:pt idx="32">
                  <c:v>9.7704315886134076E-3</c:v>
                </c:pt>
                <c:pt idx="33">
                  <c:v>9.6790123456790122E-3</c:v>
                </c:pt>
                <c:pt idx="34">
                  <c:v>9.5813204508856682E-3</c:v>
                </c:pt>
                <c:pt idx="35">
                  <c:v>9.4777562862669255E-3</c:v>
                </c:pt>
                <c:pt idx="36">
                  <c:v>9.36868686868687E-3</c:v>
                </c:pt>
                <c:pt idx="37">
                  <c:v>9.2544492544492547E-3</c:v>
                </c:pt>
                <c:pt idx="38">
                  <c:v>9.1353535353535346E-3</c:v>
                </c:pt>
                <c:pt idx="39">
                  <c:v>9.0116854822737177E-3</c:v>
                </c:pt>
                <c:pt idx="40">
                  <c:v>8.8837088837088844E-3</c:v>
                </c:pt>
                <c:pt idx="41">
                  <c:v>8.7516676195921479E-3</c:v>
                </c:pt>
                <c:pt idx="42">
                  <c:v>8.6157875046763942E-3</c:v>
                </c:pt>
                <c:pt idx="43">
                  <c:v>8.4762779308233862E-3</c:v>
                </c:pt>
                <c:pt idx="44">
                  <c:v>8.3333333333333332E-3</c:v>
                </c:pt>
                <c:pt idx="45">
                  <c:v>8.1871345029239772E-3</c:v>
                </c:pt>
              </c:numCache>
            </c:numRef>
          </c:val>
          <c:extLst>
            <c:ext xmlns:c16="http://schemas.microsoft.com/office/drawing/2014/chart" uri="{C3380CC4-5D6E-409C-BE32-E72D297353CC}">
              <c16:uniqueId val="{0000000C-5A3E-43E6-80E0-958E8C2306B8}"/>
            </c:ext>
          </c:extLst>
        </c:ser>
        <c:ser>
          <c:idx val="13"/>
          <c:order val="13"/>
          <c:tx>
            <c:strRef>
              <c:f>'Ej. 3'!$P$72</c:f>
              <c:strCache>
                <c:ptCount val="1"/>
                <c:pt idx="0">
                  <c:v>13</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3'!$Q$72:$BJ$72</c:f>
              <c:numCache>
                <c:formatCode>0.00%</c:formatCode>
                <c:ptCount val="46"/>
                <c:pt idx="0">
                  <c:v>0</c:v>
                </c:pt>
                <c:pt idx="1">
                  <c:v>1.5840949174282509E-3</c:v>
                </c:pt>
                <c:pt idx="2">
                  <c:v>2.9233751657994087E-3</c:v>
                </c:pt>
                <c:pt idx="3">
                  <c:v>4.0637434955616775E-3</c:v>
                </c:pt>
                <c:pt idx="4">
                  <c:v>5.0403020099989791E-3</c:v>
                </c:pt>
                <c:pt idx="5">
                  <c:v>5.8803523449988092E-3</c:v>
                </c:pt>
                <c:pt idx="6">
                  <c:v>6.6054484236302427E-3</c:v>
                </c:pt>
                <c:pt idx="7">
                  <c:v>7.2328333843485349E-3</c:v>
                </c:pt>
                <c:pt idx="8">
                  <c:v>7.7764659582841393E-3</c:v>
                </c:pt>
                <c:pt idx="9">
                  <c:v>8.2477669254528759E-3</c:v>
                </c:pt>
                <c:pt idx="10">
                  <c:v>8.6561708432591183E-3</c:v>
                </c:pt>
                <c:pt idx="11">
                  <c:v>9.0095398428731762E-3</c:v>
                </c:pt>
                <c:pt idx="12">
                  <c:v>9.3144781144781138E-3</c:v>
                </c:pt>
                <c:pt idx="13">
                  <c:v>9.5765738189980618E-3</c:v>
                </c:pt>
                <c:pt idx="14">
                  <c:v>9.8005872416646826E-3</c:v>
                </c:pt>
                <c:pt idx="15">
                  <c:v>9.9905986269622632E-3</c:v>
                </c:pt>
                <c:pt idx="16">
                  <c:v>1.015012542703243E-2</c:v>
                </c:pt>
                <c:pt idx="17">
                  <c:v>1.0282216100397918E-2</c:v>
                </c:pt>
                <c:pt idx="18">
                  <c:v>1.0389525756094673E-2</c:v>
                </c:pt>
                <c:pt idx="19">
                  <c:v>1.0474377614529129E-2</c:v>
                </c:pt>
                <c:pt idx="20">
                  <c:v>1.0538813293634231E-2</c:v>
                </c:pt>
                <c:pt idx="21">
                  <c:v>1.0584634220997856E-2</c:v>
                </c:pt>
                <c:pt idx="22">
                  <c:v>1.061343594676928E-2</c:v>
                </c:pt>
                <c:pt idx="23">
                  <c:v>1.0626636737747849E-2</c:v>
                </c:pt>
                <c:pt idx="24">
                  <c:v>1.0625501534592444E-2</c:v>
                </c:pt>
                <c:pt idx="25">
                  <c:v>1.0611162126313642E-2</c:v>
                </c:pt>
                <c:pt idx="26">
                  <c:v>1.0584634220997856E-2</c:v>
                </c:pt>
                <c:pt idx="27">
                  <c:v>1.0546831955922865E-2</c:v>
                </c:pt>
                <c:pt idx="28">
                  <c:v>1.0498580284241778E-2</c:v>
                </c:pt>
                <c:pt idx="29">
                  <c:v>1.0440625592140745E-2</c:v>
                </c:pt>
                <c:pt idx="30">
                  <c:v>1.0373644834532783E-2</c:v>
                </c:pt>
                <c:pt idx="31">
                  <c:v>1.0298253424975187E-2</c:v>
                </c:pt>
                <c:pt idx="32">
                  <c:v>1.0215012073597932E-2</c:v>
                </c:pt>
                <c:pt idx="33">
                  <c:v>1.0124432733128385E-2</c:v>
                </c:pt>
                <c:pt idx="34">
                  <c:v>1.0026983785849033E-2</c:v>
                </c:pt>
                <c:pt idx="35">
                  <c:v>9.9230945821854911E-3</c:v>
                </c:pt>
                <c:pt idx="36">
                  <c:v>9.8131594235490345E-3</c:v>
                </c:pt>
                <c:pt idx="37">
                  <c:v>9.6975410672380368E-3</c:v>
                </c:pt>
                <c:pt idx="38">
                  <c:v>9.5765738189980618E-3</c:v>
                </c:pt>
                <c:pt idx="39">
                  <c:v>9.4505662687480868E-3</c:v>
                </c:pt>
                <c:pt idx="40">
                  <c:v>9.319803716601887E-3</c:v>
                </c:pt>
                <c:pt idx="41">
                  <c:v>9.1845503293314732E-3</c:v>
                </c:pt>
                <c:pt idx="42">
                  <c:v>9.045051061579986E-3</c:v>
                </c:pt>
                <c:pt idx="43">
                  <c:v>8.9015333712303413E-3</c:v>
                </c:pt>
                <c:pt idx="44">
                  <c:v>8.7542087542087539E-3</c:v>
                </c:pt>
                <c:pt idx="45">
                  <c:v>8.6032741205154997E-3</c:v>
                </c:pt>
              </c:numCache>
            </c:numRef>
          </c:val>
          <c:extLst>
            <c:ext xmlns:c16="http://schemas.microsoft.com/office/drawing/2014/chart" uri="{C3380CC4-5D6E-409C-BE32-E72D297353CC}">
              <c16:uniqueId val="{0000000D-5A3E-43E6-80E0-958E8C2306B8}"/>
            </c:ext>
          </c:extLst>
        </c:ser>
        <c:ser>
          <c:idx val="14"/>
          <c:order val="14"/>
          <c:tx>
            <c:strRef>
              <c:f>'Ej. 3'!$P$73</c:f>
              <c:strCache>
                <c:ptCount val="1"/>
                <c:pt idx="0">
                  <c:v>14</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3'!$Q$73:$BJ$73</c:f>
              <c:numCache>
                <c:formatCode>0.00%</c:formatCode>
                <c:ptCount val="46"/>
                <c:pt idx="0">
                  <c:v>0</c:v>
                </c:pt>
                <c:pt idx="1">
                  <c:v>1.5712682379349046E-3</c:v>
                </c:pt>
                <c:pt idx="2">
                  <c:v>2.9126492194674015E-3</c:v>
                </c:pt>
                <c:pt idx="3">
                  <c:v>4.0647112839626211E-3</c:v>
                </c:pt>
                <c:pt idx="4">
                  <c:v>5.059007584260109E-3</c:v>
                </c:pt>
                <c:pt idx="5">
                  <c:v>5.9204485041805602E-3</c:v>
                </c:pt>
                <c:pt idx="6">
                  <c:v>6.6689623507805327E-3</c:v>
                </c:pt>
                <c:pt idx="7">
                  <c:v>7.3206815631058049E-3</c:v>
                </c:pt>
                <c:pt idx="8">
                  <c:v>7.8888054094665653E-3</c:v>
                </c:pt>
                <c:pt idx="9">
                  <c:v>8.384237633249492E-3</c:v>
                </c:pt>
                <c:pt idx="10">
                  <c:v>8.8160646872768086E-3</c:v>
                </c:pt>
                <c:pt idx="11">
                  <c:v>9.1919191919191921E-3</c:v>
                </c:pt>
                <c:pt idx="12">
                  <c:v>9.518259518259518E-3</c:v>
                </c:pt>
                <c:pt idx="13">
                  <c:v>9.8005872416646826E-3</c:v>
                </c:pt>
                <c:pt idx="14">
                  <c:v>1.0043617998163451E-2</c:v>
                </c:pt>
                <c:pt idx="15">
                  <c:v>1.0251416991228902E-2</c:v>
                </c:pt>
                <c:pt idx="16">
                  <c:v>1.0427507397204366E-2</c:v>
                </c:pt>
                <c:pt idx="17">
                  <c:v>1.0574957789034035E-2</c:v>
                </c:pt>
                <c:pt idx="18">
                  <c:v>1.0696453168044077E-2</c:v>
                </c:pt>
                <c:pt idx="19">
                  <c:v>1.0794353080854458E-2</c:v>
                </c:pt>
                <c:pt idx="20">
                  <c:v>1.0870739480365149E-2</c:v>
                </c:pt>
                <c:pt idx="21">
                  <c:v>1.0927456382001835E-2</c:v>
                </c:pt>
                <c:pt idx="22">
                  <c:v>1.0966142910587355E-2</c:v>
                </c:pt>
                <c:pt idx="23">
                  <c:v>1.0988260988260987E-2</c:v>
                </c:pt>
                <c:pt idx="24">
                  <c:v>1.0995118650621041E-2</c:v>
                </c:pt>
                <c:pt idx="25">
                  <c:v>1.0987889775768565E-2</c:v>
                </c:pt>
                <c:pt idx="26">
                  <c:v>1.0967630853994489E-2</c:v>
                </c:pt>
                <c:pt idx="27">
                  <c:v>1.0935295303366257E-2</c:v>
                </c:pt>
                <c:pt idx="28">
                  <c:v>1.0891745740230588E-2</c:v>
                </c:pt>
                <c:pt idx="29">
                  <c:v>1.0837764537553122E-2</c:v>
                </c:pt>
                <c:pt idx="30">
                  <c:v>1.0774062943484429E-2</c:v>
                </c:pt>
                <c:pt idx="31">
                  <c:v>1.0701288984117265E-2</c:v>
                </c:pt>
                <c:pt idx="32">
                  <c:v>1.0620034335449354E-2</c:v>
                </c:pt>
                <c:pt idx="33">
                  <c:v>1.053084031807436E-2</c:v>
                </c:pt>
                <c:pt idx="34">
                  <c:v>1.0434203142536473E-2</c:v>
                </c:pt>
                <c:pt idx="35">
                  <c:v>1.0330578512396695E-2</c:v>
                </c:pt>
                <c:pt idx="36">
                  <c:v>1.022038567493113E-2</c:v>
                </c:pt>
                <c:pt idx="37">
                  <c:v>1.0104010995276594E-2</c:v>
                </c:pt>
                <c:pt idx="38">
                  <c:v>9.9818111181747531E-3</c:v>
                </c:pt>
                <c:pt idx="39">
                  <c:v>9.8541157717830091E-3</c:v>
                </c:pt>
                <c:pt idx="40">
                  <c:v>9.7212302599507978E-3</c:v>
                </c:pt>
                <c:pt idx="41">
                  <c:v>9.5834376826112351E-3</c:v>
                </c:pt>
                <c:pt idx="42">
                  <c:v>9.4410009182736444E-3</c:v>
                </c:pt>
                <c:pt idx="43">
                  <c:v>9.2941643978326598E-3</c:v>
                </c:pt>
                <c:pt idx="44">
                  <c:v>9.1431556948798325E-3</c:v>
                </c:pt>
                <c:pt idx="45">
                  <c:v>8.9881869542886485E-3</c:v>
                </c:pt>
              </c:numCache>
            </c:numRef>
          </c:val>
          <c:extLst>
            <c:ext xmlns:c16="http://schemas.microsoft.com/office/drawing/2014/chart" uri="{C3380CC4-5D6E-409C-BE32-E72D297353CC}">
              <c16:uniqueId val="{0000000E-5A3E-43E6-80E0-958E8C2306B8}"/>
            </c:ext>
          </c:extLst>
        </c:ser>
        <c:ser>
          <c:idx val="15"/>
          <c:order val="15"/>
          <c:tx>
            <c:strRef>
              <c:f>'Ej. 3'!$P$74</c:f>
              <c:strCache>
                <c:ptCount val="1"/>
                <c:pt idx="0">
                  <c:v>15</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3'!$Q$74:$BJ$74</c:f>
              <c:numCache>
                <c:formatCode>0.00%</c:formatCode>
                <c:ptCount val="46"/>
                <c:pt idx="0">
                  <c:v>0</c:v>
                </c:pt>
                <c:pt idx="1">
                  <c:v>1.5572390572390572E-3</c:v>
                </c:pt>
                <c:pt idx="2">
                  <c:v>2.8979635931507589E-3</c:v>
                </c:pt>
                <c:pt idx="3">
                  <c:v>4.0582593612896638E-3</c:v>
                </c:pt>
                <c:pt idx="4">
                  <c:v>5.0666151144620033E-3</c:v>
                </c:pt>
                <c:pt idx="5">
                  <c:v>5.9458218549127625E-3</c:v>
                </c:pt>
                <c:pt idx="6">
                  <c:v>6.7143294416021678E-3</c:v>
                </c:pt>
                <c:pt idx="7">
                  <c:v>7.3872332136794942E-3</c:v>
                </c:pt>
                <c:pt idx="8">
                  <c:v>7.9770032339202285E-3</c:v>
                </c:pt>
                <c:pt idx="9">
                  <c:v>8.4940312213039482E-3</c:v>
                </c:pt>
                <c:pt idx="10">
                  <c:v>8.947046219773493E-3</c:v>
                </c:pt>
                <c:pt idx="11">
                  <c:v>9.3434343434343429E-3</c:v>
                </c:pt>
                <c:pt idx="12">
                  <c:v>9.689487467265244E-3</c:v>
                </c:pt>
                <c:pt idx="13">
                  <c:v>9.9905986269622632E-3</c:v>
                </c:pt>
                <c:pt idx="14">
                  <c:v>1.0251416991228902E-2</c:v>
                </c:pt>
                <c:pt idx="15">
                  <c:v>1.0475971839608201E-2</c:v>
                </c:pt>
                <c:pt idx="16">
                  <c:v>1.0667772544605388E-2</c:v>
                </c:pt>
                <c:pt idx="17">
                  <c:v>1.0829889807162534E-2</c:v>
                </c:pt>
                <c:pt idx="18">
                  <c:v>1.0965022122046916E-2</c:v>
                </c:pt>
                <c:pt idx="19">
                  <c:v>1.1075550514053187E-2</c:v>
                </c:pt>
                <c:pt idx="20">
                  <c:v>1.1163583890856617E-2</c:v>
                </c:pt>
                <c:pt idx="21">
                  <c:v>1.1230996837057441E-2</c:v>
                </c:pt>
                <c:pt idx="22">
                  <c:v>1.1279461279461278E-2</c:v>
                </c:pt>
                <c:pt idx="23">
                  <c:v>1.1310473152578415E-2</c:v>
                </c:pt>
                <c:pt idx="24">
                  <c:v>1.1325374961738596E-2</c:v>
                </c:pt>
                <c:pt idx="25">
                  <c:v>1.1325374961738599E-2</c:v>
                </c:pt>
                <c:pt idx="26">
                  <c:v>1.1311563528858428E-2</c:v>
                </c:pt>
                <c:pt idx="27">
                  <c:v>1.1284927194018102E-2</c:v>
                </c:pt>
                <c:pt idx="28">
                  <c:v>1.124636071781949E-2</c:v>
                </c:pt>
                <c:pt idx="29">
                  <c:v>1.1196677518991569E-2</c:v>
                </c:pt>
                <c:pt idx="30">
                  <c:v>1.1136618712376286E-2</c:v>
                </c:pt>
                <c:pt idx="31">
                  <c:v>1.1066860968046736E-2</c:v>
                </c:pt>
                <c:pt idx="32">
                  <c:v>1.0988023367133618E-2</c:v>
                </c:pt>
                <c:pt idx="33">
                  <c:v>1.0900673400673399E-2</c:v>
                </c:pt>
                <c:pt idx="34">
                  <c:v>1.0805332233903661E-2</c:v>
                </c:pt>
                <c:pt idx="35">
                  <c:v>1.0702479338842974E-2</c:v>
                </c:pt>
                <c:pt idx="36">
                  <c:v>1.0592556581861395E-2</c:v>
                </c:pt>
                <c:pt idx="37">
                  <c:v>1.0475971839608201E-2</c:v>
                </c:pt>
                <c:pt idx="38">
                  <c:v>1.035310220558934E-2</c:v>
                </c:pt>
                <c:pt idx="39">
                  <c:v>1.0224296840458455E-2</c:v>
                </c:pt>
                <c:pt idx="40">
                  <c:v>1.0089879511367113E-2</c:v>
                </c:pt>
                <c:pt idx="41">
                  <c:v>9.9501508592417676E-3</c:v>
                </c:pt>
                <c:pt idx="42">
                  <c:v>9.8053904273999962E-3</c:v>
                </c:pt>
                <c:pt idx="43">
                  <c:v>9.6558584803098906E-3</c:v>
                </c:pt>
                <c:pt idx="44">
                  <c:v>9.5017976373908564E-3</c:v>
                </c:pt>
                <c:pt idx="45">
                  <c:v>9.3434343434343429E-3</c:v>
                </c:pt>
              </c:numCache>
            </c:numRef>
          </c:val>
          <c:extLst>
            <c:ext xmlns:c16="http://schemas.microsoft.com/office/drawing/2014/chart" uri="{C3380CC4-5D6E-409C-BE32-E72D297353CC}">
              <c16:uniqueId val="{0000000F-5A3E-43E6-80E0-958E8C2306B8}"/>
            </c:ext>
          </c:extLst>
        </c:ser>
        <c:ser>
          <c:idx val="16"/>
          <c:order val="16"/>
          <c:tx>
            <c:strRef>
              <c:f>'Ej. 3'!$P$75</c:f>
              <c:strCache>
                <c:ptCount val="1"/>
                <c:pt idx="0">
                  <c:v>16</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3'!$Q$75:$BJ$75</c:f>
              <c:numCache>
                <c:formatCode>0.00%</c:formatCode>
                <c:ptCount val="46"/>
                <c:pt idx="0">
                  <c:v>0</c:v>
                </c:pt>
                <c:pt idx="1">
                  <c:v>1.5422195814352678E-3</c:v>
                </c:pt>
                <c:pt idx="2">
                  <c:v>2.8799782335135874E-3</c:v>
                </c:pt>
                <c:pt idx="3">
                  <c:v>4.0455592608702661E-3</c:v>
                </c:pt>
                <c:pt idx="4">
                  <c:v>5.0647893072135498E-3</c:v>
                </c:pt>
                <c:pt idx="5">
                  <c:v>5.9585756555453522E-3</c:v>
                </c:pt>
                <c:pt idx="6">
                  <c:v>6.7440242646854224E-3</c:v>
                </c:pt>
                <c:pt idx="7">
                  <c:v>7.4352661440935481E-3</c:v>
                </c:pt>
                <c:pt idx="8">
                  <c:v>8.0440771349862255E-3</c:v>
                </c:pt>
                <c:pt idx="9">
                  <c:v>8.5803489439853081E-3</c:v>
                </c:pt>
                <c:pt idx="10">
                  <c:v>9.0524514766939027E-3</c:v>
                </c:pt>
                <c:pt idx="11">
                  <c:v>9.4675146526998384E-3</c:v>
                </c:pt>
                <c:pt idx="12">
                  <c:v>9.8316498316498319E-3</c:v>
                </c:pt>
                <c:pt idx="13">
                  <c:v>1.015012542703243E-2</c:v>
                </c:pt>
                <c:pt idx="14">
                  <c:v>1.0427507397204366E-2</c:v>
                </c:pt>
                <c:pt idx="15">
                  <c:v>1.0667772544605388E-2</c:v>
                </c:pt>
                <c:pt idx="16">
                  <c:v>1.087440057137027E-2</c:v>
                </c:pt>
                <c:pt idx="17">
                  <c:v>1.1050449397556835E-2</c:v>
                </c:pt>
                <c:pt idx="18">
                  <c:v>1.1198617187922002E-2</c:v>
                </c:pt>
                <c:pt idx="19">
                  <c:v>1.1321293745536171E-2</c:v>
                </c:pt>
                <c:pt idx="20">
                  <c:v>1.1420603339795259E-2</c:v>
                </c:pt>
                <c:pt idx="21">
                  <c:v>1.1498440589349681E-2</c:v>
                </c:pt>
                <c:pt idx="22">
                  <c:v>1.1556500679307698E-2</c:v>
                </c:pt>
                <c:pt idx="23">
                  <c:v>1.1596304929638262E-2</c:v>
                </c:pt>
                <c:pt idx="24">
                  <c:v>1.1619222528313437E-2</c:v>
                </c:pt>
                <c:pt idx="25">
                  <c:v>1.1626489083990934E-2</c:v>
                </c:pt>
                <c:pt idx="26">
                  <c:v>1.1619222528313438E-2</c:v>
                </c:pt>
                <c:pt idx="27">
                  <c:v>1.1598436799282465E-2</c:v>
                </c:pt>
                <c:pt idx="28">
                  <c:v>1.1565053658717572E-2</c:v>
                </c:pt>
                <c:pt idx="29">
                  <c:v>1.1519912934054351E-2</c:v>
                </c:pt>
                <c:pt idx="30">
                  <c:v>1.1463781424255731E-2</c:v>
                </c:pt>
                <c:pt idx="31">
                  <c:v>1.1397360668798451E-2</c:v>
                </c:pt>
                <c:pt idx="32">
                  <c:v>1.1321293745536171E-2</c:v>
                </c:pt>
                <c:pt idx="33">
                  <c:v>1.1236171236171237E-2</c:v>
                </c:pt>
                <c:pt idx="34">
                  <c:v>1.1142536475869809E-2</c:v>
                </c:pt>
                <c:pt idx="35">
                  <c:v>1.1040890185275215E-2</c:v>
                </c:pt>
                <c:pt idx="36">
                  <c:v>1.0931694568058205E-2</c:v>
                </c:pt>
                <c:pt idx="37">
                  <c:v>1.0815376944593641E-2</c:v>
                </c:pt>
                <c:pt idx="38">
                  <c:v>1.0692332981895271E-2</c:v>
                </c:pt>
                <c:pt idx="39">
                  <c:v>1.0562929571194033E-2</c:v>
                </c:pt>
                <c:pt idx="40">
                  <c:v>1.0427507397204367E-2</c:v>
                </c:pt>
                <c:pt idx="41">
                  <c:v>1.028638323694145E-2</c:v>
                </c:pt>
                <c:pt idx="42">
                  <c:v>1.0139852020729763E-2</c:v>
                </c:pt>
                <c:pt idx="43">
                  <c:v>9.98818868361755E-3</c:v>
                </c:pt>
                <c:pt idx="44">
                  <c:v>9.8316498316498319E-3</c:v>
                </c:pt>
                <c:pt idx="45">
                  <c:v>9.670475244245736E-3</c:v>
                </c:pt>
              </c:numCache>
            </c:numRef>
          </c:val>
          <c:extLst>
            <c:ext xmlns:c16="http://schemas.microsoft.com/office/drawing/2014/chart" uri="{C3380CC4-5D6E-409C-BE32-E72D297353CC}">
              <c16:uniqueId val="{00000010-5A3E-43E6-80E0-958E8C2306B8}"/>
            </c:ext>
          </c:extLst>
        </c:ser>
        <c:ser>
          <c:idx val="17"/>
          <c:order val="17"/>
          <c:tx>
            <c:strRef>
              <c:f>'Ej. 3'!$P$76</c:f>
              <c:strCache>
                <c:ptCount val="1"/>
                <c:pt idx="0">
                  <c:v>17</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3'!$Q$76:$BJ$76</c:f>
              <c:numCache>
                <c:formatCode>0.00%</c:formatCode>
                <c:ptCount val="46"/>
                <c:pt idx="0">
                  <c:v>0</c:v>
                </c:pt>
                <c:pt idx="1">
                  <c:v>1.5263748597081931E-3</c:v>
                </c:pt>
                <c:pt idx="2">
                  <c:v>2.8592141510801802E-3</c:v>
                </c:pt>
                <c:pt idx="3">
                  <c:v>4.0275482093663911E-3</c:v>
                </c:pt>
                <c:pt idx="4">
                  <c:v>5.0548777821505086E-3</c:v>
                </c:pt>
                <c:pt idx="5">
                  <c:v>5.9604307538191825E-3</c:v>
                </c:pt>
                <c:pt idx="6">
                  <c:v>6.7600910288657329E-3</c:v>
                </c:pt>
                <c:pt idx="7">
                  <c:v>7.467095194367921E-3</c:v>
                </c:pt>
                <c:pt idx="8">
                  <c:v>8.0925619834710735E-3</c:v>
                </c:pt>
                <c:pt idx="9">
                  <c:v>8.6458995549904653E-3</c:v>
                </c:pt>
                <c:pt idx="10">
                  <c:v>9.1351222664353988E-3</c:v>
                </c:pt>
                <c:pt idx="11">
                  <c:v>9.5670995670995677E-3</c:v>
                </c:pt>
                <c:pt idx="12">
                  <c:v>9.9477533960292564E-3</c:v>
                </c:pt>
                <c:pt idx="13">
                  <c:v>1.0282216100397918E-2</c:v>
                </c:pt>
                <c:pt idx="14">
                  <c:v>1.0574957789034035E-2</c:v>
                </c:pt>
                <c:pt idx="15">
                  <c:v>1.0829889807162534E-2</c:v>
                </c:pt>
                <c:pt idx="16">
                  <c:v>1.1050449397556835E-2</c:v>
                </c:pt>
                <c:pt idx="17">
                  <c:v>1.1239669421487603E-2</c:v>
                </c:pt>
                <c:pt idx="18">
                  <c:v>1.1400236127508855E-2</c:v>
                </c:pt>
                <c:pt idx="19">
                  <c:v>1.1534537292113048E-2</c:v>
                </c:pt>
                <c:pt idx="20">
                  <c:v>1.1644702553793464E-2</c:v>
                </c:pt>
                <c:pt idx="21">
                  <c:v>1.1732637378570393E-2</c:v>
                </c:pt>
                <c:pt idx="22">
                  <c:v>1.18000518000518E-2</c:v>
                </c:pt>
                <c:pt idx="23">
                  <c:v>1.1848484848484848E-2</c:v>
                </c:pt>
                <c:pt idx="24">
                  <c:v>1.1879325404824295E-2</c:v>
                </c:pt>
                <c:pt idx="25">
                  <c:v>1.1893830075648258E-2</c:v>
                </c:pt>
                <c:pt idx="26">
                  <c:v>1.1893138573899674E-2</c:v>
                </c:pt>
                <c:pt idx="27">
                  <c:v>1.1878287002253945E-2</c:v>
                </c:pt>
                <c:pt idx="28">
                  <c:v>1.185021936537088E-2</c:v>
                </c:pt>
                <c:pt idx="29">
                  <c:v>1.180979758054857E-2</c:v>
                </c:pt>
                <c:pt idx="30">
                  <c:v>1.1757810210421426E-2</c:v>
                </c:pt>
                <c:pt idx="31">
                  <c:v>1.1694980104071011E-2</c:v>
                </c:pt>
                <c:pt idx="32">
                  <c:v>1.1621971102490584E-2</c:v>
                </c:pt>
                <c:pt idx="33">
                  <c:v>1.1539393939393938E-2</c:v>
                </c:pt>
                <c:pt idx="34">
                  <c:v>1.1447811447811448E-2</c:v>
                </c:pt>
                <c:pt idx="35">
                  <c:v>1.1347743165924986E-2</c:v>
                </c:pt>
                <c:pt idx="36">
                  <c:v>1.1239669421487604E-2</c:v>
                </c:pt>
                <c:pt idx="37">
                  <c:v>1.1124034962418802E-2</c:v>
                </c:pt>
                <c:pt idx="38">
                  <c:v>1.1001252191334836E-2</c:v>
                </c:pt>
                <c:pt idx="39">
                  <c:v>1.0871704053522236E-2</c:v>
                </c:pt>
                <c:pt idx="40">
                  <c:v>1.0735746620914083E-2</c:v>
                </c:pt>
                <c:pt idx="41">
                  <c:v>1.0593711408758429E-2</c:v>
                </c:pt>
                <c:pt idx="42">
                  <c:v>1.0445907456693279E-2</c:v>
                </c:pt>
                <c:pt idx="43">
                  <c:v>1.0292623201714111E-2</c:v>
                </c:pt>
                <c:pt idx="44">
                  <c:v>1.0134128166915052E-2</c:v>
                </c:pt>
                <c:pt idx="45">
                  <c:v>9.9706744868035182E-3</c:v>
                </c:pt>
              </c:numCache>
            </c:numRef>
          </c:val>
          <c:extLst>
            <c:ext xmlns:c16="http://schemas.microsoft.com/office/drawing/2014/chart" uri="{C3380CC4-5D6E-409C-BE32-E72D297353CC}">
              <c16:uniqueId val="{00000011-5A3E-43E6-80E0-958E8C2306B8}"/>
            </c:ext>
          </c:extLst>
        </c:ser>
        <c:ser>
          <c:idx val="18"/>
          <c:order val="18"/>
          <c:tx>
            <c:strRef>
              <c:f>'Ej. 3'!$P$77</c:f>
              <c:strCache>
                <c:ptCount val="1"/>
                <c:pt idx="0">
                  <c:v>18</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3'!$Q$77:$BJ$77</c:f>
              <c:numCache>
                <c:formatCode>0.00%</c:formatCode>
                <c:ptCount val="46"/>
                <c:pt idx="0">
                  <c:v>0</c:v>
                </c:pt>
                <c:pt idx="1">
                  <c:v>1.5098351940457206E-3</c:v>
                </c:pt>
                <c:pt idx="2">
                  <c:v>2.8360881542699732E-3</c:v>
                </c:pt>
                <c:pt idx="3">
                  <c:v>4.0049849140758233E-3</c:v>
                </c:pt>
                <c:pt idx="4">
                  <c:v>5.0379831371566907E-3</c:v>
                </c:pt>
                <c:pt idx="5">
                  <c:v>5.952808719607139E-3</c:v>
                </c:pt>
                <c:pt idx="6">
                  <c:v>6.7642332415059694E-3</c:v>
                </c:pt>
                <c:pt idx="7">
                  <c:v>7.4846648301193754E-3</c:v>
                </c:pt>
                <c:pt idx="8">
                  <c:v>8.1246026700572162E-3</c:v>
                </c:pt>
                <c:pt idx="9">
                  <c:v>8.6929905111723296E-3</c:v>
                </c:pt>
                <c:pt idx="10">
                  <c:v>9.1974944247671525E-3</c:v>
                </c:pt>
                <c:pt idx="11">
                  <c:v>9.6447230929989566E-3</c:v>
                </c:pt>
                <c:pt idx="12">
                  <c:v>1.0040404040404042E-2</c:v>
                </c:pt>
                <c:pt idx="13">
                  <c:v>1.0389525756094673E-2</c:v>
                </c:pt>
                <c:pt idx="14">
                  <c:v>1.0696453168044077E-2</c:v>
                </c:pt>
                <c:pt idx="15">
                  <c:v>1.0965022122046916E-2</c:v>
                </c:pt>
                <c:pt idx="16">
                  <c:v>1.1198617187922002E-2</c:v>
                </c:pt>
                <c:pt idx="17">
                  <c:v>1.1400236127508855E-2</c:v>
                </c:pt>
                <c:pt idx="18">
                  <c:v>1.1572543617998164E-2</c:v>
                </c:pt>
                <c:pt idx="19">
                  <c:v>1.171791626337081E-2</c:v>
                </c:pt>
                <c:pt idx="20">
                  <c:v>1.1838480498767581E-2</c:v>
                </c:pt>
                <c:pt idx="21">
                  <c:v>1.1936144663417391E-2</c:v>
                </c:pt>
                <c:pt idx="22">
                  <c:v>1.2012626262626263E-2</c:v>
                </c:pt>
                <c:pt idx="23">
                  <c:v>1.2069475240206948E-2</c:v>
                </c:pt>
                <c:pt idx="24">
                  <c:v>1.2108093926275744E-2</c:v>
                </c:pt>
                <c:pt idx="25">
                  <c:v>1.212975420163581E-2</c:v>
                </c:pt>
                <c:pt idx="26">
                  <c:v>1.2135612321562737E-2</c:v>
                </c:pt>
                <c:pt idx="27">
                  <c:v>1.2126721763085399E-2</c:v>
                </c:pt>
                <c:pt idx="28">
                  <c:v>1.2104044396534515E-2</c:v>
                </c:pt>
                <c:pt idx="29">
                  <c:v>1.2068460230936055E-2</c:v>
                </c:pt>
                <c:pt idx="30">
                  <c:v>1.2020775941230487E-2</c:v>
                </c:pt>
                <c:pt idx="31">
                  <c:v>1.1961732351342741E-2</c:v>
                </c:pt>
                <c:pt idx="32">
                  <c:v>1.1892011019283747E-2</c:v>
                </c:pt>
                <c:pt idx="33">
                  <c:v>1.1812240047534167E-2</c:v>
                </c:pt>
                <c:pt idx="34">
                  <c:v>1.1722999222999223E-2</c:v>
                </c:pt>
                <c:pt idx="35">
                  <c:v>1.1624824575081866E-2</c:v>
                </c:pt>
                <c:pt idx="36">
                  <c:v>1.1518212427303338E-2</c:v>
                </c:pt>
                <c:pt idx="37">
                  <c:v>1.1403623006928792E-2</c:v>
                </c:pt>
                <c:pt idx="38">
                  <c:v>1.1281483667847304E-2</c:v>
                </c:pt>
                <c:pt idx="39">
                  <c:v>1.1152191774201344E-2</c:v>
                </c:pt>
                <c:pt idx="40">
                  <c:v>1.1016117285709762E-2</c:v>
                </c:pt>
                <c:pt idx="41">
                  <c:v>1.0873605080076575E-2</c:v>
                </c:pt>
                <c:pt idx="42">
                  <c:v>1.0724977043158862E-2</c:v>
                </c:pt>
                <c:pt idx="43">
                  <c:v>1.0570533953544388E-2</c:v>
                </c:pt>
                <c:pt idx="44">
                  <c:v>1.0410557184750735E-2</c:v>
                </c:pt>
                <c:pt idx="45">
                  <c:v>1.0245310245310247E-2</c:v>
                </c:pt>
              </c:numCache>
            </c:numRef>
          </c:val>
          <c:extLst>
            <c:ext xmlns:c16="http://schemas.microsoft.com/office/drawing/2014/chart" uri="{C3380CC4-5D6E-409C-BE32-E72D297353CC}">
              <c16:uniqueId val="{00000012-5A3E-43E6-80E0-958E8C2306B8}"/>
            </c:ext>
          </c:extLst>
        </c:ser>
        <c:ser>
          <c:idx val="19"/>
          <c:order val="19"/>
          <c:tx>
            <c:strRef>
              <c:f>'Ej. 3'!$P$78</c:f>
              <c:strCache>
                <c:ptCount val="1"/>
                <c:pt idx="0">
                  <c:v>19</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3'!$Q$78:$BJ$78</c:f>
              <c:numCache>
                <c:formatCode>0.00%</c:formatCode>
                <c:ptCount val="46"/>
                <c:pt idx="0">
                  <c:v>0</c:v>
                </c:pt>
                <c:pt idx="1">
                  <c:v>1.4927048260381594E-3</c:v>
                </c:pt>
                <c:pt idx="2">
                  <c:v>2.8109376594225082E-3</c:v>
                </c:pt>
                <c:pt idx="3">
                  <c:v>3.9784901355149295E-3</c:v>
                </c:pt>
                <c:pt idx="4">
                  <c:v>5.0150162139621949E-3</c:v>
                </c:pt>
                <c:pt idx="5">
                  <c:v>5.9368941944699513E-3</c:v>
                </c:pt>
                <c:pt idx="6">
                  <c:v>6.7578818487909397E-3</c:v>
                </c:pt>
                <c:pt idx="7">
                  <c:v>7.4896203684082464E-3</c:v>
                </c:pt>
                <c:pt idx="8">
                  <c:v>8.1420263238445052E-3</c:v>
                </c:pt>
                <c:pt idx="9">
                  <c:v>8.7235996326905426E-3</c:v>
                </c:pt>
                <c:pt idx="10">
                  <c:v>9.2416678101108606E-3</c:v>
                </c:pt>
                <c:pt idx="11">
                  <c:v>9.7025813692480367E-3</c:v>
                </c:pt>
                <c:pt idx="12">
                  <c:v>1.0111871402193983E-2</c:v>
                </c:pt>
                <c:pt idx="13">
                  <c:v>1.0474377614529129E-2</c:v>
                </c:pt>
                <c:pt idx="14">
                  <c:v>1.0794353080854458E-2</c:v>
                </c:pt>
                <c:pt idx="15">
                  <c:v>1.1075550514053187E-2</c:v>
                </c:pt>
                <c:pt idx="16">
                  <c:v>1.1321293745536171E-2</c:v>
                </c:pt>
                <c:pt idx="17">
                  <c:v>1.1534537292113048E-2</c:v>
                </c:pt>
                <c:pt idx="18">
                  <c:v>1.171791626337081E-2</c:v>
                </c:pt>
                <c:pt idx="19">
                  <c:v>1.1873788388939904E-2</c:v>
                </c:pt>
                <c:pt idx="20">
                  <c:v>1.2004269580027156E-2</c:v>
                </c:pt>
                <c:pt idx="21">
                  <c:v>1.2111264156718701E-2</c:v>
                </c:pt>
                <c:pt idx="22">
                  <c:v>1.2196490651775204E-2</c:v>
                </c:pt>
                <c:pt idx="23">
                  <c:v>1.2261503928170594E-2</c:v>
                </c:pt>
                <c:pt idx="24">
                  <c:v>1.2307714210462624E-2</c:v>
                </c:pt>
                <c:pt idx="25">
                  <c:v>1.2336403520976525E-2</c:v>
                </c:pt>
                <c:pt idx="26">
                  <c:v>1.23487399244975E-2</c:v>
                </c:pt>
                <c:pt idx="27">
                  <c:v>1.2345789914959875E-2</c:v>
                </c:pt>
                <c:pt idx="28">
                  <c:v>1.2328529220856751E-2</c:v>
                </c:pt>
                <c:pt idx="29">
                  <c:v>1.2297852259973473E-2</c:v>
                </c:pt>
                <c:pt idx="30">
                  <c:v>1.2254580436398616E-2</c:v>
                </c:pt>
                <c:pt idx="31">
                  <c:v>1.2199469441893684E-2</c:v>
                </c:pt>
                <c:pt idx="32">
                  <c:v>1.2133215698278087E-2</c:v>
                </c:pt>
                <c:pt idx="33">
                  <c:v>1.2056462056462056E-2</c:v>
                </c:pt>
                <c:pt idx="34">
                  <c:v>1.1969802850305994E-2</c:v>
                </c:pt>
                <c:pt idx="35">
                  <c:v>1.1873788388939906E-2</c:v>
                </c:pt>
                <c:pt idx="36">
                  <c:v>1.1768928959011604E-2</c:v>
                </c:pt>
                <c:pt idx="37">
                  <c:v>1.165569839812264E-2</c:v>
                </c:pt>
                <c:pt idx="38">
                  <c:v>1.153453729211305E-2</c:v>
                </c:pt>
                <c:pt idx="39">
                  <c:v>1.1405855841592519E-2</c:v>
                </c:pt>
                <c:pt idx="40">
                  <c:v>1.1270036436959908E-2</c:v>
                </c:pt>
                <c:pt idx="41">
                  <c:v>1.1127435975920825E-2</c:v>
                </c:pt>
                <c:pt idx="42">
                  <c:v>1.0978387953052631E-2</c:v>
                </c:pt>
                <c:pt idx="43">
                  <c:v>1.0823204347153517E-2</c:v>
                </c:pt>
                <c:pt idx="44">
                  <c:v>1.0662177328843996E-2</c:v>
                </c:pt>
                <c:pt idx="45">
                  <c:v>1.0495580808080808E-2</c:v>
                </c:pt>
              </c:numCache>
            </c:numRef>
          </c:val>
          <c:extLst>
            <c:ext xmlns:c16="http://schemas.microsoft.com/office/drawing/2014/chart" uri="{C3380CC4-5D6E-409C-BE32-E72D297353CC}">
              <c16:uniqueId val="{00000013-5A3E-43E6-80E0-958E8C2306B8}"/>
            </c:ext>
          </c:extLst>
        </c:ser>
        <c:ser>
          <c:idx val="20"/>
          <c:order val="20"/>
          <c:tx>
            <c:strRef>
              <c:f>'Ej. 3'!$P$79</c:f>
              <c:strCache>
                <c:ptCount val="1"/>
                <c:pt idx="0">
                  <c:v>20</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3'!$Q$79:$BJ$79</c:f>
              <c:numCache>
                <c:formatCode>0.00%</c:formatCode>
                <c:ptCount val="46"/>
                <c:pt idx="0">
                  <c:v>0</c:v>
                </c:pt>
                <c:pt idx="1">
                  <c:v>1.4750681417348085E-3</c:v>
                </c:pt>
                <c:pt idx="2">
                  <c:v>2.7840387344519584E-3</c:v>
                </c:pt>
                <c:pt idx="3">
                  <c:v>3.9485766758494039E-3</c:v>
                </c:pt>
                <c:pt idx="4">
                  <c:v>4.986736047342108E-3</c:v>
                </c:pt>
                <c:pt idx="5">
                  <c:v>5.9136822773186402E-3</c:v>
                </c:pt>
                <c:pt idx="6">
                  <c:v>6.742247651338561E-3</c:v>
                </c:pt>
                <c:pt idx="7">
                  <c:v>7.4833633756192681E-3</c:v>
                </c:pt>
                <c:pt idx="8">
                  <c:v>8.1463990554899654E-3</c:v>
                </c:pt>
                <c:pt idx="9">
                  <c:v>8.7394319369240997E-3</c:v>
                </c:pt>
                <c:pt idx="10">
                  <c:v>9.2694622997653315E-3</c:v>
                </c:pt>
                <c:pt idx="11">
                  <c:v>9.7425871619420019E-3</c:v>
                </c:pt>
                <c:pt idx="12">
                  <c:v>1.0164141414141415E-2</c:v>
                </c:pt>
                <c:pt idx="13">
                  <c:v>1.0538813293634231E-2</c:v>
                </c:pt>
                <c:pt idx="14">
                  <c:v>1.0870739480365149E-2</c:v>
                </c:pt>
                <c:pt idx="15">
                  <c:v>1.1163583890856617E-2</c:v>
                </c:pt>
                <c:pt idx="16">
                  <c:v>1.1420603339795259E-2</c:v>
                </c:pt>
                <c:pt idx="17">
                  <c:v>1.1644702553793464E-2</c:v>
                </c:pt>
                <c:pt idx="18">
                  <c:v>1.1838480498767581E-2</c:v>
                </c:pt>
                <c:pt idx="19">
                  <c:v>1.2004269580027156E-2</c:v>
                </c:pt>
                <c:pt idx="20">
                  <c:v>1.2144168962350783E-2</c:v>
                </c:pt>
                <c:pt idx="21">
                  <c:v>1.2260073013953281E-2</c:v>
                </c:pt>
                <c:pt idx="22">
                  <c:v>1.2353695687029022E-2</c:v>
                </c:pt>
                <c:pt idx="23">
                  <c:v>1.2426591496358939E-2</c:v>
                </c:pt>
                <c:pt idx="24">
                  <c:v>1.2480173637198432E-2</c:v>
                </c:pt>
                <c:pt idx="25">
                  <c:v>1.2515729687446863E-2</c:v>
                </c:pt>
                <c:pt idx="26">
                  <c:v>1.2534435261707989E-2</c:v>
                </c:pt>
                <c:pt idx="27">
                  <c:v>1.2537365922278883E-2</c:v>
                </c:pt>
                <c:pt idx="28">
                  <c:v>1.2525507601265176E-2</c:v>
                </c:pt>
                <c:pt idx="29">
                  <c:v>1.2499765746518995E-2</c:v>
                </c:pt>
                <c:pt idx="30">
                  <c:v>1.2460973370064278E-2</c:v>
                </c:pt>
                <c:pt idx="31">
                  <c:v>1.2409898149648596E-2</c:v>
                </c:pt>
                <c:pt idx="32">
                  <c:v>1.2347248710885076E-2</c:v>
                </c:pt>
                <c:pt idx="33">
                  <c:v>1.2273680198208502E-2</c:v>
                </c:pt>
                <c:pt idx="34">
                  <c:v>1.2189799226836264E-2</c:v>
                </c:pt>
                <c:pt idx="35">
                  <c:v>1.2096168294515404E-2</c:v>
                </c:pt>
                <c:pt idx="36">
                  <c:v>1.199330972058245E-2</c:v>
                </c:pt>
                <c:pt idx="37">
                  <c:v>1.1881709170385408E-2</c:v>
                </c:pt>
                <c:pt idx="38">
                  <c:v>1.1761818815110351E-2</c:v>
                </c:pt>
                <c:pt idx="39">
                  <c:v>1.1634060170269725E-2</c:v>
                </c:pt>
                <c:pt idx="40">
                  <c:v>1.1498826650341801E-2</c:v>
                </c:pt>
                <c:pt idx="41">
                  <c:v>1.1356485872134158E-2</c:v>
                </c:pt>
                <c:pt idx="42">
                  <c:v>1.1207381735240975E-2</c:v>
                </c:pt>
                <c:pt idx="43">
                  <c:v>1.1051836304361559E-2</c:v>
                </c:pt>
                <c:pt idx="44">
                  <c:v>1.0890151515151516E-2</c:v>
                </c:pt>
                <c:pt idx="45">
                  <c:v>1.0722610722610723E-2</c:v>
                </c:pt>
              </c:numCache>
            </c:numRef>
          </c:val>
          <c:extLst>
            <c:ext xmlns:c16="http://schemas.microsoft.com/office/drawing/2014/chart" uri="{C3380CC4-5D6E-409C-BE32-E72D297353CC}">
              <c16:uniqueId val="{00000014-5A3E-43E6-80E0-958E8C2306B8}"/>
            </c:ext>
          </c:extLst>
        </c:ser>
        <c:ser>
          <c:idx val="21"/>
          <c:order val="21"/>
          <c:tx>
            <c:strRef>
              <c:f>'Ej. 3'!$P$80</c:f>
              <c:strCache>
                <c:ptCount val="1"/>
                <c:pt idx="0">
                  <c:v>21</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3'!$Q$80:$BJ$80</c:f>
              <c:numCache>
                <c:formatCode>0.00%</c:formatCode>
                <c:ptCount val="46"/>
                <c:pt idx="0">
                  <c:v>0</c:v>
                </c:pt>
                <c:pt idx="1">
                  <c:v>1.4569941842669117E-3</c:v>
                </c:pt>
                <c:pt idx="2">
                  <c:v>2.7556194354613327E-3</c:v>
                </c:pt>
                <c:pt idx="3">
                  <c:v>3.9156718702173252E-3</c:v>
                </c:pt>
                <c:pt idx="4">
                  <c:v>4.953780226507499E-3</c:v>
                </c:pt>
                <c:pt idx="5">
                  <c:v>5.884014974924065E-3</c:v>
                </c:pt>
                <c:pt idx="6">
                  <c:v>6.7183620718974258E-3</c:v>
                </c:pt>
                <c:pt idx="7">
                  <c:v>7.4670951943679202E-3</c:v>
                </c:pt>
                <c:pt idx="8">
                  <c:v>8.139070960387575E-3</c:v>
                </c:pt>
                <c:pt idx="9">
                  <c:v>8.7419651056014694E-3</c:v>
                </c:pt>
                <c:pt idx="10">
                  <c:v>9.2824629481520985E-3</c:v>
                </c:pt>
                <c:pt idx="11">
                  <c:v>9.7664141414141419E-3</c:v>
                </c:pt>
                <c:pt idx="12">
                  <c:v>1.0198959289868382E-2</c:v>
                </c:pt>
                <c:pt idx="13">
                  <c:v>1.0584634220997856E-2</c:v>
                </c:pt>
                <c:pt idx="14">
                  <c:v>1.0927456382001835E-2</c:v>
                </c:pt>
                <c:pt idx="15">
                  <c:v>1.1230996837057441E-2</c:v>
                </c:pt>
                <c:pt idx="16">
                  <c:v>1.1498440589349681E-2</c:v>
                </c:pt>
                <c:pt idx="17">
                  <c:v>1.1732637378570393E-2</c:v>
                </c:pt>
                <c:pt idx="18">
                  <c:v>1.1936144663417391E-2</c:v>
                </c:pt>
                <c:pt idx="19">
                  <c:v>1.2111264156718701E-2</c:v>
                </c:pt>
                <c:pt idx="20">
                  <c:v>1.2260073013953281E-2</c:v>
                </c:pt>
                <c:pt idx="21">
                  <c:v>1.2384450566268749E-2</c:v>
                </c:pt>
                <c:pt idx="22">
                  <c:v>1.2486101323310626E-2</c:v>
                </c:pt>
                <c:pt idx="23">
                  <c:v>1.2566574839302109E-2</c:v>
                </c:pt>
                <c:pt idx="24">
                  <c:v>1.2627282930313233E-2</c:v>
                </c:pt>
                <c:pt idx="25">
                  <c:v>1.2669514645799233E-2</c:v>
                </c:pt>
                <c:pt idx="26">
                  <c:v>1.2694449328878728E-2</c:v>
                </c:pt>
                <c:pt idx="27">
                  <c:v>1.2703168044077133E-2</c:v>
                </c:pt>
                <c:pt idx="28">
                  <c:v>1.2696663605754515E-2</c:v>
                </c:pt>
                <c:pt idx="29">
                  <c:v>1.2675849403122132E-2</c:v>
                </c:pt>
                <c:pt idx="30">
                  <c:v>1.2641567187021731E-2</c:v>
                </c:pt>
                <c:pt idx="31">
                  <c:v>1.2594593958230323E-2</c:v>
                </c:pt>
                <c:pt idx="32">
                  <c:v>1.2535648075956824E-2</c:v>
                </c:pt>
                <c:pt idx="33">
                  <c:v>1.2465394687616911E-2</c:v>
                </c:pt>
                <c:pt idx="34">
                  <c:v>1.2384450566268749E-2</c:v>
                </c:pt>
                <c:pt idx="35">
                  <c:v>1.2293388429752066E-2</c:v>
                </c:pt>
                <c:pt idx="36">
                  <c:v>1.2192740805180999E-2</c:v>
                </c:pt>
                <c:pt idx="37">
                  <c:v>1.2083003493661801E-2</c:v>
                </c:pt>
                <c:pt idx="38">
                  <c:v>1.1964638682666418E-2</c:v>
                </c:pt>
                <c:pt idx="39">
                  <c:v>1.1838077747168656E-2</c:v>
                </c:pt>
                <c:pt idx="40">
                  <c:v>1.1703723775258796E-2</c:v>
                </c:pt>
                <c:pt idx="41">
                  <c:v>1.1561953849343878E-2</c:v>
                </c:pt>
                <c:pt idx="42">
                  <c:v>1.1413121110090808E-2</c:v>
                </c:pt>
                <c:pt idx="43">
                  <c:v>1.1257556626874809E-2</c:v>
                </c:pt>
                <c:pt idx="44">
                  <c:v>1.1095571095571095E-2</c:v>
                </c:pt>
                <c:pt idx="45">
                  <c:v>1.0927456382001837E-2</c:v>
                </c:pt>
              </c:numCache>
            </c:numRef>
          </c:val>
          <c:extLst>
            <c:ext xmlns:c16="http://schemas.microsoft.com/office/drawing/2014/chart" uri="{C3380CC4-5D6E-409C-BE32-E72D297353CC}">
              <c16:uniqueId val="{00000015-5A3E-43E6-80E0-958E8C2306B8}"/>
            </c:ext>
          </c:extLst>
        </c:ser>
        <c:ser>
          <c:idx val="22"/>
          <c:order val="22"/>
          <c:tx>
            <c:strRef>
              <c:f>'Ej. 3'!$P$81</c:f>
              <c:strCache>
                <c:ptCount val="1"/>
                <c:pt idx="0">
                  <c:v>22</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3'!$Q$81:$BJ$81</c:f>
              <c:numCache>
                <c:formatCode>0.00%</c:formatCode>
                <c:ptCount val="46"/>
                <c:pt idx="0">
                  <c:v>0</c:v>
                </c:pt>
                <c:pt idx="1">
                  <c:v>1.438539989264627E-3</c:v>
                </c:pt>
                <c:pt idx="2">
                  <c:v>2.725869809203143E-3</c:v>
                </c:pt>
                <c:pt idx="3">
                  <c:v>3.8801346801346803E-3</c:v>
                </c:pt>
                <c:pt idx="4">
                  <c:v>4.916688250021584E-3</c:v>
                </c:pt>
                <c:pt idx="5">
                  <c:v>5.8486095523132553E-3</c:v>
                </c:pt>
                <c:pt idx="6">
                  <c:v>6.6871091871091876E-3</c:v>
                </c:pt>
                <c:pt idx="7">
                  <c:v>7.4418514648399705E-3</c:v>
                </c:pt>
                <c:pt idx="8">
                  <c:v>8.1212121212121211E-3</c:v>
                </c:pt>
                <c:pt idx="9">
                  <c:v>8.7324861518409905E-3</c:v>
                </c:pt>
                <c:pt idx="10">
                  <c:v>9.2820566778900118E-3</c:v>
                </c:pt>
                <c:pt idx="11">
                  <c:v>9.7755331088664431E-3</c:v>
                </c:pt>
                <c:pt idx="12">
                  <c:v>1.0217864923747278E-2</c:v>
                </c:pt>
                <c:pt idx="13">
                  <c:v>1.061343594676928E-2</c:v>
                </c:pt>
                <c:pt idx="14">
                  <c:v>1.0966142910587355E-2</c:v>
                </c:pt>
                <c:pt idx="15">
                  <c:v>1.1279461279461278E-2</c:v>
                </c:pt>
                <c:pt idx="16">
                  <c:v>1.1556500679307698E-2</c:v>
                </c:pt>
                <c:pt idx="17">
                  <c:v>1.18000518000518E-2</c:v>
                </c:pt>
                <c:pt idx="18">
                  <c:v>1.2012626262626263E-2</c:v>
                </c:pt>
                <c:pt idx="19">
                  <c:v>1.2196490651775204E-2</c:v>
                </c:pt>
                <c:pt idx="20">
                  <c:v>1.2353695687029022E-2</c:v>
                </c:pt>
                <c:pt idx="21">
                  <c:v>1.2486101323310626E-2</c:v>
                </c:pt>
                <c:pt idx="22">
                  <c:v>1.2595398428731763E-2</c:v>
                </c:pt>
                <c:pt idx="23">
                  <c:v>1.2683127572016459E-2</c:v>
                </c:pt>
                <c:pt idx="24">
                  <c:v>1.2750695359391013E-2</c:v>
                </c:pt>
                <c:pt idx="25">
                  <c:v>1.279938868591351E-2</c:v>
                </c:pt>
                <c:pt idx="26">
                  <c:v>1.2830387205387206E-2</c:v>
                </c:pt>
                <c:pt idx="27">
                  <c:v>1.2844774273345702E-2</c:v>
                </c:pt>
                <c:pt idx="28">
                  <c:v>1.2843546576879909E-2</c:v>
                </c:pt>
                <c:pt idx="29">
                  <c:v>1.2827622631544203E-2</c:v>
                </c:pt>
                <c:pt idx="30">
                  <c:v>1.2797850297850298E-2</c:v>
                </c:pt>
                <c:pt idx="31">
                  <c:v>1.2755013446837346E-2</c:v>
                </c:pt>
                <c:pt idx="32">
                  <c:v>1.2699837885023071E-2</c:v>
                </c:pt>
                <c:pt idx="33">
                  <c:v>1.2632996632996635E-2</c:v>
                </c:pt>
                <c:pt idx="34">
                  <c:v>1.2555114638447971E-2</c:v>
                </c:pt>
                <c:pt idx="35">
                  <c:v>1.2466772993088784E-2</c:v>
                </c:pt>
                <c:pt idx="36">
                  <c:v>1.23685127133403E-2</c:v>
                </c:pt>
                <c:pt idx="37">
                  <c:v>1.2260838136544352E-2</c:v>
                </c:pt>
                <c:pt idx="38">
                  <c:v>1.214421997755331E-2</c:v>
                </c:pt>
                <c:pt idx="39">
                  <c:v>1.2019098084671857E-2</c:v>
                </c:pt>
                <c:pt idx="40">
                  <c:v>1.1885883928894682E-2</c:v>
                </c:pt>
                <c:pt idx="41">
                  <c:v>1.1744962856073966E-2</c:v>
                </c:pt>
                <c:pt idx="42">
                  <c:v>1.1596696127946128E-2</c:v>
                </c:pt>
                <c:pt idx="43">
                  <c:v>1.144142277475611E-2</c:v>
                </c:pt>
                <c:pt idx="44">
                  <c:v>1.127946127946128E-2</c:v>
                </c:pt>
                <c:pt idx="45">
                  <c:v>1.1111111111111112E-2</c:v>
                </c:pt>
              </c:numCache>
            </c:numRef>
          </c:val>
          <c:extLst>
            <c:ext xmlns:c16="http://schemas.microsoft.com/office/drawing/2014/chart" uri="{C3380CC4-5D6E-409C-BE32-E72D297353CC}">
              <c16:uniqueId val="{00000016-5A3E-43E6-80E0-958E8C2306B8}"/>
            </c:ext>
          </c:extLst>
        </c:ser>
        <c:ser>
          <c:idx val="23"/>
          <c:order val="23"/>
          <c:tx>
            <c:strRef>
              <c:f>'Ej. 3'!$P$82</c:f>
              <c:strCache>
                <c:ptCount val="1"/>
                <c:pt idx="0">
                  <c:v>23</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3'!$Q$82:$BJ$82</c:f>
              <c:numCache>
                <c:formatCode>0.00%</c:formatCode>
                <c:ptCount val="46"/>
                <c:pt idx="0">
                  <c:v>0</c:v>
                </c:pt>
                <c:pt idx="1">
                  <c:v>1.4197530864197532E-3</c:v>
                </c:pt>
                <c:pt idx="2">
                  <c:v>2.6949494949494949E-3</c:v>
                </c:pt>
                <c:pt idx="3">
                  <c:v>3.8422688422688417E-3</c:v>
                </c:pt>
                <c:pt idx="4">
                  <c:v>4.8759196907345046E-3</c:v>
                </c:pt>
                <c:pt idx="5">
                  <c:v>5.8080808080808064E-3</c:v>
                </c:pt>
                <c:pt idx="6">
                  <c:v>6.6492511320097522E-3</c:v>
                </c:pt>
                <c:pt idx="7">
                  <c:v>7.4085297418630741E-3</c:v>
                </c:pt>
                <c:pt idx="8">
                  <c:v>8.0938416422287399E-3</c:v>
                </c:pt>
                <c:pt idx="9">
                  <c:v>8.712121212121211E-3</c:v>
                </c:pt>
                <c:pt idx="10">
                  <c:v>9.2694622997653298E-3</c:v>
                </c:pt>
                <c:pt idx="11">
                  <c:v>9.7712418300653584E-3</c:v>
                </c:pt>
                <c:pt idx="12">
                  <c:v>1.0222222222222221E-2</c:v>
                </c:pt>
                <c:pt idx="13">
                  <c:v>1.0626636737747849E-2</c:v>
                </c:pt>
                <c:pt idx="14">
                  <c:v>1.0988260988260987E-2</c:v>
                </c:pt>
                <c:pt idx="15">
                  <c:v>1.1310473152578415E-2</c:v>
                </c:pt>
                <c:pt idx="16">
                  <c:v>1.1596304929638262E-2</c:v>
                </c:pt>
                <c:pt idx="17">
                  <c:v>1.1848484848484848E-2</c:v>
                </c:pt>
                <c:pt idx="18">
                  <c:v>1.2069475240206948E-2</c:v>
                </c:pt>
                <c:pt idx="19">
                  <c:v>1.2261503928170594E-2</c:v>
                </c:pt>
                <c:pt idx="20">
                  <c:v>1.2426591496358939E-2</c:v>
                </c:pt>
                <c:pt idx="21">
                  <c:v>1.2566574839302109E-2</c:v>
                </c:pt>
                <c:pt idx="22">
                  <c:v>1.2683127572016459E-2</c:v>
                </c:pt>
                <c:pt idx="23">
                  <c:v>1.2777777777777777E-2</c:v>
                </c:pt>
                <c:pt idx="24">
                  <c:v>1.285192349022136E-2</c:v>
                </c:pt>
                <c:pt idx="25">
                  <c:v>1.2906846240179575E-2</c:v>
                </c:pt>
                <c:pt idx="26">
                  <c:v>1.2943722943722941E-2</c:v>
                </c:pt>
                <c:pt idx="27">
                  <c:v>1.2963636363636361E-2</c:v>
                </c:pt>
                <c:pt idx="28">
                  <c:v>1.296758434013336E-2</c:v>
                </c:pt>
                <c:pt idx="29">
                  <c:v>1.2956487956487957E-2</c:v>
                </c:pt>
                <c:pt idx="30">
                  <c:v>1.2931198780255381E-2</c:v>
                </c:pt>
                <c:pt idx="31">
                  <c:v>1.2892505299912706E-2</c:v>
                </c:pt>
                <c:pt idx="32">
                  <c:v>1.2841138659320477E-2</c:v>
                </c:pt>
                <c:pt idx="33">
                  <c:v>1.2777777777777777E-2</c:v>
                </c:pt>
                <c:pt idx="34">
                  <c:v>1.2703053931124106E-2</c:v>
                </c:pt>
                <c:pt idx="35">
                  <c:v>1.261755485893417E-2</c:v>
                </c:pt>
                <c:pt idx="36">
                  <c:v>1.2521828454031844E-2</c:v>
                </c:pt>
                <c:pt idx="37">
                  <c:v>1.241638608305275E-2</c:v>
                </c:pt>
                <c:pt idx="38">
                  <c:v>1.2301705580394104E-2</c:v>
                </c:pt>
                <c:pt idx="39">
                  <c:v>1.21782339524275E-2</c:v>
                </c:pt>
                <c:pt idx="40">
                  <c:v>1.20463898241676E-2</c:v>
                </c:pt>
                <c:pt idx="41">
                  <c:v>1.1906565656565655E-2</c:v>
                </c:pt>
                <c:pt idx="42">
                  <c:v>1.1759129759129759E-2</c:v>
                </c:pt>
                <c:pt idx="43">
                  <c:v>1.1604428119579636E-2</c:v>
                </c:pt>
                <c:pt idx="44">
                  <c:v>1.1442786069651741E-2</c:v>
                </c:pt>
                <c:pt idx="45">
                  <c:v>1.1274509803921568E-2</c:v>
                </c:pt>
              </c:numCache>
            </c:numRef>
          </c:val>
          <c:extLst>
            <c:ext xmlns:c16="http://schemas.microsoft.com/office/drawing/2014/chart" uri="{C3380CC4-5D6E-409C-BE32-E72D297353CC}">
              <c16:uniqueId val="{00000017-5A3E-43E6-80E0-958E8C2306B8}"/>
            </c:ext>
          </c:extLst>
        </c:ser>
        <c:ser>
          <c:idx val="24"/>
          <c:order val="24"/>
          <c:tx>
            <c:strRef>
              <c:f>'Ej. 3'!$P$83</c:f>
              <c:strCache>
                <c:ptCount val="1"/>
                <c:pt idx="0">
                  <c:v>24</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3'!$Q$83:$BJ$83</c:f>
              <c:numCache>
                <c:formatCode>0.00%</c:formatCode>
                <c:ptCount val="46"/>
                <c:pt idx="0">
                  <c:v>0</c:v>
                </c:pt>
                <c:pt idx="1">
                  <c:v>1.4006734006734006E-3</c:v>
                </c:pt>
                <c:pt idx="2">
                  <c:v>2.6629935720844816E-3</c:v>
                </c:pt>
                <c:pt idx="3">
                  <c:v>3.8023330952623884E-3</c:v>
                </c:pt>
                <c:pt idx="4">
                  <c:v>4.8318684682321037E-3</c:v>
                </c:pt>
                <c:pt idx="5">
                  <c:v>5.7629587410151671E-3</c:v>
                </c:pt>
                <c:pt idx="6">
                  <c:v>6.6054484236302419E-3</c:v>
                </c:pt>
                <c:pt idx="7">
                  <c:v>7.367911766738745E-3</c:v>
                </c:pt>
                <c:pt idx="8">
                  <c:v>8.057851239669421E-3</c:v>
                </c:pt>
                <c:pt idx="9">
                  <c:v>8.6818599215293425E-3</c:v>
                </c:pt>
                <c:pt idx="10">
                  <c:v>9.2457552350600474E-3</c:v>
                </c:pt>
                <c:pt idx="11">
                  <c:v>9.7546897546897538E-3</c:v>
                </c:pt>
                <c:pt idx="12">
                  <c:v>1.021324354657688E-2</c:v>
                </c:pt>
                <c:pt idx="13">
                  <c:v>1.0625501534592444E-2</c:v>
                </c:pt>
                <c:pt idx="14">
                  <c:v>1.0995118650621041E-2</c:v>
                </c:pt>
                <c:pt idx="15">
                  <c:v>1.1325374961738596E-2</c:v>
                </c:pt>
                <c:pt idx="16">
                  <c:v>1.1619222528313437E-2</c:v>
                </c:pt>
                <c:pt idx="17">
                  <c:v>1.1879325404824295E-2</c:v>
                </c:pt>
                <c:pt idx="18">
                  <c:v>1.2108093926275744E-2</c:v>
                </c:pt>
                <c:pt idx="19">
                  <c:v>1.2307714210462624E-2</c:v>
                </c:pt>
                <c:pt idx="20">
                  <c:v>1.2480173637198432E-2</c:v>
                </c:pt>
                <c:pt idx="21">
                  <c:v>1.2627282930313233E-2</c:v>
                </c:pt>
                <c:pt idx="22">
                  <c:v>1.2750695359391013E-2</c:v>
                </c:pt>
                <c:pt idx="23">
                  <c:v>1.285192349022136E-2</c:v>
                </c:pt>
                <c:pt idx="24">
                  <c:v>1.293235384144475E-2</c:v>
                </c:pt>
                <c:pt idx="25">
                  <c:v>1.2993259746506501E-2</c:v>
                </c:pt>
                <c:pt idx="26">
                  <c:v>1.3035812672176308E-2</c:v>
                </c:pt>
                <c:pt idx="27">
                  <c:v>1.3061092205477232E-2</c:v>
                </c:pt>
                <c:pt idx="28">
                  <c:v>1.3070094888276707E-2</c:v>
                </c:pt>
                <c:pt idx="29">
                  <c:v>1.3063742051735192E-2</c:v>
                </c:pt>
                <c:pt idx="30">
                  <c:v>1.3042886780260514E-2</c:v>
                </c:pt>
                <c:pt idx="31">
                  <c:v>1.3008320115758131E-2</c:v>
                </c:pt>
                <c:pt idx="32">
                  <c:v>1.2960776597140233E-2</c:v>
                </c:pt>
                <c:pt idx="33">
                  <c:v>1.2900939216728689E-2</c:v>
                </c:pt>
                <c:pt idx="34">
                  <c:v>1.2829443863926622E-2</c:v>
                </c:pt>
                <c:pt idx="35">
                  <c:v>1.2746883316991177E-2</c:v>
                </c:pt>
                <c:pt idx="36">
                  <c:v>1.2653810835629019E-2</c:v>
                </c:pt>
                <c:pt idx="37">
                  <c:v>1.2550743400221789E-2</c:v>
                </c:pt>
                <c:pt idx="38">
                  <c:v>1.2438164637578127E-2</c:v>
                </c:pt>
                <c:pt idx="39">
                  <c:v>1.2316527468042619E-2</c:v>
                </c:pt>
                <c:pt idx="40">
                  <c:v>1.218625650443832E-2</c:v>
                </c:pt>
                <c:pt idx="41">
                  <c:v>1.2047750229568411E-2</c:v>
                </c:pt>
                <c:pt idx="42">
                  <c:v>1.1901382975763141E-2</c:v>
                </c:pt>
                <c:pt idx="43">
                  <c:v>1.1747506727153948E-2</c:v>
                </c:pt>
                <c:pt idx="44">
                  <c:v>1.158645276292335E-2</c:v>
                </c:pt>
                <c:pt idx="45">
                  <c:v>1.1418533157663592E-2</c:v>
                </c:pt>
              </c:numCache>
            </c:numRef>
          </c:val>
          <c:extLst>
            <c:ext xmlns:c16="http://schemas.microsoft.com/office/drawing/2014/chart" uri="{C3380CC4-5D6E-409C-BE32-E72D297353CC}">
              <c16:uniqueId val="{00000018-5A3E-43E6-80E0-958E8C2306B8}"/>
            </c:ext>
          </c:extLst>
        </c:ser>
        <c:ser>
          <c:idx val="25"/>
          <c:order val="25"/>
          <c:tx>
            <c:strRef>
              <c:f>'Ej. 3'!$P$84</c:f>
              <c:strCache>
                <c:ptCount val="1"/>
                <c:pt idx="0">
                  <c:v>25</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3'!$Q$84:$BJ$84</c:f>
              <c:numCache>
                <c:formatCode>0.00%</c:formatCode>
                <c:ptCount val="46"/>
                <c:pt idx="0">
                  <c:v>0</c:v>
                </c:pt>
                <c:pt idx="1">
                  <c:v>1.3813347146680482E-3</c:v>
                </c:pt>
                <c:pt idx="2">
                  <c:v>2.6301171082315868E-3</c:v>
                </c:pt>
                <c:pt idx="3">
                  <c:v>3.7605492150946701E-3</c:v>
                </c:pt>
                <c:pt idx="4">
                  <c:v>4.7848741683642424E-3</c:v>
                </c:pt>
                <c:pt idx="5">
                  <c:v>5.713702683399653E-3</c:v>
                </c:pt>
                <c:pt idx="6">
                  <c:v>6.5562763509977593E-3</c:v>
                </c:pt>
                <c:pt idx="7">
                  <c:v>7.3206815631058058E-3</c:v>
                </c:pt>
                <c:pt idx="8">
                  <c:v>8.0140245429501638E-3</c:v>
                </c:pt>
                <c:pt idx="9">
                  <c:v>8.6425754874952746E-3</c:v>
                </c:pt>
                <c:pt idx="10">
                  <c:v>9.2118879997667904E-3</c:v>
                </c:pt>
                <c:pt idx="11">
                  <c:v>9.7268986157875072E-3</c:v>
                </c:pt>
                <c:pt idx="12">
                  <c:v>1.0192010192010194E-2</c:v>
                </c:pt>
                <c:pt idx="13">
                  <c:v>1.0611162126313642E-2</c:v>
                </c:pt>
                <c:pt idx="14">
                  <c:v>1.0987889775768565E-2</c:v>
                </c:pt>
                <c:pt idx="15">
                  <c:v>1.1325374961738599E-2</c:v>
                </c:pt>
                <c:pt idx="16">
                  <c:v>1.1626489083990934E-2</c:v>
                </c:pt>
                <c:pt idx="17">
                  <c:v>1.1893830075648258E-2</c:v>
                </c:pt>
                <c:pt idx="18">
                  <c:v>1.212975420163581E-2</c:v>
                </c:pt>
                <c:pt idx="19">
                  <c:v>1.2336403520976525E-2</c:v>
                </c:pt>
                <c:pt idx="20">
                  <c:v>1.2515729687446863E-2</c:v>
                </c:pt>
                <c:pt idx="21">
                  <c:v>1.2669514645799233E-2</c:v>
                </c:pt>
                <c:pt idx="22">
                  <c:v>1.279938868591351E-2</c:v>
                </c:pt>
                <c:pt idx="23">
                  <c:v>1.2906846240179575E-2</c:v>
                </c:pt>
                <c:pt idx="24">
                  <c:v>1.2993259746506501E-2</c:v>
                </c:pt>
                <c:pt idx="25">
                  <c:v>1.3059891847770639E-2</c:v>
                </c:pt>
                <c:pt idx="26">
                  <c:v>1.3107906156034499E-2</c:v>
                </c:pt>
                <c:pt idx="27">
                  <c:v>1.3138376774740414E-2</c:v>
                </c:pt>
                <c:pt idx="28">
                  <c:v>1.3152296742919957E-2</c:v>
                </c:pt>
                <c:pt idx="29">
                  <c:v>1.3150585541157934E-2</c:v>
                </c:pt>
                <c:pt idx="30">
                  <c:v>1.3134095778723879E-2</c:v>
                </c:pt>
                <c:pt idx="31">
                  <c:v>1.3103619164225226E-2</c:v>
                </c:pt>
                <c:pt idx="32">
                  <c:v>1.3059891847770639E-2</c:v>
                </c:pt>
                <c:pt idx="33">
                  <c:v>1.3003599210495764E-2</c:v>
                </c:pt>
                <c:pt idx="34">
                  <c:v>1.2935380167018586E-2</c:v>
                </c:pt>
                <c:pt idx="35">
                  <c:v>1.2855831037649222E-2</c:v>
                </c:pt>
                <c:pt idx="36">
                  <c:v>1.2765509039726628E-2</c:v>
                </c:pt>
                <c:pt idx="37">
                  <c:v>1.2664935441084026E-2</c:v>
                </c:pt>
                <c:pt idx="38">
                  <c:v>1.2554598413184273E-2</c:v>
                </c:pt>
                <c:pt idx="39">
                  <c:v>1.24349556167738E-2</c:v>
                </c:pt>
                <c:pt idx="40">
                  <c:v>1.2306436548860792E-2</c:v>
                </c:pt>
                <c:pt idx="41">
                  <c:v>1.216944467633173E-2</c:v>
                </c:pt>
                <c:pt idx="42">
                  <c:v>1.2024359378497778E-2</c:v>
                </c:pt>
                <c:pt idx="43">
                  <c:v>1.1871537718240038E-2</c:v>
                </c:pt>
                <c:pt idx="44">
                  <c:v>1.1711316059142147E-2</c:v>
                </c:pt>
                <c:pt idx="45">
                  <c:v>1.1544011544011546E-2</c:v>
                </c:pt>
              </c:numCache>
            </c:numRef>
          </c:val>
          <c:extLst>
            <c:ext xmlns:c16="http://schemas.microsoft.com/office/drawing/2014/chart" uri="{C3380CC4-5D6E-409C-BE32-E72D297353CC}">
              <c16:uniqueId val="{00000019-5A3E-43E6-80E0-958E8C2306B8}"/>
            </c:ext>
          </c:extLst>
        </c:ser>
        <c:ser>
          <c:idx val="26"/>
          <c:order val="26"/>
          <c:tx>
            <c:strRef>
              <c:f>'Ej. 3'!$P$85</c:f>
              <c:strCache>
                <c:ptCount val="1"/>
                <c:pt idx="0">
                  <c:v>26</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3'!$Q$85:$BJ$85</c:f>
              <c:numCache>
                <c:formatCode>0.00%</c:formatCode>
                <c:ptCount val="46"/>
                <c:pt idx="0">
                  <c:v>0</c:v>
                </c:pt>
                <c:pt idx="1">
                  <c:v>1.3617658062102507E-3</c:v>
                </c:pt>
                <c:pt idx="2">
                  <c:v>2.5964187327823696E-3</c:v>
                </c:pt>
                <c:pt idx="3">
                  <c:v>3.7171083879547835E-3</c:v>
                </c:pt>
                <c:pt idx="4">
                  <c:v>4.7352310988674623E-3</c:v>
                </c:pt>
                <c:pt idx="5">
                  <c:v>5.6607126988358651E-3</c:v>
                </c:pt>
                <c:pt idx="6">
                  <c:v>6.5022382920110191E-3</c:v>
                </c:pt>
                <c:pt idx="7">
                  <c:v>7.2674402426468531E-3</c:v>
                </c:pt>
                <c:pt idx="8">
                  <c:v>7.9630529897909575E-3</c:v>
                </c:pt>
                <c:pt idx="9">
                  <c:v>8.5950413223140499E-3</c:v>
                </c:pt>
                <c:pt idx="10">
                  <c:v>9.1687072747678802E-3</c:v>
                </c:pt>
                <c:pt idx="11">
                  <c:v>9.6887796887796893E-3</c:v>
                </c:pt>
                <c:pt idx="12">
                  <c:v>1.0159489633173844E-2</c:v>
                </c:pt>
                <c:pt idx="13">
                  <c:v>1.0584634220997856E-2</c:v>
                </c:pt>
                <c:pt idx="14">
                  <c:v>1.0967630853994489E-2</c:v>
                </c:pt>
                <c:pt idx="15">
                  <c:v>1.1311563528858428E-2</c:v>
                </c:pt>
                <c:pt idx="16">
                  <c:v>1.1619222528313438E-2</c:v>
                </c:pt>
                <c:pt idx="17">
                  <c:v>1.1893138573899674E-2</c:v>
                </c:pt>
                <c:pt idx="18">
                  <c:v>1.2135612321562737E-2</c:v>
                </c:pt>
                <c:pt idx="19">
                  <c:v>1.23487399244975E-2</c:v>
                </c:pt>
                <c:pt idx="20">
                  <c:v>1.2534435261707989E-2</c:v>
                </c:pt>
                <c:pt idx="21">
                  <c:v>1.2694449328878728E-2</c:v>
                </c:pt>
                <c:pt idx="22">
                  <c:v>1.2830387205387206E-2</c:v>
                </c:pt>
                <c:pt idx="23">
                  <c:v>1.2943722943722941E-2</c:v>
                </c:pt>
                <c:pt idx="24">
                  <c:v>1.3035812672176308E-2</c:v>
                </c:pt>
                <c:pt idx="25">
                  <c:v>1.3107906156034499E-2</c:v>
                </c:pt>
                <c:pt idx="26">
                  <c:v>1.3161157024793388E-2</c:v>
                </c:pt>
                <c:pt idx="27">
                  <c:v>1.3196631841571807E-2</c:v>
                </c:pt>
                <c:pt idx="28">
                  <c:v>1.3215318164813115E-2</c:v>
                </c:pt>
                <c:pt idx="29">
                  <c:v>1.3218131730528427E-2</c:v>
                </c:pt>
                <c:pt idx="30">
                  <c:v>1.3205922865013773E-2</c:v>
                </c:pt>
                <c:pt idx="31">
                  <c:v>1.3179482222544423E-2</c:v>
                </c:pt>
                <c:pt idx="32">
                  <c:v>1.3139545929514582E-2</c:v>
                </c:pt>
                <c:pt idx="33">
                  <c:v>1.3086800205444274E-2</c:v>
                </c:pt>
                <c:pt idx="34">
                  <c:v>1.3021885521885521E-2</c:v>
                </c:pt>
                <c:pt idx="35">
                  <c:v>1.2945400352255792E-2</c:v>
                </c:pt>
                <c:pt idx="36">
                  <c:v>1.2857904558784326E-2</c:v>
                </c:pt>
                <c:pt idx="37">
                  <c:v>1.2759922456892154E-2</c:v>
                </c:pt>
                <c:pt idx="38">
                  <c:v>1.2651945592286501E-2</c:v>
                </c:pt>
                <c:pt idx="39">
                  <c:v>1.253443526170799E-2</c:v>
                </c:pt>
                <c:pt idx="40">
                  <c:v>1.2407824804519019E-2</c:v>
                </c:pt>
                <c:pt idx="41">
                  <c:v>1.2272521689075284E-2</c:v>
                </c:pt>
                <c:pt idx="42">
                  <c:v>1.2128909415005672E-2</c:v>
                </c:pt>
                <c:pt idx="43">
                  <c:v>1.1977349250076524E-2</c:v>
                </c:pt>
                <c:pt idx="44">
                  <c:v>1.1818181818181818E-2</c:v>
                </c:pt>
                <c:pt idx="45">
                  <c:v>1.1651728553137003E-2</c:v>
                </c:pt>
              </c:numCache>
            </c:numRef>
          </c:val>
          <c:extLst>
            <c:ext xmlns:c16="http://schemas.microsoft.com/office/drawing/2014/chart" uri="{C3380CC4-5D6E-409C-BE32-E72D297353CC}">
              <c16:uniqueId val="{0000001A-5A3E-43E6-80E0-958E8C2306B8}"/>
            </c:ext>
          </c:extLst>
        </c:ser>
        <c:ser>
          <c:idx val="27"/>
          <c:order val="27"/>
          <c:tx>
            <c:strRef>
              <c:f>'Ej. 3'!$P$86</c:f>
              <c:strCache>
                <c:ptCount val="1"/>
                <c:pt idx="0">
                  <c:v>27</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3'!$Q$86:$BJ$86</c:f>
              <c:numCache>
                <c:formatCode>0.00%</c:formatCode>
                <c:ptCount val="46"/>
                <c:pt idx="0">
                  <c:v>0</c:v>
                </c:pt>
                <c:pt idx="1">
                  <c:v>1.341991341991342E-3</c:v>
                </c:pt>
                <c:pt idx="2">
                  <c:v>2.5619834710743808E-3</c:v>
                </c:pt>
                <c:pt idx="3">
                  <c:v>3.672176308539945E-3</c:v>
                </c:pt>
                <c:pt idx="4">
                  <c:v>4.6831955922865013E-3</c:v>
                </c:pt>
                <c:pt idx="5">
                  <c:v>5.6043388429752056E-3</c:v>
                </c:pt>
                <c:pt idx="6">
                  <c:v>6.4437766090658655E-3</c:v>
                </c:pt>
                <c:pt idx="7">
                  <c:v>7.2087181980230106E-3</c:v>
                </c:pt>
                <c:pt idx="8">
                  <c:v>7.905548996458088E-3</c:v>
                </c:pt>
                <c:pt idx="9">
                  <c:v>8.5399449035812661E-3</c:v>
                </c:pt>
                <c:pt idx="10">
                  <c:v>9.1169682078773E-3</c:v>
                </c:pt>
                <c:pt idx="11">
                  <c:v>9.6411483253588531E-3</c:v>
                </c:pt>
                <c:pt idx="12">
                  <c:v>1.0116550116550117E-2</c:v>
                </c:pt>
                <c:pt idx="13">
                  <c:v>1.0546831955922865E-2</c:v>
                </c:pt>
                <c:pt idx="14">
                  <c:v>1.0935295303366257E-2</c:v>
                </c:pt>
                <c:pt idx="15">
                  <c:v>1.1284927194018102E-2</c:v>
                </c:pt>
                <c:pt idx="16">
                  <c:v>1.1598436799282465E-2</c:v>
                </c:pt>
                <c:pt idx="17">
                  <c:v>1.1878287002253945E-2</c:v>
                </c:pt>
                <c:pt idx="18">
                  <c:v>1.2126721763085399E-2</c:v>
                </c:pt>
                <c:pt idx="19">
                  <c:v>1.2345789914959875E-2</c:v>
                </c:pt>
                <c:pt idx="20">
                  <c:v>1.2537365922278883E-2</c:v>
                </c:pt>
                <c:pt idx="21">
                  <c:v>1.2703168044077133E-2</c:v>
                </c:pt>
                <c:pt idx="22">
                  <c:v>1.2844774273345702E-2</c:v>
                </c:pt>
                <c:pt idx="23">
                  <c:v>1.2963636363636361E-2</c:v>
                </c:pt>
                <c:pt idx="24">
                  <c:v>1.3061092205477232E-2</c:v>
                </c:pt>
                <c:pt idx="25">
                  <c:v>1.3138376774740414E-2</c:v>
                </c:pt>
                <c:pt idx="26">
                  <c:v>1.3196631841571807E-2</c:v>
                </c:pt>
                <c:pt idx="27">
                  <c:v>1.3236914600550964E-2</c:v>
                </c:pt>
                <c:pt idx="28">
                  <c:v>1.3260205359378913E-2</c:v>
                </c:pt>
                <c:pt idx="29">
                  <c:v>1.3267414403778042E-2</c:v>
                </c:pt>
                <c:pt idx="30">
                  <c:v>1.3259388139770914E-2</c:v>
                </c:pt>
                <c:pt idx="31">
                  <c:v>1.3236914600550964E-2</c:v>
                </c:pt>
                <c:pt idx="32">
                  <c:v>1.32007283933324E-2</c:v>
                </c:pt>
                <c:pt idx="33">
                  <c:v>1.3151515151515152E-2</c:v>
                </c:pt>
                <c:pt idx="34">
                  <c:v>1.3089915548931942E-2</c:v>
                </c:pt>
                <c:pt idx="35">
                  <c:v>1.3016528925619835E-2</c:v>
                </c:pt>
                <c:pt idx="36">
                  <c:v>1.2931916568280206E-2</c:v>
                </c:pt>
                <c:pt idx="37">
                  <c:v>1.2836604683195594E-2</c:v>
                </c:pt>
                <c:pt idx="38">
                  <c:v>1.2731087094723459E-2</c:v>
                </c:pt>
                <c:pt idx="39">
                  <c:v>1.2615827698472328E-2</c:v>
                </c:pt>
                <c:pt idx="40">
                  <c:v>1.2491262694790509E-2</c:v>
                </c:pt>
                <c:pt idx="41">
                  <c:v>1.2357802625182305E-2</c:v>
                </c:pt>
                <c:pt idx="42">
                  <c:v>1.2215834231644507E-2</c:v>
                </c:pt>
                <c:pt idx="43">
                  <c:v>1.2065722156631249E-2</c:v>
                </c:pt>
                <c:pt idx="44">
                  <c:v>1.1907810499359794E-2</c:v>
                </c:pt>
                <c:pt idx="45">
                  <c:v>1.1742424242424242E-2</c:v>
                </c:pt>
              </c:numCache>
            </c:numRef>
          </c:val>
          <c:extLst>
            <c:ext xmlns:c16="http://schemas.microsoft.com/office/drawing/2014/chart" uri="{C3380CC4-5D6E-409C-BE32-E72D297353CC}">
              <c16:uniqueId val="{0000001B-5A3E-43E6-80E0-958E8C2306B8}"/>
            </c:ext>
          </c:extLst>
        </c:ser>
        <c:ser>
          <c:idx val="28"/>
          <c:order val="28"/>
          <c:tx>
            <c:strRef>
              <c:f>'Ej. 3'!$P$87</c:f>
              <c:strCache>
                <c:ptCount val="1"/>
                <c:pt idx="0">
                  <c:v>28</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3'!$Q$87:$BJ$87</c:f>
              <c:numCache>
                <c:formatCode>0.00%</c:formatCode>
                <c:ptCount val="46"/>
                <c:pt idx="0">
                  <c:v>0</c:v>
                </c:pt>
                <c:pt idx="1">
                  <c:v>1.3220325864004027E-3</c:v>
                </c:pt>
                <c:pt idx="2">
                  <c:v>2.526885011733497E-3</c:v>
                </c:pt>
                <c:pt idx="3">
                  <c:v>3.6258972915864411E-3</c:v>
                </c:pt>
                <c:pt idx="4">
                  <c:v>4.6289919395979999E-3</c:v>
                </c:pt>
                <c:pt idx="5">
                  <c:v>5.5448887404810259E-3</c:v>
                </c:pt>
                <c:pt idx="6">
                  <c:v>6.3812816219233331E-3</c:v>
                </c:pt>
                <c:pt idx="7">
                  <c:v>7.1449852055912649E-3</c:v>
                </c:pt>
                <c:pt idx="8">
                  <c:v>7.8420569329660239E-3</c:v>
                </c:pt>
                <c:pt idx="9">
                  <c:v>8.4778993869902963E-3</c:v>
                </c:pt>
                <c:pt idx="10">
                  <c:v>9.0573464576654376E-3</c:v>
                </c:pt>
                <c:pt idx="11">
                  <c:v>9.5847362514029175E-3</c:v>
                </c:pt>
                <c:pt idx="12">
                  <c:v>1.0063973063973063E-2</c:v>
                </c:pt>
                <c:pt idx="13">
                  <c:v>1.0498580284241778E-2</c:v>
                </c:pt>
                <c:pt idx="14">
                  <c:v>1.0891745740230588E-2</c:v>
                </c:pt>
                <c:pt idx="15">
                  <c:v>1.124636071781949E-2</c:v>
                </c:pt>
                <c:pt idx="16">
                  <c:v>1.1565053658717572E-2</c:v>
                </c:pt>
                <c:pt idx="17">
                  <c:v>1.185021936537088E-2</c:v>
                </c:pt>
                <c:pt idx="18">
                  <c:v>1.2104044396534515E-2</c:v>
                </c:pt>
                <c:pt idx="19">
                  <c:v>1.2328529220856751E-2</c:v>
                </c:pt>
                <c:pt idx="20">
                  <c:v>1.2525507601265176E-2</c:v>
                </c:pt>
                <c:pt idx="21">
                  <c:v>1.2696663605754515E-2</c:v>
                </c:pt>
                <c:pt idx="22">
                  <c:v>1.2843546576879909E-2</c:v>
                </c:pt>
                <c:pt idx="23">
                  <c:v>1.296758434013336E-2</c:v>
                </c:pt>
                <c:pt idx="24">
                  <c:v>1.3070094888276707E-2</c:v>
                </c:pt>
                <c:pt idx="25">
                  <c:v>1.3152296742919957E-2</c:v>
                </c:pt>
                <c:pt idx="26">
                  <c:v>1.3215318164813115E-2</c:v>
                </c:pt>
                <c:pt idx="27">
                  <c:v>1.3260205359378913E-2</c:v>
                </c:pt>
                <c:pt idx="28">
                  <c:v>1.3287929803081317E-2</c:v>
                </c:pt>
                <c:pt idx="29">
                  <c:v>1.3299394798597352E-2</c:v>
                </c:pt>
                <c:pt idx="30">
                  <c:v>1.3295441351867682E-2</c:v>
                </c:pt>
                <c:pt idx="31">
                  <c:v>1.3276853451481083E-2</c:v>
                </c:pt>
                <c:pt idx="32">
                  <c:v>1.3244362820120396E-2</c:v>
                </c:pt>
                <c:pt idx="33">
                  <c:v>1.3198653198653199E-2</c:v>
                </c:pt>
                <c:pt idx="34">
                  <c:v>1.3140364215633032E-2</c:v>
                </c:pt>
                <c:pt idx="35">
                  <c:v>1.3070094888276707E-2</c:v>
                </c:pt>
                <c:pt idx="36">
                  <c:v>1.2988406795224979E-2</c:v>
                </c:pt>
                <c:pt idx="37">
                  <c:v>1.2895826956433019E-2</c:v>
                </c:pt>
                <c:pt idx="38">
                  <c:v>1.2792850451252655E-2</c:v>
                </c:pt>
                <c:pt idx="39">
                  <c:v>1.2679942802059491E-2</c:v>
                </c:pt>
                <c:pt idx="40">
                  <c:v>1.2557542147559973E-2</c:v>
                </c:pt>
                <c:pt idx="41">
                  <c:v>1.2426061227115245E-2</c:v>
                </c:pt>
                <c:pt idx="42">
                  <c:v>1.2285889194980104E-2</c:v>
                </c:pt>
                <c:pt idx="43">
                  <c:v>1.2137393281225975E-2</c:v>
                </c:pt>
                <c:pt idx="44">
                  <c:v>1.1980920314253648E-2</c:v>
                </c:pt>
                <c:pt idx="45">
                  <c:v>1.181679811816798E-2</c:v>
                </c:pt>
              </c:numCache>
            </c:numRef>
          </c:val>
          <c:extLst>
            <c:ext xmlns:c16="http://schemas.microsoft.com/office/drawing/2014/chart" uri="{C3380CC4-5D6E-409C-BE32-E72D297353CC}">
              <c16:uniqueId val="{0000001C-5A3E-43E6-80E0-958E8C2306B8}"/>
            </c:ext>
          </c:extLst>
        </c:ser>
        <c:ser>
          <c:idx val="29"/>
          <c:order val="29"/>
          <c:tx>
            <c:strRef>
              <c:f>'Ej. 3'!$P$88</c:f>
              <c:strCache>
                <c:ptCount val="1"/>
                <c:pt idx="0">
                  <c:v>29</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3'!$Q$88:$BJ$88</c:f>
              <c:numCache>
                <c:formatCode>0.00%</c:formatCode>
                <c:ptCount val="46"/>
                <c:pt idx="0">
                  <c:v>0</c:v>
                </c:pt>
                <c:pt idx="1">
                  <c:v>1.3019079685746354E-3</c:v>
                </c:pt>
                <c:pt idx="2">
                  <c:v>2.4911875351758058E-3</c:v>
                </c:pt>
                <c:pt idx="3">
                  <c:v>3.5783976124885222E-3</c:v>
                </c:pt>
                <c:pt idx="4">
                  <c:v>4.5728172449935539E-3</c:v>
                </c:pt>
                <c:pt idx="5">
                  <c:v>5.4826338248798144E-3</c:v>
                </c:pt>
                <c:pt idx="6">
                  <c:v>6.3150990423717704E-3</c:v>
                </c:pt>
                <c:pt idx="7">
                  <c:v>7.0766588443356114E-3</c:v>
                </c:pt>
                <c:pt idx="8">
                  <c:v>7.7730623185168646E-3</c:v>
                </c:pt>
                <c:pt idx="9">
                  <c:v>8.4094533855299421E-3</c:v>
                </c:pt>
                <c:pt idx="10">
                  <c:v>8.9904483843877801E-3</c:v>
                </c:pt>
                <c:pt idx="11">
                  <c:v>9.5202020202020225E-3</c:v>
                </c:pt>
                <c:pt idx="12">
                  <c:v>1.0002463661000247E-2</c:v>
                </c:pt>
                <c:pt idx="13">
                  <c:v>1.0440625592140745E-2</c:v>
                </c:pt>
                <c:pt idx="14">
                  <c:v>1.0837764537553122E-2</c:v>
                </c:pt>
                <c:pt idx="15">
                  <c:v>1.1196677518991569E-2</c:v>
                </c:pt>
                <c:pt idx="16">
                  <c:v>1.1519912934054351E-2</c:v>
                </c:pt>
                <c:pt idx="17">
                  <c:v>1.180979758054857E-2</c:v>
                </c:pt>
                <c:pt idx="18">
                  <c:v>1.2068460230936055E-2</c:v>
                </c:pt>
                <c:pt idx="19">
                  <c:v>1.2297852259973473E-2</c:v>
                </c:pt>
                <c:pt idx="20">
                  <c:v>1.2499765746518995E-2</c:v>
                </c:pt>
                <c:pt idx="21">
                  <c:v>1.2675849403122132E-2</c:v>
                </c:pt>
                <c:pt idx="22">
                  <c:v>1.2827622631544203E-2</c:v>
                </c:pt>
                <c:pt idx="23">
                  <c:v>1.2956487956487957E-2</c:v>
                </c:pt>
                <c:pt idx="24">
                  <c:v>1.3063742051735192E-2</c:v>
                </c:pt>
                <c:pt idx="25">
                  <c:v>1.3150585541157934E-2</c:v>
                </c:pt>
                <c:pt idx="26">
                  <c:v>1.3218131730528427E-2</c:v>
                </c:pt>
                <c:pt idx="27">
                  <c:v>1.3267414403778042E-2</c:v>
                </c:pt>
                <c:pt idx="28">
                  <c:v>1.3299394798597352E-2</c:v>
                </c:pt>
                <c:pt idx="29">
                  <c:v>1.3314967860422409E-2</c:v>
                </c:pt>
                <c:pt idx="30">
                  <c:v>1.3314967860422406E-2</c:v>
                </c:pt>
                <c:pt idx="31">
                  <c:v>1.3300173451688603E-2</c:v>
                </c:pt>
                <c:pt idx="32">
                  <c:v>1.3271312228093154E-2</c:v>
                </c:pt>
                <c:pt idx="33">
                  <c:v>1.3229064841968069E-2</c:v>
                </c:pt>
                <c:pt idx="34">
                  <c:v>1.3174068729624285E-2</c:v>
                </c:pt>
                <c:pt idx="35">
                  <c:v>1.3106921487603307E-2</c:v>
                </c:pt>
                <c:pt idx="36">
                  <c:v>1.3028183937274848E-2</c:v>
                </c:pt>
                <c:pt idx="37">
                  <c:v>1.2938382910834703E-2</c:v>
                </c:pt>
                <c:pt idx="38">
                  <c:v>1.2838013787810262E-2</c:v>
                </c:pt>
                <c:pt idx="39">
                  <c:v>1.2727542807756714E-2</c:v>
                </c:pt>
                <c:pt idx="40">
                  <c:v>1.2607409181849235E-2</c:v>
                </c:pt>
                <c:pt idx="41">
                  <c:v>1.247802702348157E-2</c:v>
                </c:pt>
                <c:pt idx="42">
                  <c:v>1.2339787115715413E-2</c:v>
                </c:pt>
                <c:pt idx="43">
                  <c:v>1.2193058531442372E-2</c:v>
                </c:pt>
                <c:pt idx="44">
                  <c:v>1.2038190120381903E-2</c:v>
                </c:pt>
                <c:pt idx="45">
                  <c:v>1.1875511875511877E-2</c:v>
                </c:pt>
              </c:numCache>
            </c:numRef>
          </c:val>
          <c:extLst>
            <c:ext xmlns:c16="http://schemas.microsoft.com/office/drawing/2014/chart" uri="{C3380CC4-5D6E-409C-BE32-E72D297353CC}">
              <c16:uniqueId val="{0000001D-5A3E-43E6-80E0-958E8C2306B8}"/>
            </c:ext>
          </c:extLst>
        </c:ser>
        <c:ser>
          <c:idx val="30"/>
          <c:order val="30"/>
          <c:tx>
            <c:strRef>
              <c:f>'Ej. 3'!$P$89</c:f>
              <c:strCache>
                <c:ptCount val="1"/>
                <c:pt idx="0">
                  <c:v>30</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3'!$Q$89:$BJ$89</c:f>
              <c:numCache>
                <c:formatCode>0.00%</c:formatCode>
                <c:ptCount val="46"/>
                <c:pt idx="0">
                  <c:v>0</c:v>
                </c:pt>
                <c:pt idx="1">
                  <c:v>1.2816335396980557E-3</c:v>
                </c:pt>
                <c:pt idx="2">
                  <c:v>2.454947199265381E-3</c:v>
                </c:pt>
                <c:pt idx="3">
                  <c:v>3.5297882405320416E-3</c:v>
                </c:pt>
                <c:pt idx="4">
                  <c:v>4.5148454239363322E-3</c:v>
                </c:pt>
                <c:pt idx="5">
                  <c:v>5.4178145087235979E-3</c:v>
                </c:pt>
                <c:pt idx="6">
                  <c:v>6.2455361697785934E-3</c:v>
                </c:pt>
                <c:pt idx="7">
                  <c:v>7.0041115495660927E-3</c:v>
                </c:pt>
                <c:pt idx="8">
                  <c:v>7.6989995650282713E-3</c:v>
                </c:pt>
                <c:pt idx="9">
                  <c:v>8.3350992441901528E-3</c:v>
                </c:pt>
                <c:pt idx="10">
                  <c:v>8.9168197122742564E-3</c:v>
                </c:pt>
                <c:pt idx="11">
                  <c:v>9.4481399359448125E-3</c:v>
                </c:pt>
                <c:pt idx="12">
                  <c:v>9.9326599326599319E-3</c:v>
                </c:pt>
                <c:pt idx="13">
                  <c:v>1.0373644834532783E-2</c:v>
                </c:pt>
                <c:pt idx="14">
                  <c:v>1.0774062943484429E-2</c:v>
                </c:pt>
                <c:pt idx="15">
                  <c:v>1.1136618712376286E-2</c:v>
                </c:pt>
                <c:pt idx="16">
                  <c:v>1.1463781424255731E-2</c:v>
                </c:pt>
                <c:pt idx="17">
                  <c:v>1.1757810210421426E-2</c:v>
                </c:pt>
                <c:pt idx="18">
                  <c:v>1.2020775941230487E-2</c:v>
                </c:pt>
                <c:pt idx="19">
                  <c:v>1.2254580436398616E-2</c:v>
                </c:pt>
                <c:pt idx="20">
                  <c:v>1.2460973370064278E-2</c:v>
                </c:pt>
                <c:pt idx="21">
                  <c:v>1.2641567187021731E-2</c:v>
                </c:pt>
                <c:pt idx="22">
                  <c:v>1.2797850297850298E-2</c:v>
                </c:pt>
                <c:pt idx="23">
                  <c:v>1.2931198780255381E-2</c:v>
                </c:pt>
                <c:pt idx="24">
                  <c:v>1.3042886780260514E-2</c:v>
                </c:pt>
                <c:pt idx="25">
                  <c:v>1.3134095778723879E-2</c:v>
                </c:pt>
                <c:pt idx="26">
                  <c:v>1.3205922865013773E-2</c:v>
                </c:pt>
                <c:pt idx="27">
                  <c:v>1.3259388139770914E-2</c:v>
                </c:pt>
                <c:pt idx="28">
                  <c:v>1.3295441351867682E-2</c:v>
                </c:pt>
                <c:pt idx="29">
                  <c:v>1.3314967860422406E-2</c:v>
                </c:pt>
                <c:pt idx="30">
                  <c:v>1.3318794000612179E-2</c:v>
                </c:pt>
                <c:pt idx="31">
                  <c:v>1.3307691921700861E-2</c:v>
                </c:pt>
                <c:pt idx="32">
                  <c:v>1.328238395687076E-2</c:v>
                </c:pt>
                <c:pt idx="33">
                  <c:v>1.3243546576879909E-2</c:v>
                </c:pt>
                <c:pt idx="34">
                  <c:v>1.3191813973063972E-2</c:v>
                </c:pt>
                <c:pt idx="35">
                  <c:v>1.312778130959949E-2</c:v>
                </c:pt>
                <c:pt idx="36">
                  <c:v>1.3052007680106854E-2</c:v>
                </c:pt>
                <c:pt idx="37">
                  <c:v>1.2965018799482843E-2</c:v>
                </c:pt>
                <c:pt idx="38">
                  <c:v>1.2867309458218547E-2</c:v>
                </c:pt>
                <c:pt idx="39">
                  <c:v>1.2759345763298331E-2</c:v>
                </c:pt>
                <c:pt idx="40">
                  <c:v>1.2641567187021729E-2</c:v>
                </c:pt>
                <c:pt idx="41">
                  <c:v>1.2514388442685495E-2</c:v>
                </c:pt>
                <c:pt idx="42">
                  <c:v>1.2378201203958779E-2</c:v>
                </c:pt>
                <c:pt idx="43">
                  <c:v>1.2233375682939817E-2</c:v>
                </c:pt>
                <c:pt idx="44">
                  <c:v>1.2080262080262078E-2</c:v>
                </c:pt>
                <c:pt idx="45">
                  <c:v>1.1919191919191918E-2</c:v>
                </c:pt>
              </c:numCache>
            </c:numRef>
          </c:val>
          <c:extLst>
            <c:ext xmlns:c16="http://schemas.microsoft.com/office/drawing/2014/chart" uri="{C3380CC4-5D6E-409C-BE32-E72D297353CC}">
              <c16:uniqueId val="{0000001E-5A3E-43E6-80E0-958E8C2306B8}"/>
            </c:ext>
          </c:extLst>
        </c:ser>
        <c:ser>
          <c:idx val="31"/>
          <c:order val="31"/>
          <c:tx>
            <c:strRef>
              <c:f>'Ej. 3'!$P$90</c:f>
              <c:strCache>
                <c:ptCount val="1"/>
                <c:pt idx="0">
                  <c:v>31</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3'!$Q$90:$BJ$90</c:f>
              <c:numCache>
                <c:formatCode>0.00%</c:formatCode>
                <c:ptCount val="46"/>
                <c:pt idx="0">
                  <c:v>0</c:v>
                </c:pt>
                <c:pt idx="1">
                  <c:v>1.2612233445566778E-3</c:v>
                </c:pt>
                <c:pt idx="2">
                  <c:v>2.4182133548524736E-3</c:v>
                </c:pt>
                <c:pt idx="3">
                  <c:v>3.4801670897927585E-3</c:v>
                </c:pt>
                <c:pt idx="4">
                  <c:v>4.4552305158365767E-3</c:v>
                </c:pt>
                <c:pt idx="5">
                  <c:v>5.3506444920586324E-3</c:v>
                </c:pt>
                <c:pt idx="6">
                  <c:v>6.172867081957991E-3</c:v>
                </c:pt>
                <c:pt idx="7">
                  <c:v>6.9276765528759141E-3</c:v>
                </c:pt>
                <c:pt idx="8">
                  <c:v>7.620258529349438E-3</c:v>
                </c:pt>
                <c:pt idx="9">
                  <c:v>8.2552800734618913E-3</c:v>
                </c:pt>
                <c:pt idx="10">
                  <c:v>8.8369529241665232E-3</c:v>
                </c:pt>
                <c:pt idx="11">
                  <c:v>9.3690877024210362E-3</c:v>
                </c:pt>
                <c:pt idx="12">
                  <c:v>9.855140552814971E-3</c:v>
                </c:pt>
                <c:pt idx="13">
                  <c:v>1.0298253424975187E-2</c:v>
                </c:pt>
                <c:pt idx="14">
                  <c:v>1.0701288984117265E-2</c:v>
                </c:pt>
                <c:pt idx="15">
                  <c:v>1.1066860968046736E-2</c:v>
                </c:pt>
                <c:pt idx="16">
                  <c:v>1.1397360668798451E-2</c:v>
                </c:pt>
                <c:pt idx="17">
                  <c:v>1.1694980104071011E-2</c:v>
                </c:pt>
                <c:pt idx="18">
                  <c:v>1.1961732351342741E-2</c:v>
                </c:pt>
                <c:pt idx="19">
                  <c:v>1.2199469441893684E-2</c:v>
                </c:pt>
                <c:pt idx="20">
                  <c:v>1.2409898149648596E-2</c:v>
                </c:pt>
                <c:pt idx="21">
                  <c:v>1.2594593958230323E-2</c:v>
                </c:pt>
                <c:pt idx="22">
                  <c:v>1.2755013446837346E-2</c:v>
                </c:pt>
                <c:pt idx="23">
                  <c:v>1.2892505299912706E-2</c:v>
                </c:pt>
                <c:pt idx="24">
                  <c:v>1.3008320115758131E-2</c:v>
                </c:pt>
                <c:pt idx="25">
                  <c:v>1.3103619164225226E-2</c:v>
                </c:pt>
                <c:pt idx="26">
                  <c:v>1.3179482222544423E-2</c:v>
                </c:pt>
                <c:pt idx="27">
                  <c:v>1.3236914600550964E-2</c:v>
                </c:pt>
                <c:pt idx="28">
                  <c:v>1.3276853451481083E-2</c:v>
                </c:pt>
                <c:pt idx="29">
                  <c:v>1.3300173451688603E-2</c:v>
                </c:pt>
                <c:pt idx="30">
                  <c:v>1.3307691921700861E-2</c:v>
                </c:pt>
                <c:pt idx="31">
                  <c:v>1.3300173451688602E-2</c:v>
                </c:pt>
                <c:pt idx="32">
                  <c:v>1.3278334086414894E-2</c:v>
                </c:pt>
                <c:pt idx="33">
                  <c:v>1.3242845117845117E-2</c:v>
                </c:pt>
                <c:pt idx="34">
                  <c:v>1.319433652766986E-2</c:v>
                </c:pt>
                <c:pt idx="35">
                  <c:v>1.3133400116871191E-2</c:v>
                </c:pt>
                <c:pt idx="36">
                  <c:v>1.3060592355029262E-2</c:v>
                </c:pt>
                <c:pt idx="37">
                  <c:v>1.297643697821951E-2</c:v>
                </c:pt>
                <c:pt idx="38">
                  <c:v>1.2881427361005754E-2</c:v>
                </c:pt>
                <c:pt idx="39">
                  <c:v>1.2776028685119595E-2</c:v>
                </c:pt>
                <c:pt idx="40">
                  <c:v>1.2660679924871132E-2</c:v>
                </c:pt>
                <c:pt idx="41">
                  <c:v>1.2535795667108798E-2</c:v>
                </c:pt>
                <c:pt idx="42">
                  <c:v>1.2401767781593435E-2</c:v>
                </c:pt>
                <c:pt idx="43">
                  <c:v>1.2258966955936654E-2</c:v>
                </c:pt>
                <c:pt idx="44">
                  <c:v>1.2107744107744107E-2</c:v>
                </c:pt>
                <c:pt idx="45">
                  <c:v>1.194843168527379E-2</c:v>
                </c:pt>
              </c:numCache>
            </c:numRef>
          </c:val>
          <c:extLst>
            <c:ext xmlns:c16="http://schemas.microsoft.com/office/drawing/2014/chart" uri="{C3380CC4-5D6E-409C-BE32-E72D297353CC}">
              <c16:uniqueId val="{0000001F-5A3E-43E6-80E0-958E8C2306B8}"/>
            </c:ext>
          </c:extLst>
        </c:ser>
        <c:ser>
          <c:idx val="32"/>
          <c:order val="32"/>
          <c:tx>
            <c:strRef>
              <c:f>'Ej. 3'!$P$91</c:f>
              <c:strCache>
                <c:ptCount val="1"/>
                <c:pt idx="0">
                  <c:v>32</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3'!$Q$91:$BJ$91</c:f>
              <c:numCache>
                <c:formatCode>0.00%</c:formatCode>
                <c:ptCount val="46"/>
                <c:pt idx="0">
                  <c:v>0</c:v>
                </c:pt>
                <c:pt idx="1">
                  <c:v>1.2406897255382106E-3</c:v>
                </c:pt>
                <c:pt idx="2">
                  <c:v>2.3810295468049483E-3</c:v>
                </c:pt>
                <c:pt idx="3">
                  <c:v>3.4296208841663391E-3</c:v>
                </c:pt>
                <c:pt idx="4">
                  <c:v>4.3941094446144947E-3</c:v>
                </c:pt>
                <c:pt idx="5">
                  <c:v>5.2813143722234635E-3</c:v>
                </c:pt>
                <c:pt idx="6">
                  <c:v>6.0973370064279159E-3</c:v>
                </c:pt>
                <c:pt idx="7">
                  <c:v>6.8476529082589681E-3</c:v>
                </c:pt>
                <c:pt idx="8">
                  <c:v>7.5371900826446282E-3</c:v>
                </c:pt>
                <c:pt idx="9">
                  <c:v>8.1703957535443142E-3</c:v>
                </c:pt>
                <c:pt idx="10">
                  <c:v>8.7512935997784494E-3</c:v>
                </c:pt>
                <c:pt idx="11">
                  <c:v>9.2835330044632371E-3</c:v>
                </c:pt>
                <c:pt idx="12">
                  <c:v>9.7704315886134076E-3</c:v>
                </c:pt>
                <c:pt idx="13">
                  <c:v>1.0215012073597932E-2</c:v>
                </c:pt>
                <c:pt idx="14">
                  <c:v>1.0620034335449354E-2</c:v>
                </c:pt>
                <c:pt idx="15">
                  <c:v>1.0988023367133618E-2</c:v>
                </c:pt>
                <c:pt idx="16">
                  <c:v>1.1321293745536171E-2</c:v>
                </c:pt>
                <c:pt idx="17">
                  <c:v>1.1621971102490584E-2</c:v>
                </c:pt>
                <c:pt idx="18">
                  <c:v>1.1892011019283747E-2</c:v>
                </c:pt>
                <c:pt idx="19">
                  <c:v>1.2133215698278087E-2</c:v>
                </c:pt>
                <c:pt idx="20">
                  <c:v>1.2347248710885076E-2</c:v>
                </c:pt>
                <c:pt idx="21">
                  <c:v>1.2535648075956824E-2</c:v>
                </c:pt>
                <c:pt idx="22">
                  <c:v>1.2699837885023071E-2</c:v>
                </c:pt>
                <c:pt idx="23">
                  <c:v>1.2841138659320477E-2</c:v>
                </c:pt>
                <c:pt idx="24">
                  <c:v>1.2960776597140233E-2</c:v>
                </c:pt>
                <c:pt idx="25">
                  <c:v>1.3059891847770639E-2</c:v>
                </c:pt>
                <c:pt idx="26">
                  <c:v>1.3139545929514582E-2</c:v>
                </c:pt>
                <c:pt idx="27">
                  <c:v>1.32007283933324E-2</c:v>
                </c:pt>
                <c:pt idx="28">
                  <c:v>1.3244362820120396E-2</c:v>
                </c:pt>
                <c:pt idx="29">
                  <c:v>1.3271312228093154E-2</c:v>
                </c:pt>
                <c:pt idx="30">
                  <c:v>1.328238395687076E-2</c:v>
                </c:pt>
                <c:pt idx="31">
                  <c:v>1.3278334086414894E-2</c:v>
                </c:pt>
                <c:pt idx="32">
                  <c:v>1.3259871441689625E-2</c:v>
                </c:pt>
                <c:pt idx="33">
                  <c:v>1.3227661227661228E-2</c:v>
                </c:pt>
                <c:pt idx="34">
                  <c:v>1.3182328333843486E-2</c:v>
                </c:pt>
                <c:pt idx="35">
                  <c:v>1.3124460342913534E-2</c:v>
                </c:pt>
                <c:pt idx="36">
                  <c:v>1.3054610273861612E-2</c:v>
                </c:pt>
                <c:pt idx="37">
                  <c:v>1.297329908660607E-2</c:v>
                </c:pt>
                <c:pt idx="38">
                  <c:v>1.2881017971927063E-2</c:v>
                </c:pt>
                <c:pt idx="39">
                  <c:v>1.277823044788474E-2</c:v>
                </c:pt>
                <c:pt idx="40">
                  <c:v>1.2665374281535897E-2</c:v>
                </c:pt>
                <c:pt idx="41">
                  <c:v>1.2542863252701359E-2</c:v>
                </c:pt>
                <c:pt idx="42">
                  <c:v>1.2411088774725139E-2</c:v>
                </c:pt>
                <c:pt idx="43">
                  <c:v>1.2270421385572902E-2</c:v>
                </c:pt>
                <c:pt idx="44">
                  <c:v>1.2121212121212121E-2</c:v>
                </c:pt>
                <c:pt idx="45">
                  <c:v>1.1963793781975601E-2</c:v>
                </c:pt>
              </c:numCache>
            </c:numRef>
          </c:val>
          <c:extLst>
            <c:ext xmlns:c16="http://schemas.microsoft.com/office/drawing/2014/chart" uri="{C3380CC4-5D6E-409C-BE32-E72D297353CC}">
              <c16:uniqueId val="{00000020-5A3E-43E6-80E0-958E8C2306B8}"/>
            </c:ext>
          </c:extLst>
        </c:ser>
        <c:ser>
          <c:idx val="33"/>
          <c:order val="33"/>
          <c:tx>
            <c:strRef>
              <c:f>'Ej. 3'!$P$92</c:f>
              <c:strCache>
                <c:ptCount val="1"/>
                <c:pt idx="0">
                  <c:v>33</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3'!$Q$92:$BJ$92</c:f>
              <c:numCache>
                <c:formatCode>0.00%</c:formatCode>
                <c:ptCount val="46"/>
                <c:pt idx="0">
                  <c:v>0</c:v>
                </c:pt>
                <c:pt idx="1">
                  <c:v>1.2200435729847494E-3</c:v>
                </c:pt>
                <c:pt idx="2">
                  <c:v>2.343434343434344E-3</c:v>
                </c:pt>
                <c:pt idx="3">
                  <c:v>3.3782267115600451E-3</c:v>
                </c:pt>
                <c:pt idx="4">
                  <c:v>4.331604331604331E-3</c:v>
                </c:pt>
                <c:pt idx="5">
                  <c:v>5.2099946836788938E-3</c:v>
                </c:pt>
                <c:pt idx="6">
                  <c:v>6.0191660191660197E-3</c:v>
                </c:pt>
                <c:pt idx="7">
                  <c:v>6.7643097643097644E-3</c:v>
                </c:pt>
                <c:pt idx="8">
                  <c:v>7.4501108647450119E-3</c:v>
                </c:pt>
                <c:pt idx="9">
                  <c:v>8.0808080808080808E-3</c:v>
                </c:pt>
                <c:pt idx="10">
                  <c:v>8.660245869548196E-3</c:v>
                </c:pt>
                <c:pt idx="11">
                  <c:v>9.1919191919191921E-3</c:v>
                </c:pt>
                <c:pt idx="12">
                  <c:v>9.6790123456790122E-3</c:v>
                </c:pt>
                <c:pt idx="13">
                  <c:v>1.0124432733128385E-2</c:v>
                </c:pt>
                <c:pt idx="14">
                  <c:v>1.053084031807436E-2</c:v>
                </c:pt>
                <c:pt idx="15">
                  <c:v>1.0900673400673399E-2</c:v>
                </c:pt>
                <c:pt idx="16">
                  <c:v>1.1236171236171237E-2</c:v>
                </c:pt>
                <c:pt idx="17">
                  <c:v>1.1539393939393938E-2</c:v>
                </c:pt>
                <c:pt idx="18">
                  <c:v>1.1812240047534167E-2</c:v>
                </c:pt>
                <c:pt idx="19">
                  <c:v>1.2056462056462056E-2</c:v>
                </c:pt>
                <c:pt idx="20">
                  <c:v>1.2273680198208502E-2</c:v>
                </c:pt>
                <c:pt idx="21">
                  <c:v>1.2465394687616911E-2</c:v>
                </c:pt>
                <c:pt idx="22">
                  <c:v>1.2632996632996635E-2</c:v>
                </c:pt>
                <c:pt idx="23">
                  <c:v>1.2777777777777777E-2</c:v>
                </c:pt>
                <c:pt idx="24">
                  <c:v>1.2900939216728689E-2</c:v>
                </c:pt>
                <c:pt idx="25">
                  <c:v>1.3003599210495764E-2</c:v>
                </c:pt>
                <c:pt idx="26">
                  <c:v>1.3086800205444274E-2</c:v>
                </c:pt>
                <c:pt idx="27">
                  <c:v>1.3151515151515152E-2</c:v>
                </c:pt>
                <c:pt idx="28">
                  <c:v>1.3198653198653199E-2</c:v>
                </c:pt>
                <c:pt idx="29">
                  <c:v>1.3229064841968069E-2</c:v>
                </c:pt>
                <c:pt idx="30">
                  <c:v>1.3243546576879909E-2</c:v>
                </c:pt>
                <c:pt idx="31">
                  <c:v>1.3242845117845117E-2</c:v>
                </c:pt>
                <c:pt idx="32">
                  <c:v>1.3227661227661228E-2</c:v>
                </c:pt>
                <c:pt idx="33">
                  <c:v>1.3198653198653199E-2</c:v>
                </c:pt>
                <c:pt idx="34">
                  <c:v>1.3156440022111663E-2</c:v>
                </c:pt>
                <c:pt idx="35">
                  <c:v>1.3101604278074868E-2</c:v>
                </c:pt>
                <c:pt idx="36">
                  <c:v>1.303469477382521E-2</c:v>
                </c:pt>
                <c:pt idx="37">
                  <c:v>1.2956228956228957E-2</c:v>
                </c:pt>
                <c:pt idx="38">
                  <c:v>1.2866695120216248E-2</c:v>
                </c:pt>
                <c:pt idx="39">
                  <c:v>1.2766554433221101E-2</c:v>
                </c:pt>
                <c:pt idx="40">
                  <c:v>1.2656242793229095E-2</c:v>
                </c:pt>
                <c:pt idx="41">
                  <c:v>1.2536172536172535E-2</c:v>
                </c:pt>
                <c:pt idx="42">
                  <c:v>1.2406734006734007E-2</c:v>
                </c:pt>
                <c:pt idx="43">
                  <c:v>1.2268297005139112E-2</c:v>
                </c:pt>
                <c:pt idx="44">
                  <c:v>1.2121212121212121E-2</c:v>
                </c:pt>
                <c:pt idx="45">
                  <c:v>1.1965811965811967E-2</c:v>
                </c:pt>
              </c:numCache>
            </c:numRef>
          </c:val>
          <c:extLst>
            <c:ext xmlns:c16="http://schemas.microsoft.com/office/drawing/2014/chart" uri="{C3380CC4-5D6E-409C-BE32-E72D297353CC}">
              <c16:uniqueId val="{00000021-5A3E-43E6-80E0-958E8C2306B8}"/>
            </c:ext>
          </c:extLst>
        </c:ser>
        <c:ser>
          <c:idx val="34"/>
          <c:order val="34"/>
          <c:tx>
            <c:strRef>
              <c:f>'Ej. 3'!$P$93</c:f>
              <c:strCache>
                <c:ptCount val="1"/>
                <c:pt idx="0">
                  <c:v>34</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3'!$Q$93:$BJ$93</c:f>
              <c:numCache>
                <c:formatCode>0.00%</c:formatCode>
                <c:ptCount val="46"/>
                <c:pt idx="0">
                  <c:v>0</c:v>
                </c:pt>
                <c:pt idx="1">
                  <c:v>1.1992945326278659E-3</c:v>
                </c:pt>
                <c:pt idx="2">
                  <c:v>2.3054620276842502E-3</c:v>
                </c:pt>
                <c:pt idx="3">
                  <c:v>3.3260533260533261E-3</c:v>
                </c:pt>
                <c:pt idx="4">
                  <c:v>4.267824443263039E-3</c:v>
                </c:pt>
                <c:pt idx="5">
                  <c:v>5.1368384701718029E-3</c:v>
                </c:pt>
                <c:pt idx="6">
                  <c:v>5.9385521885521892E-3</c:v>
                </c:pt>
                <c:pt idx="7">
                  <c:v>6.677890011223344E-3</c:v>
                </c:pt>
                <c:pt idx="8">
                  <c:v>7.3593073593073589E-3</c:v>
                </c:pt>
                <c:pt idx="9">
                  <c:v>7.9868451961475212E-3</c:v>
                </c:pt>
                <c:pt idx="10">
                  <c:v>8.5641771247831847E-3</c:v>
                </c:pt>
                <c:pt idx="11">
                  <c:v>9.094650205761317E-3</c:v>
                </c:pt>
                <c:pt idx="12">
                  <c:v>9.5813204508856682E-3</c:v>
                </c:pt>
                <c:pt idx="13">
                  <c:v>1.0026983785849033E-2</c:v>
                </c:pt>
                <c:pt idx="14">
                  <c:v>1.0434203142536473E-2</c:v>
                </c:pt>
                <c:pt idx="15">
                  <c:v>1.0805332233903661E-2</c:v>
                </c:pt>
                <c:pt idx="16">
                  <c:v>1.1142536475869809E-2</c:v>
                </c:pt>
                <c:pt idx="17">
                  <c:v>1.1447811447811448E-2</c:v>
                </c:pt>
                <c:pt idx="18">
                  <c:v>1.1722999222999223E-2</c:v>
                </c:pt>
                <c:pt idx="19">
                  <c:v>1.1969802850305994E-2</c:v>
                </c:pt>
                <c:pt idx="20">
                  <c:v>1.2189799226836264E-2</c:v>
                </c:pt>
                <c:pt idx="21">
                  <c:v>1.2384450566268749E-2</c:v>
                </c:pt>
                <c:pt idx="22">
                  <c:v>1.2555114638447971E-2</c:v>
                </c:pt>
                <c:pt idx="23">
                  <c:v>1.2703053931124106E-2</c:v>
                </c:pt>
                <c:pt idx="24">
                  <c:v>1.2829443863926622E-2</c:v>
                </c:pt>
                <c:pt idx="25">
                  <c:v>1.2935380167018586E-2</c:v>
                </c:pt>
                <c:pt idx="26">
                  <c:v>1.3021885521885521E-2</c:v>
                </c:pt>
                <c:pt idx="27">
                  <c:v>1.3089915548931942E-2</c:v>
                </c:pt>
                <c:pt idx="28">
                  <c:v>1.3140364215633032E-2</c:v>
                </c:pt>
                <c:pt idx="29">
                  <c:v>1.3174068729624285E-2</c:v>
                </c:pt>
                <c:pt idx="30">
                  <c:v>1.3191813973063972E-2</c:v>
                </c:pt>
                <c:pt idx="31">
                  <c:v>1.319433652766986E-2</c:v>
                </c:pt>
                <c:pt idx="32">
                  <c:v>1.3182328333843486E-2</c:v>
                </c:pt>
                <c:pt idx="33">
                  <c:v>1.3156440022111663E-2</c:v>
                </c:pt>
                <c:pt idx="34">
                  <c:v>1.3117283950617283E-2</c:v>
                </c:pt>
                <c:pt idx="35">
                  <c:v>1.3065436978480456E-2</c:v>
                </c:pt>
                <c:pt idx="36">
                  <c:v>1.3001443001443003E-2</c:v>
                </c:pt>
                <c:pt idx="37">
                  <c:v>1.2925815273233113E-2</c:v>
                </c:pt>
                <c:pt idx="38">
                  <c:v>1.2839038533482977E-2</c:v>
                </c:pt>
                <c:pt idx="39">
                  <c:v>1.2741570960749043E-2</c:v>
                </c:pt>
                <c:pt idx="40">
                  <c:v>1.26338459671793E-2</c:v>
                </c:pt>
                <c:pt idx="41">
                  <c:v>1.2516273849607181E-2</c:v>
                </c:pt>
                <c:pt idx="42">
                  <c:v>1.2389243310295941E-2</c:v>
                </c:pt>
                <c:pt idx="43">
                  <c:v>1.2253122859183466E-2</c:v>
                </c:pt>
                <c:pt idx="44">
                  <c:v>1.2108262108262107E-2</c:v>
                </c:pt>
                <c:pt idx="45">
                  <c:v>1.1954992967651195E-2</c:v>
                </c:pt>
              </c:numCache>
            </c:numRef>
          </c:val>
          <c:extLst>
            <c:ext xmlns:c16="http://schemas.microsoft.com/office/drawing/2014/chart" uri="{C3380CC4-5D6E-409C-BE32-E72D297353CC}">
              <c16:uniqueId val="{00000022-5A3E-43E6-80E0-958E8C2306B8}"/>
            </c:ext>
          </c:extLst>
        </c:ser>
        <c:ser>
          <c:idx val="35"/>
          <c:order val="35"/>
          <c:tx>
            <c:strRef>
              <c:f>'Ej. 3'!$P$94</c:f>
              <c:strCache>
                <c:ptCount val="1"/>
                <c:pt idx="0">
                  <c:v>35</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3'!$Q$94:$BJ$94</c:f>
              <c:numCache>
                <c:formatCode>0.00%</c:formatCode>
                <c:ptCount val="46"/>
                <c:pt idx="0">
                  <c:v>0</c:v>
                </c:pt>
                <c:pt idx="1">
                  <c:v>1.1784511784511786E-3</c:v>
                </c:pt>
                <c:pt idx="2">
                  <c:v>2.267143176234086E-3</c:v>
                </c:pt>
                <c:pt idx="3">
                  <c:v>3.2731622444541106E-3</c:v>
                </c:pt>
                <c:pt idx="4">
                  <c:v>4.202867839231475E-3</c:v>
                </c:pt>
                <c:pt idx="5">
                  <c:v>5.06198347107438E-3</c:v>
                </c:pt>
                <c:pt idx="6">
                  <c:v>5.8556742592219312E-3</c:v>
                </c:pt>
                <c:pt idx="7">
                  <c:v>6.5886134067952244E-3</c:v>
                </c:pt>
                <c:pt idx="8">
                  <c:v>7.2650394003459543E-3</c:v>
                </c:pt>
                <c:pt idx="9">
                  <c:v>7.888805409466567E-3</c:v>
                </c:pt>
                <c:pt idx="10">
                  <c:v>8.4634220997857369E-3</c:v>
                </c:pt>
                <c:pt idx="11">
                  <c:v>8.9920948616600809E-3</c:v>
                </c:pt>
                <c:pt idx="12">
                  <c:v>9.4777562862669255E-3</c:v>
                </c:pt>
                <c:pt idx="13">
                  <c:v>9.9230945821854911E-3</c:v>
                </c:pt>
                <c:pt idx="14">
                  <c:v>1.0330578512396695E-2</c:v>
                </c:pt>
                <c:pt idx="15">
                  <c:v>1.0702479338842974E-2</c:v>
                </c:pt>
                <c:pt idx="16">
                  <c:v>1.1040890185275215E-2</c:v>
                </c:pt>
                <c:pt idx="17">
                  <c:v>1.1347743165924986E-2</c:v>
                </c:pt>
                <c:pt idx="18">
                  <c:v>1.1624824575081866E-2</c:v>
                </c:pt>
                <c:pt idx="19">
                  <c:v>1.1873788388939906E-2</c:v>
                </c:pt>
                <c:pt idx="20">
                  <c:v>1.2096168294515404E-2</c:v>
                </c:pt>
                <c:pt idx="21">
                  <c:v>1.2293388429752066E-2</c:v>
                </c:pt>
                <c:pt idx="22">
                  <c:v>1.2466772993088784E-2</c:v>
                </c:pt>
                <c:pt idx="23">
                  <c:v>1.261755485893417E-2</c:v>
                </c:pt>
                <c:pt idx="24">
                  <c:v>1.2746883316991177E-2</c:v>
                </c:pt>
                <c:pt idx="25">
                  <c:v>1.2855831037649222E-2</c:v>
                </c:pt>
                <c:pt idx="26">
                  <c:v>1.2945400352255792E-2</c:v>
                </c:pt>
                <c:pt idx="27">
                  <c:v>1.3016528925619835E-2</c:v>
                </c:pt>
                <c:pt idx="28">
                  <c:v>1.3070094888276707E-2</c:v>
                </c:pt>
                <c:pt idx="29">
                  <c:v>1.3106921487603307E-2</c:v>
                </c:pt>
                <c:pt idx="30">
                  <c:v>1.312778130959949E-2</c:v>
                </c:pt>
                <c:pt idx="31">
                  <c:v>1.3133400116871191E-2</c:v>
                </c:pt>
                <c:pt idx="32">
                  <c:v>1.3124460342913534E-2</c:v>
                </c:pt>
                <c:pt idx="33">
                  <c:v>1.3101604278074868E-2</c:v>
                </c:pt>
                <c:pt idx="34">
                  <c:v>1.3065436978480456E-2</c:v>
                </c:pt>
                <c:pt idx="35">
                  <c:v>1.3016528925619837E-2</c:v>
                </c:pt>
                <c:pt idx="36">
                  <c:v>1.2955418461180306E-2</c:v>
                </c:pt>
                <c:pt idx="37">
                  <c:v>1.2882614018977657E-2</c:v>
                </c:pt>
                <c:pt idx="38">
                  <c:v>1.2798596173440507E-2</c:v>
                </c:pt>
                <c:pt idx="39">
                  <c:v>1.2703819522001341E-2</c:v>
                </c:pt>
                <c:pt idx="40">
                  <c:v>1.2598714416896235E-2</c:v>
                </c:pt>
                <c:pt idx="41">
                  <c:v>1.2483688560243584E-2</c:v>
                </c:pt>
                <c:pt idx="42">
                  <c:v>1.2359128474830955E-2</c:v>
                </c:pt>
                <c:pt idx="43">
                  <c:v>1.2225400861764501E-2</c:v>
                </c:pt>
                <c:pt idx="44">
                  <c:v>1.2082853855005755E-2</c:v>
                </c:pt>
                <c:pt idx="45">
                  <c:v>1.1931818181818182E-2</c:v>
                </c:pt>
              </c:numCache>
            </c:numRef>
          </c:val>
          <c:extLst>
            <c:ext xmlns:c16="http://schemas.microsoft.com/office/drawing/2014/chart" uri="{C3380CC4-5D6E-409C-BE32-E72D297353CC}">
              <c16:uniqueId val="{00000023-5A3E-43E6-80E0-958E8C2306B8}"/>
            </c:ext>
          </c:extLst>
        </c:ser>
        <c:ser>
          <c:idx val="36"/>
          <c:order val="36"/>
          <c:tx>
            <c:strRef>
              <c:f>'Ej. 3'!$P$95</c:f>
              <c:strCache>
                <c:ptCount val="1"/>
                <c:pt idx="0">
                  <c:v>36</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3'!$Q$95:$BJ$95</c:f>
              <c:numCache>
                <c:formatCode>0.00%</c:formatCode>
                <c:ptCount val="46"/>
                <c:pt idx="0">
                  <c:v>0</c:v>
                </c:pt>
                <c:pt idx="1">
                  <c:v>1.1575211575211577E-3</c:v>
                </c:pt>
                <c:pt idx="2">
                  <c:v>2.2285051471654348E-3</c:v>
                </c:pt>
                <c:pt idx="3">
                  <c:v>3.2196086741541293E-3</c:v>
                </c:pt>
                <c:pt idx="4">
                  <c:v>4.1368227731864099E-3</c:v>
                </c:pt>
                <c:pt idx="5">
                  <c:v>4.9855539877712825E-3</c:v>
                </c:pt>
                <c:pt idx="6">
                  <c:v>5.7706939525121355E-3</c:v>
                </c:pt>
                <c:pt idx="7">
                  <c:v>6.4966792662352925E-3</c:v>
                </c:pt>
                <c:pt idx="8">
                  <c:v>7.1675432006010533E-3</c:v>
                </c:pt>
                <c:pt idx="9">
                  <c:v>7.7869605142332418E-3</c:v>
                </c:pt>
                <c:pt idx="10">
                  <c:v>8.3582864215275294E-3</c:v>
                </c:pt>
                <c:pt idx="11">
                  <c:v>8.8845905867182481E-3</c:v>
                </c:pt>
                <c:pt idx="12">
                  <c:v>9.36868686868687E-3</c:v>
                </c:pt>
                <c:pt idx="13">
                  <c:v>9.8131594235490345E-3</c:v>
                </c:pt>
                <c:pt idx="14">
                  <c:v>1.022038567493113E-2</c:v>
                </c:pt>
                <c:pt idx="15">
                  <c:v>1.0592556581861395E-2</c:v>
                </c:pt>
                <c:pt idx="16">
                  <c:v>1.0931694568058205E-2</c:v>
                </c:pt>
                <c:pt idx="17">
                  <c:v>1.1239669421487604E-2</c:v>
                </c:pt>
                <c:pt idx="18">
                  <c:v>1.1518212427303338E-2</c:v>
                </c:pt>
                <c:pt idx="19">
                  <c:v>1.1768928959011604E-2</c:v>
                </c:pt>
                <c:pt idx="20">
                  <c:v>1.199330972058245E-2</c:v>
                </c:pt>
                <c:pt idx="21">
                  <c:v>1.2192740805180999E-2</c:v>
                </c:pt>
                <c:pt idx="22">
                  <c:v>1.23685127133403E-2</c:v>
                </c:pt>
                <c:pt idx="23">
                  <c:v>1.2521828454031844E-2</c:v>
                </c:pt>
                <c:pt idx="24">
                  <c:v>1.2653810835629019E-2</c:v>
                </c:pt>
                <c:pt idx="25">
                  <c:v>1.2765509039726628E-2</c:v>
                </c:pt>
                <c:pt idx="26">
                  <c:v>1.2857904558784326E-2</c:v>
                </c:pt>
                <c:pt idx="27">
                  <c:v>1.2931916568280206E-2</c:v>
                </c:pt>
                <c:pt idx="28">
                  <c:v>1.2988406795224979E-2</c:v>
                </c:pt>
                <c:pt idx="29">
                  <c:v>1.3028183937274848E-2</c:v>
                </c:pt>
                <c:pt idx="30">
                  <c:v>1.3052007680106854E-2</c:v>
                </c:pt>
                <c:pt idx="31">
                  <c:v>1.3060592355029262E-2</c:v>
                </c:pt>
                <c:pt idx="32">
                  <c:v>1.3054610273861612E-2</c:v>
                </c:pt>
                <c:pt idx="33">
                  <c:v>1.303469477382521E-2</c:v>
                </c:pt>
                <c:pt idx="34">
                  <c:v>1.3001443001443003E-2</c:v>
                </c:pt>
                <c:pt idx="35">
                  <c:v>1.2955418461180306E-2</c:v>
                </c:pt>
                <c:pt idx="36">
                  <c:v>1.2897153351698809E-2</c:v>
                </c:pt>
                <c:pt idx="37">
                  <c:v>1.2827150710089691E-2</c:v>
                </c:pt>
                <c:pt idx="38">
                  <c:v>1.274588638225002E-2</c:v>
                </c:pt>
                <c:pt idx="39">
                  <c:v>1.2653810835629019E-2</c:v>
                </c:pt>
                <c:pt idx="40">
                  <c:v>1.255135082886279E-2</c:v>
                </c:pt>
                <c:pt idx="41">
                  <c:v>1.2438910951307646E-2</c:v>
                </c:pt>
                <c:pt idx="42">
                  <c:v>1.2316875044147774E-2</c:v>
                </c:pt>
                <c:pt idx="43">
                  <c:v>1.2185607513570692E-2</c:v>
                </c:pt>
                <c:pt idx="44">
                  <c:v>1.2045454545454547E-2</c:v>
                </c:pt>
                <c:pt idx="45">
                  <c:v>1.1896745230078564E-2</c:v>
                </c:pt>
              </c:numCache>
            </c:numRef>
          </c:val>
          <c:extLst>
            <c:ext xmlns:c16="http://schemas.microsoft.com/office/drawing/2014/chart" uri="{C3380CC4-5D6E-409C-BE32-E72D297353CC}">
              <c16:uniqueId val="{00000024-5A3E-43E6-80E0-958E8C2306B8}"/>
            </c:ext>
          </c:extLst>
        </c:ser>
        <c:ser>
          <c:idx val="37"/>
          <c:order val="37"/>
          <c:tx>
            <c:strRef>
              <c:f>'Ej. 3'!$P$96</c:f>
              <c:strCache>
                <c:ptCount val="1"/>
                <c:pt idx="0">
                  <c:v>37</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3'!$Q$96:$BJ$96</c:f>
              <c:numCache>
                <c:formatCode>0.00%</c:formatCode>
                <c:ptCount val="46"/>
                <c:pt idx="0">
                  <c:v>0</c:v>
                </c:pt>
                <c:pt idx="1">
                  <c:v>1.1365113119499084E-3</c:v>
                </c:pt>
                <c:pt idx="2">
                  <c:v>2.1895724926027957E-3</c:v>
                </c:pt>
                <c:pt idx="3">
                  <c:v>3.165442301805938E-3</c:v>
                </c:pt>
                <c:pt idx="4">
                  <c:v>4.0697688886898054E-3</c:v>
                </c:pt>
                <c:pt idx="5">
                  <c:v>4.9076624834200593E-3</c:v>
                </c:pt>
                <c:pt idx="6">
                  <c:v>5.6837579459143948E-3</c:v>
                </c:pt>
                <c:pt idx="7">
                  <c:v>6.4022687851888948E-3</c:v>
                </c:pt>
                <c:pt idx="8">
                  <c:v>7.0670339761248853E-3</c:v>
                </c:pt>
                <c:pt idx="9">
                  <c:v>7.6815586697009629E-3</c:v>
                </c:pt>
                <c:pt idx="10">
                  <c:v>8.2490497061741431E-3</c:v>
                </c:pt>
                <c:pt idx="11">
                  <c:v>8.7724466891133564E-3</c:v>
                </c:pt>
                <c:pt idx="12">
                  <c:v>9.2544492544492547E-3</c:v>
                </c:pt>
                <c:pt idx="13">
                  <c:v>9.6975410672380368E-3</c:v>
                </c:pt>
                <c:pt idx="14">
                  <c:v>1.0104010995276594E-2</c:v>
                </c:pt>
                <c:pt idx="15">
                  <c:v>1.0475971839608201E-2</c:v>
                </c:pt>
                <c:pt idx="16">
                  <c:v>1.0815376944593641E-2</c:v>
                </c:pt>
                <c:pt idx="17">
                  <c:v>1.1124034962418802E-2</c:v>
                </c:pt>
                <c:pt idx="18">
                  <c:v>1.1403623006928792E-2</c:v>
                </c:pt>
                <c:pt idx="19">
                  <c:v>1.165569839812264E-2</c:v>
                </c:pt>
                <c:pt idx="20">
                  <c:v>1.1881709170385408E-2</c:v>
                </c:pt>
                <c:pt idx="21">
                  <c:v>1.2083003493661801E-2</c:v>
                </c:pt>
                <c:pt idx="22">
                  <c:v>1.2260838136544352E-2</c:v>
                </c:pt>
                <c:pt idx="23">
                  <c:v>1.241638608305275E-2</c:v>
                </c:pt>
                <c:pt idx="24">
                  <c:v>1.2550743400221789E-2</c:v>
                </c:pt>
                <c:pt idx="25">
                  <c:v>1.2664935441084026E-2</c:v>
                </c:pt>
                <c:pt idx="26">
                  <c:v>1.2759922456892154E-2</c:v>
                </c:pt>
                <c:pt idx="27">
                  <c:v>1.2836604683195594E-2</c:v>
                </c:pt>
                <c:pt idx="28">
                  <c:v>1.2895826956433019E-2</c:v>
                </c:pt>
                <c:pt idx="29">
                  <c:v>1.2938382910834703E-2</c:v>
                </c:pt>
                <c:pt idx="30">
                  <c:v>1.2965018799482843E-2</c:v>
                </c:pt>
                <c:pt idx="31">
                  <c:v>1.297643697821951E-2</c:v>
                </c:pt>
                <c:pt idx="32">
                  <c:v>1.297329908660607E-2</c:v>
                </c:pt>
                <c:pt idx="33">
                  <c:v>1.2956228956228957E-2</c:v>
                </c:pt>
                <c:pt idx="34">
                  <c:v>1.2925815273233113E-2</c:v>
                </c:pt>
                <c:pt idx="35">
                  <c:v>1.2882614018977657E-2</c:v>
                </c:pt>
                <c:pt idx="36">
                  <c:v>1.2827150710089691E-2</c:v>
                </c:pt>
                <c:pt idx="37">
                  <c:v>1.2759922456892154E-2</c:v>
                </c:pt>
                <c:pt idx="38">
                  <c:v>1.2681399857157433E-2</c:v>
                </c:pt>
                <c:pt idx="39">
                  <c:v>1.2592028740354101E-2</c:v>
                </c:pt>
                <c:pt idx="40">
                  <c:v>1.2492231775978331E-2</c:v>
                </c:pt>
                <c:pt idx="41">
                  <c:v>1.2382409958167534E-2</c:v>
                </c:pt>
                <c:pt idx="42">
                  <c:v>1.2262943977558477E-2</c:v>
                </c:pt>
                <c:pt idx="43">
                  <c:v>1.2134195490256098E-2</c:v>
                </c:pt>
                <c:pt idx="44">
                  <c:v>1.1996508292804589E-2</c:v>
                </c:pt>
                <c:pt idx="45">
                  <c:v>1.1850209411185022E-2</c:v>
                </c:pt>
              </c:numCache>
            </c:numRef>
          </c:val>
          <c:extLst>
            <c:ext xmlns:c16="http://schemas.microsoft.com/office/drawing/2014/chart" uri="{C3380CC4-5D6E-409C-BE32-E72D297353CC}">
              <c16:uniqueId val="{00000025-5A3E-43E6-80E0-958E8C2306B8}"/>
            </c:ext>
          </c:extLst>
        </c:ser>
        <c:ser>
          <c:idx val="38"/>
          <c:order val="38"/>
          <c:tx>
            <c:strRef>
              <c:f>'Ej. 3'!$P$97</c:f>
              <c:strCache>
                <c:ptCount val="1"/>
                <c:pt idx="0">
                  <c:v>38</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3'!$Q$97:$BJ$97</c:f>
              <c:numCache>
                <c:formatCode>0.00%</c:formatCode>
                <c:ptCount val="46"/>
                <c:pt idx="0">
                  <c:v>0</c:v>
                </c:pt>
                <c:pt idx="1">
                  <c:v>1.1154277820944487E-3</c:v>
                </c:pt>
                <c:pt idx="2">
                  <c:v>2.1503673094582188E-3</c:v>
                </c:pt>
                <c:pt idx="3">
                  <c:v>3.1107079665837981E-3</c:v>
                </c:pt>
                <c:pt idx="4">
                  <c:v>4.0017782442024865E-3</c:v>
                </c:pt>
                <c:pt idx="5">
                  <c:v>4.8284109594891834E-3</c:v>
                </c:pt>
                <c:pt idx="6">
                  <c:v>5.5949995826028885E-3</c:v>
                </c:pt>
                <c:pt idx="7">
                  <c:v>6.3055470530217995E-3</c:v>
                </c:pt>
                <c:pt idx="8">
                  <c:v>6.963708228530362E-3</c:v>
                </c:pt>
                <c:pt idx="9">
                  <c:v>7.5728269151866838E-3</c:v>
                </c:pt>
                <c:pt idx="10">
                  <c:v>8.1359682685440259E-3</c:v>
                </c:pt>
                <c:pt idx="11">
                  <c:v>8.6559472273757994E-3</c:v>
                </c:pt>
                <c:pt idx="12">
                  <c:v>9.1353535353535346E-3</c:v>
                </c:pt>
                <c:pt idx="13">
                  <c:v>9.5765738189980618E-3</c:v>
                </c:pt>
                <c:pt idx="14">
                  <c:v>9.9818111181747531E-3</c:v>
                </c:pt>
                <c:pt idx="15">
                  <c:v>1.035310220558934E-2</c:v>
                </c:pt>
                <c:pt idx="16">
                  <c:v>1.0692332981895271E-2</c:v>
                </c:pt>
                <c:pt idx="17">
                  <c:v>1.1001252191334836E-2</c:v>
                </c:pt>
                <c:pt idx="18">
                  <c:v>1.1281483667847304E-2</c:v>
                </c:pt>
                <c:pt idx="19">
                  <c:v>1.153453729211305E-2</c:v>
                </c:pt>
                <c:pt idx="20">
                  <c:v>1.1761818815110351E-2</c:v>
                </c:pt>
                <c:pt idx="21">
                  <c:v>1.1964638682666418E-2</c:v>
                </c:pt>
                <c:pt idx="22">
                  <c:v>1.214421997755331E-2</c:v>
                </c:pt>
                <c:pt idx="23">
                  <c:v>1.2301705580394104E-2</c:v>
                </c:pt>
                <c:pt idx="24">
                  <c:v>1.2438164637578127E-2</c:v>
                </c:pt>
                <c:pt idx="25">
                  <c:v>1.2554598413184273E-2</c:v>
                </c:pt>
                <c:pt idx="26">
                  <c:v>1.2651945592286501E-2</c:v>
                </c:pt>
                <c:pt idx="27">
                  <c:v>1.2731087094723459E-2</c:v>
                </c:pt>
                <c:pt idx="28">
                  <c:v>1.2792850451252655E-2</c:v>
                </c:pt>
                <c:pt idx="29">
                  <c:v>1.2838013787810262E-2</c:v>
                </c:pt>
                <c:pt idx="30">
                  <c:v>1.2867309458218547E-2</c:v>
                </c:pt>
                <c:pt idx="31">
                  <c:v>1.2881427361005754E-2</c:v>
                </c:pt>
                <c:pt idx="32">
                  <c:v>1.2881017971927063E-2</c:v>
                </c:pt>
                <c:pt idx="33">
                  <c:v>1.2866695120216248E-2</c:v>
                </c:pt>
                <c:pt idx="34">
                  <c:v>1.2839038533482977E-2</c:v>
                </c:pt>
                <c:pt idx="35">
                  <c:v>1.2798596173440507E-2</c:v>
                </c:pt>
                <c:pt idx="36">
                  <c:v>1.274588638225002E-2</c:v>
                </c:pt>
                <c:pt idx="37">
                  <c:v>1.2681399857157433E-2</c:v>
                </c:pt>
                <c:pt idx="38">
                  <c:v>1.2605601469237832E-2</c:v>
                </c:pt>
                <c:pt idx="39">
                  <c:v>1.2518931940419543E-2</c:v>
                </c:pt>
                <c:pt idx="40">
                  <c:v>1.2421809391506361E-2</c:v>
                </c:pt>
                <c:pt idx="41">
                  <c:v>1.231463077262847E-2</c:v>
                </c:pt>
                <c:pt idx="42">
                  <c:v>1.219777318640955E-2</c:v>
                </c:pt>
                <c:pt idx="43">
                  <c:v>1.2071595113121489E-2</c:v>
                </c:pt>
                <c:pt idx="44">
                  <c:v>1.1936437546193644E-2</c:v>
                </c:pt>
                <c:pt idx="45">
                  <c:v>1.1792625045637094E-2</c:v>
                </c:pt>
              </c:numCache>
            </c:numRef>
          </c:val>
          <c:extLst>
            <c:ext xmlns:c16="http://schemas.microsoft.com/office/drawing/2014/chart" uri="{C3380CC4-5D6E-409C-BE32-E72D297353CC}">
              <c16:uniqueId val="{00000026-5A3E-43E6-80E0-958E8C2306B8}"/>
            </c:ext>
          </c:extLst>
        </c:ser>
        <c:ser>
          <c:idx val="39"/>
          <c:order val="39"/>
          <c:tx>
            <c:strRef>
              <c:f>'Ej. 3'!$P$98</c:f>
              <c:strCache>
                <c:ptCount val="1"/>
                <c:pt idx="0">
                  <c:v>39</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3'!$Q$98:$BJ$98</c:f>
              <c:numCache>
                <c:formatCode>0.00%</c:formatCode>
                <c:ptCount val="46"/>
                <c:pt idx="0">
                  <c:v>0</c:v>
                </c:pt>
                <c:pt idx="1">
                  <c:v>1.0942760942760942E-3</c:v>
                </c:pt>
                <c:pt idx="2">
                  <c:v>2.1109095388474552E-3</c:v>
                </c:pt>
                <c:pt idx="3">
                  <c:v>3.0554462372644189E-3</c:v>
                </c:pt>
                <c:pt idx="4">
                  <c:v>3.9329161950726428E-3</c:v>
                </c:pt>
                <c:pt idx="5">
                  <c:v>4.7478921445863595E-3</c:v>
                </c:pt>
                <c:pt idx="6">
                  <c:v>5.5045403530252024E-3</c:v>
                </c:pt>
                <c:pt idx="7">
                  <c:v>6.2066648035027485E-3</c:v>
                </c:pt>
                <c:pt idx="8">
                  <c:v>6.8577457358888691E-3</c:v>
                </c:pt>
                <c:pt idx="9">
                  <c:v>7.4609733700642797E-3</c:v>
                </c:pt>
                <c:pt idx="10">
                  <c:v>8.0192774997969816E-3</c:v>
                </c:pt>
                <c:pt idx="11">
                  <c:v>8.5353535353535365E-3</c:v>
                </c:pt>
                <c:pt idx="12">
                  <c:v>9.0116854822737177E-3</c:v>
                </c:pt>
                <c:pt idx="13">
                  <c:v>9.4505662687480868E-3</c:v>
                </c:pt>
                <c:pt idx="14">
                  <c:v>9.8541157717830091E-3</c:v>
                </c:pt>
                <c:pt idx="15">
                  <c:v>1.0224296840458455E-2</c:v>
                </c:pt>
                <c:pt idx="16">
                  <c:v>1.0562929571194033E-2</c:v>
                </c:pt>
                <c:pt idx="17">
                  <c:v>1.0871704053522236E-2</c:v>
                </c:pt>
                <c:pt idx="18">
                  <c:v>1.1152191774201344E-2</c:v>
                </c:pt>
                <c:pt idx="19">
                  <c:v>1.1405855841592519E-2</c:v>
                </c:pt>
                <c:pt idx="20">
                  <c:v>1.1634060170269725E-2</c:v>
                </c:pt>
                <c:pt idx="21">
                  <c:v>1.1838077747168656E-2</c:v>
                </c:pt>
                <c:pt idx="22">
                  <c:v>1.2019098084671857E-2</c:v>
                </c:pt>
                <c:pt idx="23">
                  <c:v>1.21782339524275E-2</c:v>
                </c:pt>
                <c:pt idx="24">
                  <c:v>1.2316527468042619E-2</c:v>
                </c:pt>
                <c:pt idx="25">
                  <c:v>1.24349556167738E-2</c:v>
                </c:pt>
                <c:pt idx="26">
                  <c:v>1.253443526170799E-2</c:v>
                </c:pt>
                <c:pt idx="27">
                  <c:v>1.2615827698472328E-2</c:v>
                </c:pt>
                <c:pt idx="28">
                  <c:v>1.2679942802059491E-2</c:v>
                </c:pt>
                <c:pt idx="29">
                  <c:v>1.2727542807756714E-2</c:v>
                </c:pt>
                <c:pt idx="30">
                  <c:v>1.2759345763298331E-2</c:v>
                </c:pt>
                <c:pt idx="31">
                  <c:v>1.2776028685119595E-2</c:v>
                </c:pt>
                <c:pt idx="32">
                  <c:v>1.277823044788474E-2</c:v>
                </c:pt>
                <c:pt idx="33">
                  <c:v>1.2766554433221101E-2</c:v>
                </c:pt>
                <c:pt idx="34">
                  <c:v>1.2741570960749043E-2</c:v>
                </c:pt>
                <c:pt idx="35">
                  <c:v>1.2703819522001341E-2</c:v>
                </c:pt>
                <c:pt idx="36">
                  <c:v>1.2653810835629019E-2</c:v>
                </c:pt>
                <c:pt idx="37">
                  <c:v>1.2592028740354101E-2</c:v>
                </c:pt>
                <c:pt idx="38">
                  <c:v>1.2518931940419543E-2</c:v>
                </c:pt>
                <c:pt idx="39">
                  <c:v>1.2434955616773798E-2</c:v>
                </c:pt>
                <c:pt idx="40">
                  <c:v>1.2340512915886909E-2</c:v>
                </c:pt>
                <c:pt idx="41">
                  <c:v>1.2235996326905417E-2</c:v>
                </c:pt>
                <c:pt idx="42">
                  <c:v>1.2121778956795792E-2</c:v>
                </c:pt>
                <c:pt idx="43">
                  <c:v>1.1998215712184672E-2</c:v>
                </c:pt>
                <c:pt idx="44">
                  <c:v>1.1865644395764877E-2</c:v>
                </c:pt>
                <c:pt idx="45">
                  <c:v>1.1724386724386724E-2</c:v>
                </c:pt>
              </c:numCache>
            </c:numRef>
          </c:val>
          <c:extLst>
            <c:ext xmlns:c16="http://schemas.microsoft.com/office/drawing/2014/chart" uri="{C3380CC4-5D6E-409C-BE32-E72D297353CC}">
              <c16:uniqueId val="{00000027-5A3E-43E6-80E0-958E8C2306B8}"/>
            </c:ext>
          </c:extLst>
        </c:ser>
        <c:ser>
          <c:idx val="40"/>
          <c:order val="40"/>
          <c:tx>
            <c:strRef>
              <c:f>'Ej. 3'!$P$99</c:f>
              <c:strCache>
                <c:ptCount val="1"/>
                <c:pt idx="0">
                  <c:v>40</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3'!$Q$99:$BJ$99</c:f>
              <c:numCache>
                <c:formatCode>0.00%</c:formatCode>
                <c:ptCount val="46"/>
                <c:pt idx="0">
                  <c:v>0</c:v>
                </c:pt>
                <c:pt idx="1">
                  <c:v>1.0730612356628618E-3</c:v>
                </c:pt>
                <c:pt idx="2">
                  <c:v>2.0712172227323744E-3</c:v>
                </c:pt>
                <c:pt idx="3">
                  <c:v>2.9996939087848177E-3</c:v>
                </c:pt>
                <c:pt idx="4">
                  <c:v>3.8632421552531743E-3</c:v>
                </c:pt>
                <c:pt idx="5">
                  <c:v>4.6661905247763827E-3</c:v>
                </c:pt>
                <c:pt idx="6">
                  <c:v>5.4124911832421716E-3</c:v>
                </c:pt>
                <c:pt idx="7">
                  <c:v>6.1057599419946278E-3</c:v>
                </c:pt>
                <c:pt idx="8">
                  <c:v>6.7493112947658402E-3</c:v>
                </c:pt>
                <c:pt idx="9">
                  <c:v>7.3461891643709825E-3</c:v>
                </c:pt>
                <c:pt idx="10">
                  <c:v>7.8991939598000212E-3</c:v>
                </c:pt>
                <c:pt idx="11">
                  <c:v>8.410906450122135E-3</c:v>
                </c:pt>
                <c:pt idx="12">
                  <c:v>8.8837088837088844E-3</c:v>
                </c:pt>
                <c:pt idx="13">
                  <c:v>9.319803716601887E-3</c:v>
                </c:pt>
                <c:pt idx="14">
                  <c:v>9.7212302599507978E-3</c:v>
                </c:pt>
                <c:pt idx="15">
                  <c:v>1.0089879511367113E-2</c:v>
                </c:pt>
                <c:pt idx="16">
                  <c:v>1.0427507397204367E-2</c:v>
                </c:pt>
                <c:pt idx="17">
                  <c:v>1.0735746620914083E-2</c:v>
                </c:pt>
                <c:pt idx="18">
                  <c:v>1.1016117285709762E-2</c:v>
                </c:pt>
                <c:pt idx="19">
                  <c:v>1.1270036436959908E-2</c:v>
                </c:pt>
                <c:pt idx="20">
                  <c:v>1.1498826650341801E-2</c:v>
                </c:pt>
                <c:pt idx="21">
                  <c:v>1.1703723775258796E-2</c:v>
                </c:pt>
                <c:pt idx="22">
                  <c:v>1.1885883928894682E-2</c:v>
                </c:pt>
                <c:pt idx="23">
                  <c:v>1.20463898241676E-2</c:v>
                </c:pt>
                <c:pt idx="24">
                  <c:v>1.218625650443832E-2</c:v>
                </c:pt>
                <c:pt idx="25">
                  <c:v>1.2306436548860792E-2</c:v>
                </c:pt>
                <c:pt idx="26">
                  <c:v>1.2407824804519019E-2</c:v>
                </c:pt>
                <c:pt idx="27">
                  <c:v>1.2491262694790509E-2</c:v>
                </c:pt>
                <c:pt idx="28">
                  <c:v>1.2557542147559973E-2</c:v>
                </c:pt>
                <c:pt idx="29">
                  <c:v>1.2607409181849235E-2</c:v>
                </c:pt>
                <c:pt idx="30">
                  <c:v>1.2641567187021729E-2</c:v>
                </c:pt>
                <c:pt idx="31">
                  <c:v>1.2660679924871132E-2</c:v>
                </c:pt>
                <c:pt idx="32">
                  <c:v>1.2665374281535897E-2</c:v>
                </c:pt>
                <c:pt idx="33">
                  <c:v>1.2656242793229095E-2</c:v>
                </c:pt>
                <c:pt idx="34">
                  <c:v>1.26338459671793E-2</c:v>
                </c:pt>
                <c:pt idx="35">
                  <c:v>1.2598714416896235E-2</c:v>
                </c:pt>
                <c:pt idx="36">
                  <c:v>1.255135082886279E-2</c:v>
                </c:pt>
                <c:pt idx="37">
                  <c:v>1.2492231775978331E-2</c:v>
                </c:pt>
                <c:pt idx="38">
                  <c:v>1.2421809391506361E-2</c:v>
                </c:pt>
                <c:pt idx="39">
                  <c:v>1.2340512915886909E-2</c:v>
                </c:pt>
                <c:pt idx="40">
                  <c:v>1.2248750127538005E-2</c:v>
                </c:pt>
                <c:pt idx="41">
                  <c:v>1.2146908667671853E-2</c:v>
                </c:pt>
                <c:pt idx="42">
                  <c:v>1.2035357268173232E-2</c:v>
                </c:pt>
                <c:pt idx="43">
                  <c:v>1.1914446890715602E-2</c:v>
                </c:pt>
                <c:pt idx="44">
                  <c:v>1.1784511784511783E-2</c:v>
                </c:pt>
                <c:pt idx="45">
                  <c:v>1.1645870469399881E-2</c:v>
                </c:pt>
              </c:numCache>
            </c:numRef>
          </c:val>
          <c:extLst>
            <c:ext xmlns:c16="http://schemas.microsoft.com/office/drawing/2014/chart" uri="{C3380CC4-5D6E-409C-BE32-E72D297353CC}">
              <c16:uniqueId val="{00000028-5A3E-43E6-80E0-958E8C2306B8}"/>
            </c:ext>
          </c:extLst>
        </c:ser>
        <c:ser>
          <c:idx val="41"/>
          <c:order val="41"/>
          <c:tx>
            <c:strRef>
              <c:f>'Ej. 3'!$P$100</c:f>
              <c:strCache>
                <c:ptCount val="1"/>
                <c:pt idx="0">
                  <c:v>41</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3'!$Q$100:$BJ$100</c:f>
              <c:numCache>
                <c:formatCode>0.00%</c:formatCode>
                <c:ptCount val="46"/>
                <c:pt idx="0">
                  <c:v>0</c:v>
                </c:pt>
                <c:pt idx="1">
                  <c:v>1.0517877184543852E-3</c:v>
                </c:pt>
                <c:pt idx="2">
                  <c:v>2.0313067247528138E-3</c:v>
                </c:pt>
                <c:pt idx="3">
                  <c:v>2.9434844310877368E-3</c:v>
                </c:pt>
                <c:pt idx="4">
                  <c:v>3.7928102574567224E-3</c:v>
                </c:pt>
                <c:pt idx="5">
                  <c:v>4.583383239509721E-3</c:v>
                </c:pt>
                <c:pt idx="6">
                  <c:v>5.3189535587988192E-3</c:v>
                </c:pt>
                <c:pt idx="7">
                  <c:v>6.002958881746759E-3</c:v>
                </c:pt>
                <c:pt idx="8">
                  <c:v>6.638556248945859E-3</c:v>
                </c:pt>
                <c:pt idx="9">
                  <c:v>7.2286501377410474E-3</c:v>
                </c:pt>
                <c:pt idx="10">
                  <c:v>7.7759172233325532E-3</c:v>
                </c:pt>
                <c:pt idx="11">
                  <c:v>8.2828282828282824E-3</c:v>
                </c:pt>
                <c:pt idx="12">
                  <c:v>8.7516676195921479E-3</c:v>
                </c:pt>
                <c:pt idx="13">
                  <c:v>9.1845503293314732E-3</c:v>
                </c:pt>
                <c:pt idx="14">
                  <c:v>9.5834376826112351E-3</c:v>
                </c:pt>
                <c:pt idx="15">
                  <c:v>9.9501508592417676E-3</c:v>
                </c:pt>
                <c:pt idx="16">
                  <c:v>1.028638323694145E-2</c:v>
                </c:pt>
                <c:pt idx="17">
                  <c:v>1.0593711408758429E-2</c:v>
                </c:pt>
                <c:pt idx="18">
                  <c:v>1.0873605080076575E-2</c:v>
                </c:pt>
                <c:pt idx="19">
                  <c:v>1.1127435975920825E-2</c:v>
                </c:pt>
                <c:pt idx="20">
                  <c:v>1.1356485872134158E-2</c:v>
                </c:pt>
                <c:pt idx="21">
                  <c:v>1.1561953849343878E-2</c:v>
                </c:pt>
                <c:pt idx="22">
                  <c:v>1.1744962856073966E-2</c:v>
                </c:pt>
                <c:pt idx="23">
                  <c:v>1.1906565656565655E-2</c:v>
                </c:pt>
                <c:pt idx="24">
                  <c:v>1.2047750229568411E-2</c:v>
                </c:pt>
                <c:pt idx="25">
                  <c:v>1.216944467633173E-2</c:v>
                </c:pt>
                <c:pt idx="26">
                  <c:v>1.2272521689075284E-2</c:v>
                </c:pt>
                <c:pt idx="27">
                  <c:v>1.2357802625182305E-2</c:v>
                </c:pt>
                <c:pt idx="28">
                  <c:v>1.2426061227115245E-2</c:v>
                </c:pt>
                <c:pt idx="29">
                  <c:v>1.247802702348157E-2</c:v>
                </c:pt>
                <c:pt idx="30">
                  <c:v>1.2514388442685495E-2</c:v>
                </c:pt>
                <c:pt idx="31">
                  <c:v>1.2535795667108798E-2</c:v>
                </c:pt>
                <c:pt idx="32">
                  <c:v>1.2542863252701359E-2</c:v>
                </c:pt>
                <c:pt idx="33">
                  <c:v>1.2536172536172535E-2</c:v>
                </c:pt>
                <c:pt idx="34">
                  <c:v>1.2516273849607181E-2</c:v>
                </c:pt>
                <c:pt idx="35">
                  <c:v>1.2483688560243584E-2</c:v>
                </c:pt>
                <c:pt idx="36">
                  <c:v>1.2438910951307646E-2</c:v>
                </c:pt>
                <c:pt idx="37">
                  <c:v>1.2382409958167534E-2</c:v>
                </c:pt>
                <c:pt idx="38">
                  <c:v>1.231463077262847E-2</c:v>
                </c:pt>
                <c:pt idx="39">
                  <c:v>1.2235996326905417E-2</c:v>
                </c:pt>
                <c:pt idx="40">
                  <c:v>1.2146908667671853E-2</c:v>
                </c:pt>
                <c:pt idx="41">
                  <c:v>1.2047750229568411E-2</c:v>
                </c:pt>
                <c:pt idx="42">
                  <c:v>1.1938885016650623E-2</c:v>
                </c:pt>
                <c:pt idx="43">
                  <c:v>1.1820659699447579E-2</c:v>
                </c:pt>
                <c:pt idx="44">
                  <c:v>1.1693404634581104E-2</c:v>
                </c:pt>
                <c:pt idx="45">
                  <c:v>1.1557434813248767E-2</c:v>
                </c:pt>
              </c:numCache>
            </c:numRef>
          </c:val>
          <c:extLst>
            <c:ext xmlns:c16="http://schemas.microsoft.com/office/drawing/2014/chart" uri="{C3380CC4-5D6E-409C-BE32-E72D297353CC}">
              <c16:uniqueId val="{00000029-5A3E-43E6-80E0-958E8C2306B8}"/>
            </c:ext>
          </c:extLst>
        </c:ser>
        <c:ser>
          <c:idx val="42"/>
          <c:order val="42"/>
          <c:tx>
            <c:strRef>
              <c:f>'Ej. 3'!$P$101</c:f>
              <c:strCache>
                <c:ptCount val="1"/>
                <c:pt idx="0">
                  <c:v>42</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3'!$Q$101:$BJ$101</c:f>
              <c:numCache>
                <c:formatCode>0.00%</c:formatCode>
                <c:ptCount val="46"/>
                <c:pt idx="0">
                  <c:v>0</c:v>
                </c:pt>
                <c:pt idx="1">
                  <c:v>1.030459635110798E-3</c:v>
                </c:pt>
                <c:pt idx="2">
                  <c:v>1.9911929209449871E-3</c:v>
                </c:pt>
                <c:pt idx="3">
                  <c:v>2.8868482807876752E-3</c:v>
                </c:pt>
                <c:pt idx="4">
                  <c:v>3.721669927203524E-3</c:v>
                </c:pt>
                <c:pt idx="5">
                  <c:v>4.4995408631772265E-3</c:v>
                </c:pt>
                <c:pt idx="6">
                  <c:v>5.2240205081114169E-3</c:v>
                </c:pt>
                <c:pt idx="7">
                  <c:v>5.8983777165595337E-3</c:v>
                </c:pt>
                <c:pt idx="8">
                  <c:v>6.525619834710744E-3</c:v>
                </c:pt>
                <c:pt idx="9">
                  <c:v>7.1085183384648623E-3</c:v>
                </c:pt>
                <c:pt idx="10">
                  <c:v>7.6496315132678766E-3</c:v>
                </c:pt>
                <c:pt idx="11">
                  <c:v>8.1513245664189063E-3</c:v>
                </c:pt>
                <c:pt idx="12">
                  <c:v>8.6157875046763942E-3</c:v>
                </c:pt>
                <c:pt idx="13">
                  <c:v>9.045051061579986E-3</c:v>
                </c:pt>
                <c:pt idx="14">
                  <c:v>9.4410009182736444E-3</c:v>
                </c:pt>
                <c:pt idx="15">
                  <c:v>9.8053904273999962E-3</c:v>
                </c:pt>
                <c:pt idx="16">
                  <c:v>1.0139852020729763E-2</c:v>
                </c:pt>
                <c:pt idx="17">
                  <c:v>1.0445907456693279E-2</c:v>
                </c:pt>
                <c:pt idx="18">
                  <c:v>1.0724977043158862E-2</c:v>
                </c:pt>
                <c:pt idx="19">
                  <c:v>1.0978387953052631E-2</c:v>
                </c:pt>
                <c:pt idx="20">
                  <c:v>1.1207381735240975E-2</c:v>
                </c:pt>
                <c:pt idx="21">
                  <c:v>1.1413121110090808E-2</c:v>
                </c:pt>
                <c:pt idx="22">
                  <c:v>1.1596696127946128E-2</c:v>
                </c:pt>
                <c:pt idx="23">
                  <c:v>1.1759129759129759E-2</c:v>
                </c:pt>
                <c:pt idx="24">
                  <c:v>1.1901382975763141E-2</c:v>
                </c:pt>
                <c:pt idx="25">
                  <c:v>1.2024359378497778E-2</c:v>
                </c:pt>
                <c:pt idx="26">
                  <c:v>1.2128909415005672E-2</c:v>
                </c:pt>
                <c:pt idx="27">
                  <c:v>1.2215834231644507E-2</c:v>
                </c:pt>
                <c:pt idx="28">
                  <c:v>1.2285889194980104E-2</c:v>
                </c:pt>
                <c:pt idx="29">
                  <c:v>1.2339787115715413E-2</c:v>
                </c:pt>
                <c:pt idx="30">
                  <c:v>1.2378201203958779E-2</c:v>
                </c:pt>
                <c:pt idx="31">
                  <c:v>1.2401767781593435E-2</c:v>
                </c:pt>
                <c:pt idx="32">
                  <c:v>1.2411088774725139E-2</c:v>
                </c:pt>
                <c:pt idx="33">
                  <c:v>1.2406734006734007E-2</c:v>
                </c:pt>
                <c:pt idx="34">
                  <c:v>1.2389243310295941E-2</c:v>
                </c:pt>
                <c:pt idx="35">
                  <c:v>1.2359128474830955E-2</c:v>
                </c:pt>
                <c:pt idx="36">
                  <c:v>1.2316875044147774E-2</c:v>
                </c:pt>
                <c:pt idx="37">
                  <c:v>1.2262943977558477E-2</c:v>
                </c:pt>
                <c:pt idx="38">
                  <c:v>1.219777318640955E-2</c:v>
                </c:pt>
                <c:pt idx="39">
                  <c:v>1.2121778956795792E-2</c:v>
                </c:pt>
                <c:pt idx="40">
                  <c:v>1.2035357268173232E-2</c:v>
                </c:pt>
                <c:pt idx="41">
                  <c:v>1.1938885016650623E-2</c:v>
                </c:pt>
                <c:pt idx="42">
                  <c:v>1.1832721150902968E-2</c:v>
                </c:pt>
                <c:pt idx="43">
                  <c:v>1.1717207727902917E-2</c:v>
                </c:pt>
                <c:pt idx="44">
                  <c:v>1.1592670894996476E-2</c:v>
                </c:pt>
                <c:pt idx="45">
                  <c:v>1.145942180424939E-2</c:v>
                </c:pt>
              </c:numCache>
            </c:numRef>
          </c:val>
          <c:extLst>
            <c:ext xmlns:c16="http://schemas.microsoft.com/office/drawing/2014/chart" uri="{C3380CC4-5D6E-409C-BE32-E72D297353CC}">
              <c16:uniqueId val="{0000002A-5A3E-43E6-80E0-958E8C2306B8}"/>
            </c:ext>
          </c:extLst>
        </c:ser>
        <c:ser>
          <c:idx val="43"/>
          <c:order val="43"/>
          <c:tx>
            <c:strRef>
              <c:f>'Ej. 3'!$P$102</c:f>
              <c:strCache>
                <c:ptCount val="1"/>
                <c:pt idx="0">
                  <c:v>43</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3'!$Q$102:$BJ$102</c:f>
              <c:numCache>
                <c:formatCode>0.00%</c:formatCode>
                <c:ptCount val="46"/>
                <c:pt idx="0">
                  <c:v>0</c:v>
                </c:pt>
                <c:pt idx="1">
                  <c:v>1.0090807060504031E-3</c:v>
                </c:pt>
                <c:pt idx="2">
                  <c:v>1.9508893650307794E-3</c:v>
                </c:pt>
                <c:pt idx="3">
                  <c:v>2.8298132843587393E-3</c:v>
                </c:pt>
                <c:pt idx="4">
                  <c:v>3.6498663835865643E-3</c:v>
                </c:pt>
                <c:pt idx="5">
                  <c:v>4.414728088970513E-3</c:v>
                </c:pt>
                <c:pt idx="6">
                  <c:v>5.1277774654398039E-3</c:v>
                </c:pt>
                <c:pt idx="7">
                  <c:v>5.7921232527293129E-3</c:v>
                </c:pt>
                <c:pt idx="8">
                  <c:v>6.4106303678496202E-3</c:v>
                </c:pt>
                <c:pt idx="9">
                  <c:v>6.9859433495797147E-3</c:v>
                </c:pt>
                <c:pt idx="10">
                  <c:v>7.520507148866212E-3</c:v>
                </c:pt>
                <c:pt idx="11">
                  <c:v>8.0165856091782024E-3</c:v>
                </c:pt>
                <c:pt idx="12">
                  <c:v>8.4762779308233862E-3</c:v>
                </c:pt>
                <c:pt idx="13">
                  <c:v>8.9015333712303413E-3</c:v>
                </c:pt>
                <c:pt idx="14">
                  <c:v>9.2941643978326598E-3</c:v>
                </c:pt>
                <c:pt idx="15">
                  <c:v>9.6558584803098906E-3</c:v>
                </c:pt>
                <c:pt idx="16">
                  <c:v>9.98818868361755E-3</c:v>
                </c:pt>
                <c:pt idx="17">
                  <c:v>1.0292623201714111E-2</c:v>
                </c:pt>
                <c:pt idx="18">
                  <c:v>1.0570533953544388E-2</c:v>
                </c:pt>
                <c:pt idx="19">
                  <c:v>1.0823204347153517E-2</c:v>
                </c:pt>
                <c:pt idx="20">
                  <c:v>1.1051836304361559E-2</c:v>
                </c:pt>
                <c:pt idx="21">
                  <c:v>1.1257556626874809E-2</c:v>
                </c:pt>
                <c:pt idx="22">
                  <c:v>1.144142277475611E-2</c:v>
                </c:pt>
                <c:pt idx="23">
                  <c:v>1.1604428119579636E-2</c:v>
                </c:pt>
                <c:pt idx="24">
                  <c:v>1.1747506727153948E-2</c:v>
                </c:pt>
                <c:pt idx="25">
                  <c:v>1.1871537718240038E-2</c:v>
                </c:pt>
                <c:pt idx="26">
                  <c:v>1.1977349250076524E-2</c:v>
                </c:pt>
                <c:pt idx="27">
                  <c:v>1.2065722156631249E-2</c:v>
                </c:pt>
                <c:pt idx="28">
                  <c:v>1.2137393281225975E-2</c:v>
                </c:pt>
                <c:pt idx="29">
                  <c:v>1.2193058531442372E-2</c:v>
                </c:pt>
                <c:pt idx="30">
                  <c:v>1.2233375682939817E-2</c:v>
                </c:pt>
                <c:pt idx="31">
                  <c:v>1.2258966955936654E-2</c:v>
                </c:pt>
                <c:pt idx="32">
                  <c:v>1.2270421385572902E-2</c:v>
                </c:pt>
                <c:pt idx="33">
                  <c:v>1.2268297005139112E-2</c:v>
                </c:pt>
                <c:pt idx="34">
                  <c:v>1.2253122859183466E-2</c:v>
                </c:pt>
                <c:pt idx="35">
                  <c:v>1.2225400861764501E-2</c:v>
                </c:pt>
                <c:pt idx="36">
                  <c:v>1.2185607513570692E-2</c:v>
                </c:pt>
                <c:pt idx="37">
                  <c:v>1.2134195490256098E-2</c:v>
                </c:pt>
                <c:pt idx="38">
                  <c:v>1.2071595113121489E-2</c:v>
                </c:pt>
                <c:pt idx="39">
                  <c:v>1.1998215712184672E-2</c:v>
                </c:pt>
                <c:pt idx="40">
                  <c:v>1.1914446890715602E-2</c:v>
                </c:pt>
                <c:pt idx="41">
                  <c:v>1.1820659699447579E-2</c:v>
                </c:pt>
                <c:pt idx="42">
                  <c:v>1.1717207727902917E-2</c:v>
                </c:pt>
                <c:pt idx="43">
                  <c:v>1.1604428119579636E-2</c:v>
                </c:pt>
                <c:pt idx="44">
                  <c:v>1.1482642517125276E-2</c:v>
                </c:pt>
                <c:pt idx="45">
                  <c:v>1.1352157943067036E-2</c:v>
                </c:pt>
              </c:numCache>
            </c:numRef>
          </c:val>
          <c:extLst>
            <c:ext xmlns:c16="http://schemas.microsoft.com/office/drawing/2014/chart" uri="{C3380CC4-5D6E-409C-BE32-E72D297353CC}">
              <c16:uniqueId val="{0000002B-5A3E-43E6-80E0-958E8C2306B8}"/>
            </c:ext>
          </c:extLst>
        </c:ser>
        <c:ser>
          <c:idx val="44"/>
          <c:order val="44"/>
          <c:tx>
            <c:strRef>
              <c:f>'Ej. 3'!$P$103</c:f>
              <c:strCache>
                <c:ptCount val="1"/>
                <c:pt idx="0">
                  <c:v>44</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3'!$Q$103:$BJ$103</c:f>
              <c:numCache>
                <c:formatCode>0.00%</c:formatCode>
                <c:ptCount val="46"/>
                <c:pt idx="0">
                  <c:v>0</c:v>
                </c:pt>
                <c:pt idx="1">
                  <c:v>9.8765432098765434E-4</c:v>
                </c:pt>
                <c:pt idx="2">
                  <c:v>1.9104084321475629E-3</c:v>
                </c:pt>
                <c:pt idx="3">
                  <c:v>2.7724049000644748E-3</c:v>
                </c:pt>
                <c:pt idx="4">
                  <c:v>3.5774410774410772E-3</c:v>
                </c:pt>
                <c:pt idx="5">
                  <c:v>4.3290043290043281E-3</c:v>
                </c:pt>
                <c:pt idx="6">
                  <c:v>5.0303030303030308E-3</c:v>
                </c:pt>
                <c:pt idx="7">
                  <c:v>5.6842939195880368E-3</c:v>
                </c:pt>
                <c:pt idx="8">
                  <c:v>6.2937062937062933E-3</c:v>
                </c:pt>
                <c:pt idx="9">
                  <c:v>6.8610634648370496E-3</c:v>
                </c:pt>
                <c:pt idx="10">
                  <c:v>7.3887018331462778E-3</c:v>
                </c:pt>
                <c:pt idx="11">
                  <c:v>7.8787878787878792E-3</c:v>
                </c:pt>
                <c:pt idx="12">
                  <c:v>8.3333333333333332E-3</c:v>
                </c:pt>
                <c:pt idx="13">
                  <c:v>8.7542087542087539E-3</c:v>
                </c:pt>
                <c:pt idx="14">
                  <c:v>9.1431556948798325E-3</c:v>
                </c:pt>
                <c:pt idx="15">
                  <c:v>9.5017976373908564E-3</c:v>
                </c:pt>
                <c:pt idx="16">
                  <c:v>9.8316498316498319E-3</c:v>
                </c:pt>
                <c:pt idx="17">
                  <c:v>1.0134128166915052E-2</c:v>
                </c:pt>
                <c:pt idx="18">
                  <c:v>1.0410557184750735E-2</c:v>
                </c:pt>
                <c:pt idx="19">
                  <c:v>1.0662177328843996E-2</c:v>
                </c:pt>
                <c:pt idx="20">
                  <c:v>1.0890151515151516E-2</c:v>
                </c:pt>
                <c:pt idx="21">
                  <c:v>1.1095571095571095E-2</c:v>
                </c:pt>
                <c:pt idx="22">
                  <c:v>1.127946127946128E-2</c:v>
                </c:pt>
                <c:pt idx="23">
                  <c:v>1.1442786069651741E-2</c:v>
                </c:pt>
                <c:pt idx="24">
                  <c:v>1.158645276292335E-2</c:v>
                </c:pt>
                <c:pt idx="25">
                  <c:v>1.1711316059142147E-2</c:v>
                </c:pt>
                <c:pt idx="26">
                  <c:v>1.1818181818181818E-2</c:v>
                </c:pt>
                <c:pt idx="27">
                  <c:v>1.1907810499359794E-2</c:v>
                </c:pt>
                <c:pt idx="28">
                  <c:v>1.1980920314253648E-2</c:v>
                </c:pt>
                <c:pt idx="29">
                  <c:v>1.2038190120381903E-2</c:v>
                </c:pt>
                <c:pt idx="30">
                  <c:v>1.2080262080262078E-2</c:v>
                </c:pt>
                <c:pt idx="31">
                  <c:v>1.2107744107744107E-2</c:v>
                </c:pt>
                <c:pt idx="32">
                  <c:v>1.2121212121212121E-2</c:v>
                </c:pt>
                <c:pt idx="33">
                  <c:v>1.2121212121212121E-2</c:v>
                </c:pt>
                <c:pt idx="34">
                  <c:v>1.2108262108262107E-2</c:v>
                </c:pt>
                <c:pt idx="35">
                  <c:v>1.2082853855005755E-2</c:v>
                </c:pt>
                <c:pt idx="36">
                  <c:v>1.2045454545454547E-2</c:v>
                </c:pt>
                <c:pt idx="37">
                  <c:v>1.1996508292804589E-2</c:v>
                </c:pt>
                <c:pt idx="38">
                  <c:v>1.1936437546193644E-2</c:v>
                </c:pt>
                <c:pt idx="39">
                  <c:v>1.1865644395764877E-2</c:v>
                </c:pt>
                <c:pt idx="40">
                  <c:v>1.1784511784511783E-2</c:v>
                </c:pt>
                <c:pt idx="41">
                  <c:v>1.1693404634581104E-2</c:v>
                </c:pt>
                <c:pt idx="42">
                  <c:v>1.1592670894996476E-2</c:v>
                </c:pt>
                <c:pt idx="43">
                  <c:v>1.1482642517125276E-2</c:v>
                </c:pt>
                <c:pt idx="44">
                  <c:v>1.1363636363636364E-2</c:v>
                </c:pt>
                <c:pt idx="45">
                  <c:v>1.1235955056179775E-2</c:v>
                </c:pt>
              </c:numCache>
            </c:numRef>
          </c:val>
          <c:extLst>
            <c:ext xmlns:c16="http://schemas.microsoft.com/office/drawing/2014/chart" uri="{C3380CC4-5D6E-409C-BE32-E72D297353CC}">
              <c16:uniqueId val="{0000002C-5A3E-43E6-80E0-958E8C2306B8}"/>
            </c:ext>
          </c:extLst>
        </c:ser>
        <c:ser>
          <c:idx val="45"/>
          <c:order val="45"/>
          <c:tx>
            <c:strRef>
              <c:f>'Ej. 3'!$P$104</c:f>
              <c:strCache>
                <c:ptCount val="1"/>
                <c:pt idx="0">
                  <c:v>45</c:v>
                </c:pt>
              </c:strCache>
            </c:strRef>
          </c:tx>
          <c:cat>
            <c:numRef>
              <c:f>'Ej. 3'!$Q$58:$BJ$58</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3'!$Q$104:$BJ$104</c:f>
              <c:numCache>
                <c:formatCode>0.00%</c:formatCode>
                <c:ptCount val="46"/>
                <c:pt idx="0">
                  <c:v>0</c:v>
                </c:pt>
                <c:pt idx="1">
                  <c:v>9.6618357487922714E-4</c:v>
                </c:pt>
                <c:pt idx="2">
                  <c:v>1.8697614442295296E-3</c:v>
                </c:pt>
                <c:pt idx="3">
                  <c:v>2.7146464646464648E-3</c:v>
                </c:pt>
                <c:pt idx="4">
                  <c:v>3.5044320758606472E-3</c:v>
                </c:pt>
                <c:pt idx="5">
                  <c:v>4.242424242424242E-3</c:v>
                </c:pt>
                <c:pt idx="6">
                  <c:v>4.9316696375519909E-3</c:v>
                </c:pt>
                <c:pt idx="7">
                  <c:v>5.5749805749805747E-3</c:v>
                </c:pt>
                <c:pt idx="8">
                  <c:v>6.1749571183533445E-3</c:v>
                </c:pt>
                <c:pt idx="9">
                  <c:v>6.7340067340067346E-3</c:v>
                </c:pt>
                <c:pt idx="10">
                  <c:v>7.2543617998163459E-3</c:v>
                </c:pt>
                <c:pt idx="11">
                  <c:v>7.7380952380952384E-3</c:v>
                </c:pt>
                <c:pt idx="12">
                  <c:v>8.1871345029239772E-3</c:v>
                </c:pt>
                <c:pt idx="13">
                  <c:v>8.6032741205154997E-3</c:v>
                </c:pt>
                <c:pt idx="14">
                  <c:v>8.9881869542886485E-3</c:v>
                </c:pt>
                <c:pt idx="15">
                  <c:v>9.3434343434343429E-3</c:v>
                </c:pt>
                <c:pt idx="16">
                  <c:v>9.670475244245736E-3</c:v>
                </c:pt>
                <c:pt idx="17">
                  <c:v>9.9706744868035182E-3</c:v>
                </c:pt>
                <c:pt idx="18">
                  <c:v>1.0245310245310247E-2</c:v>
                </c:pt>
                <c:pt idx="19">
                  <c:v>1.0495580808080808E-2</c:v>
                </c:pt>
                <c:pt idx="20">
                  <c:v>1.0722610722610723E-2</c:v>
                </c:pt>
                <c:pt idx="21">
                  <c:v>1.0927456382001837E-2</c:v>
                </c:pt>
                <c:pt idx="22">
                  <c:v>1.1111111111111112E-2</c:v>
                </c:pt>
                <c:pt idx="23">
                  <c:v>1.1274509803921568E-2</c:v>
                </c:pt>
                <c:pt idx="24">
                  <c:v>1.1418533157663592E-2</c:v>
                </c:pt>
                <c:pt idx="25">
                  <c:v>1.1544011544011546E-2</c:v>
                </c:pt>
                <c:pt idx="26">
                  <c:v>1.1651728553137003E-2</c:v>
                </c:pt>
                <c:pt idx="27">
                  <c:v>1.1742424242424242E-2</c:v>
                </c:pt>
                <c:pt idx="28">
                  <c:v>1.181679811816798E-2</c:v>
                </c:pt>
                <c:pt idx="29">
                  <c:v>1.1875511875511877E-2</c:v>
                </c:pt>
                <c:pt idx="30">
                  <c:v>1.1919191919191918E-2</c:v>
                </c:pt>
                <c:pt idx="31">
                  <c:v>1.194843168527379E-2</c:v>
                </c:pt>
                <c:pt idx="32">
                  <c:v>1.1963793781975601E-2</c:v>
                </c:pt>
                <c:pt idx="33">
                  <c:v>1.1965811965811967E-2</c:v>
                </c:pt>
                <c:pt idx="34">
                  <c:v>1.1954992967651195E-2</c:v>
                </c:pt>
                <c:pt idx="35">
                  <c:v>1.1931818181818182E-2</c:v>
                </c:pt>
                <c:pt idx="36">
                  <c:v>1.1896745230078564E-2</c:v>
                </c:pt>
                <c:pt idx="37">
                  <c:v>1.1850209411185022E-2</c:v>
                </c:pt>
                <c:pt idx="38">
                  <c:v>1.1792625045637094E-2</c:v>
                </c:pt>
                <c:pt idx="39">
                  <c:v>1.1724386724386724E-2</c:v>
                </c:pt>
                <c:pt idx="40">
                  <c:v>1.1645870469399881E-2</c:v>
                </c:pt>
                <c:pt idx="41">
                  <c:v>1.1557434813248767E-2</c:v>
                </c:pt>
                <c:pt idx="42">
                  <c:v>1.145942180424939E-2</c:v>
                </c:pt>
                <c:pt idx="43">
                  <c:v>1.1352157943067036E-2</c:v>
                </c:pt>
                <c:pt idx="44">
                  <c:v>1.1235955056179775E-2</c:v>
                </c:pt>
                <c:pt idx="45">
                  <c:v>1.1111111111111112E-2</c:v>
                </c:pt>
              </c:numCache>
            </c:numRef>
          </c:val>
          <c:extLst>
            <c:ext xmlns:c16="http://schemas.microsoft.com/office/drawing/2014/chart" uri="{C3380CC4-5D6E-409C-BE32-E72D297353CC}">
              <c16:uniqueId val="{0000002D-5A3E-43E6-80E0-958E8C2306B8}"/>
            </c:ext>
          </c:extLst>
        </c:ser>
        <c:bandFmts/>
        <c:axId val="1549533536"/>
        <c:axId val="1549535200"/>
        <c:axId val="50636720"/>
      </c:surface3DChart>
      <c:catAx>
        <c:axId val="1549533536"/>
        <c:scaling>
          <c:orientation val="maxMin"/>
        </c:scaling>
        <c:delete val="0"/>
        <c:axPos val="b"/>
        <c:numFmt formatCode="@"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549535200"/>
        <c:crosses val="autoZero"/>
        <c:auto val="1"/>
        <c:lblAlgn val="ctr"/>
        <c:lblOffset val="100"/>
        <c:noMultiLvlLbl val="0"/>
      </c:catAx>
      <c:valAx>
        <c:axId val="1549535200"/>
        <c:scaling>
          <c:orientation val="minMax"/>
          <c:max val="1.5000000000000003E-2"/>
          <c:min val="0"/>
        </c:scaling>
        <c:delete val="0"/>
        <c:axPos val="r"/>
        <c:majorGridlines>
          <c:spPr>
            <a:ln w="9525" cap="flat" cmpd="sng" algn="ctr">
              <a:solidFill>
                <a:schemeClr val="tx1">
                  <a:lumMod val="15000"/>
                  <a:lumOff val="85000"/>
                </a:schemeClr>
              </a:solidFill>
              <a:round/>
            </a:ln>
            <a:effectLst/>
          </c:spPr>
        </c:majorGridlines>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549533536"/>
        <c:crosses val="autoZero"/>
        <c:crossBetween val="midCat"/>
        <c:majorUnit val="1.0000000000000002E-3"/>
        <c:minorUnit val="1.0000000000000003E-4"/>
      </c:valAx>
      <c:serAx>
        <c:axId val="50636720"/>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549535200"/>
        <c:crosses val="autoZero"/>
        <c:tickLblSkip val="5"/>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s-ES"/>
              <a:t>Probabilidades por tema estudiado</a:t>
            </a:r>
          </a:p>
        </c:rich>
      </c:tx>
      <c:overlay val="0"/>
      <c:spPr>
        <a:noFill/>
        <a:ln>
          <a:noFill/>
        </a:ln>
        <a:effectLst/>
      </c:spPr>
    </c:title>
    <c:autoTitleDeleted val="0"/>
    <c:view3D>
      <c:rotX val="90"/>
      <c:rotY val="0"/>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Chart>
        <c:wireframe val="0"/>
        <c:ser>
          <c:idx val="0"/>
          <c:order val="0"/>
          <c:tx>
            <c:strRef>
              <c:f>'Ej. 3'!$Q$58</c:f>
              <c:strCache>
                <c:ptCount val="1"/>
                <c:pt idx="0">
                  <c:v>0</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3'!$Q$59:$Q$104</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AA9F-4562-9DDD-C1F215640106}"/>
            </c:ext>
          </c:extLst>
        </c:ser>
        <c:ser>
          <c:idx val="1"/>
          <c:order val="1"/>
          <c:tx>
            <c:strRef>
              <c:f>'Ej. 3'!$R$58</c:f>
              <c:strCache>
                <c:ptCount val="1"/>
                <c:pt idx="0">
                  <c:v>1</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3'!$R$59:$R$104</c:f>
              <c:numCache>
                <c:formatCode>0.00%</c:formatCode>
                <c:ptCount val="46"/>
                <c:pt idx="0">
                  <c:v>0</c:v>
                </c:pt>
                <c:pt idx="1">
                  <c:v>9.8765432098765434E-4</c:v>
                </c:pt>
                <c:pt idx="2">
                  <c:v>1.3019079685746354E-3</c:v>
                </c:pt>
                <c:pt idx="3">
                  <c:v>1.4478114478114479E-3</c:v>
                </c:pt>
                <c:pt idx="4">
                  <c:v>1.5263748597081931E-3</c:v>
                </c:pt>
                <c:pt idx="5">
                  <c:v>1.5712682379349044E-3</c:v>
                </c:pt>
                <c:pt idx="6">
                  <c:v>1.5969215969215971E-3</c:v>
                </c:pt>
                <c:pt idx="7">
                  <c:v>1.6105499438832771E-3</c:v>
                </c:pt>
                <c:pt idx="8">
                  <c:v>1.6161616161616162E-3</c:v>
                </c:pt>
                <c:pt idx="9">
                  <c:v>1.6161616161616162E-3</c:v>
                </c:pt>
                <c:pt idx="10">
                  <c:v>1.6120803999591878E-3</c:v>
                </c:pt>
                <c:pt idx="11">
                  <c:v>1.6049382716049384E-3</c:v>
                </c:pt>
                <c:pt idx="12">
                  <c:v>1.5954415954415953E-3</c:v>
                </c:pt>
                <c:pt idx="13">
                  <c:v>1.5840949174282509E-3</c:v>
                </c:pt>
                <c:pt idx="14">
                  <c:v>1.5712682379349046E-3</c:v>
                </c:pt>
                <c:pt idx="15">
                  <c:v>1.5572390572390572E-3</c:v>
                </c:pt>
                <c:pt idx="16">
                  <c:v>1.5422195814352678E-3</c:v>
                </c:pt>
                <c:pt idx="17">
                  <c:v>1.5263748597081931E-3</c:v>
                </c:pt>
                <c:pt idx="18">
                  <c:v>1.5098351940457206E-3</c:v>
                </c:pt>
                <c:pt idx="19">
                  <c:v>1.4927048260381594E-3</c:v>
                </c:pt>
                <c:pt idx="20">
                  <c:v>1.4750681417348085E-3</c:v>
                </c:pt>
                <c:pt idx="21">
                  <c:v>1.4569941842669117E-3</c:v>
                </c:pt>
                <c:pt idx="22">
                  <c:v>1.438539989264627E-3</c:v>
                </c:pt>
                <c:pt idx="23">
                  <c:v>1.4197530864197532E-3</c:v>
                </c:pt>
                <c:pt idx="24">
                  <c:v>1.4006734006734006E-3</c:v>
                </c:pt>
                <c:pt idx="25">
                  <c:v>1.3813347146680482E-3</c:v>
                </c:pt>
                <c:pt idx="26">
                  <c:v>1.3617658062102507E-3</c:v>
                </c:pt>
                <c:pt idx="27">
                  <c:v>1.341991341991342E-3</c:v>
                </c:pt>
                <c:pt idx="28">
                  <c:v>1.3220325864004027E-3</c:v>
                </c:pt>
                <c:pt idx="29">
                  <c:v>1.3019079685746354E-3</c:v>
                </c:pt>
                <c:pt idx="30">
                  <c:v>1.2816335396980557E-3</c:v>
                </c:pt>
                <c:pt idx="31">
                  <c:v>1.2612233445566778E-3</c:v>
                </c:pt>
                <c:pt idx="32">
                  <c:v>1.2406897255382106E-3</c:v>
                </c:pt>
                <c:pt idx="33">
                  <c:v>1.2200435729847494E-3</c:v>
                </c:pt>
                <c:pt idx="34">
                  <c:v>1.1992945326278659E-3</c:v>
                </c:pt>
                <c:pt idx="35">
                  <c:v>1.1784511784511786E-3</c:v>
                </c:pt>
                <c:pt idx="36">
                  <c:v>1.1575211575211577E-3</c:v>
                </c:pt>
                <c:pt idx="37">
                  <c:v>1.1365113119499084E-3</c:v>
                </c:pt>
                <c:pt idx="38">
                  <c:v>1.1154277820944487E-3</c:v>
                </c:pt>
                <c:pt idx="39">
                  <c:v>1.0942760942760942E-3</c:v>
                </c:pt>
                <c:pt idx="40">
                  <c:v>1.0730612356628618E-3</c:v>
                </c:pt>
                <c:pt idx="41">
                  <c:v>1.0517877184543852E-3</c:v>
                </c:pt>
                <c:pt idx="42">
                  <c:v>1.030459635110798E-3</c:v>
                </c:pt>
                <c:pt idx="43">
                  <c:v>1.0090807060504031E-3</c:v>
                </c:pt>
                <c:pt idx="44">
                  <c:v>9.8765432098765434E-4</c:v>
                </c:pt>
                <c:pt idx="45">
                  <c:v>9.6618357487922714E-4</c:v>
                </c:pt>
              </c:numCache>
            </c:numRef>
          </c:val>
          <c:extLst>
            <c:ext xmlns:c16="http://schemas.microsoft.com/office/drawing/2014/chart" uri="{C3380CC4-5D6E-409C-BE32-E72D297353CC}">
              <c16:uniqueId val="{00000001-AA9F-4562-9DDD-C1F215640106}"/>
            </c:ext>
          </c:extLst>
        </c:ser>
        <c:ser>
          <c:idx val="2"/>
          <c:order val="2"/>
          <c:tx>
            <c:strRef>
              <c:f>'Ej. 3'!$S$58</c:f>
              <c:strCache>
                <c:ptCount val="1"/>
                <c:pt idx="0">
                  <c:v>2</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3'!$S$59:$S$104</c:f>
              <c:numCache>
                <c:formatCode>0.00%</c:formatCode>
                <c:ptCount val="46"/>
                <c:pt idx="0">
                  <c:v>0</c:v>
                </c:pt>
                <c:pt idx="1">
                  <c:v>1.3019079685746354E-3</c:v>
                </c:pt>
                <c:pt idx="2">
                  <c:v>1.9306703397612493E-3</c:v>
                </c:pt>
                <c:pt idx="3">
                  <c:v>2.2901744719926545E-3</c:v>
                </c:pt>
                <c:pt idx="4">
                  <c:v>2.5150494847464545E-3</c:v>
                </c:pt>
                <c:pt idx="5">
                  <c:v>2.6629935720844816E-3</c:v>
                </c:pt>
                <c:pt idx="6">
                  <c:v>2.7628558310376495E-3</c:v>
                </c:pt>
                <c:pt idx="7">
                  <c:v>2.8306635377342449E-3</c:v>
                </c:pt>
                <c:pt idx="8">
                  <c:v>2.8760330578512399E-3</c:v>
                </c:pt>
                <c:pt idx="9">
                  <c:v>2.9050838968194344E-3</c:v>
                </c:pt>
                <c:pt idx="10">
                  <c:v>2.9218957249260284E-3</c:v>
                </c:pt>
                <c:pt idx="11">
                  <c:v>2.9292929292929299E-3</c:v>
                </c:pt>
                <c:pt idx="12">
                  <c:v>2.9292929292929299E-3</c:v>
                </c:pt>
                <c:pt idx="13">
                  <c:v>2.9233751657994087E-3</c:v>
                </c:pt>
                <c:pt idx="14">
                  <c:v>2.9126492194674015E-3</c:v>
                </c:pt>
                <c:pt idx="15">
                  <c:v>2.8979635931507589E-3</c:v>
                </c:pt>
                <c:pt idx="16">
                  <c:v>2.8799782335135874E-3</c:v>
                </c:pt>
                <c:pt idx="17">
                  <c:v>2.8592141510801802E-3</c:v>
                </c:pt>
                <c:pt idx="18">
                  <c:v>2.8360881542699732E-3</c:v>
                </c:pt>
                <c:pt idx="19">
                  <c:v>2.8109376594225082E-3</c:v>
                </c:pt>
                <c:pt idx="20">
                  <c:v>2.7840387344519584E-3</c:v>
                </c:pt>
                <c:pt idx="21">
                  <c:v>2.7556194354613327E-3</c:v>
                </c:pt>
                <c:pt idx="22">
                  <c:v>2.725869809203143E-3</c:v>
                </c:pt>
                <c:pt idx="23">
                  <c:v>2.6949494949494949E-3</c:v>
                </c:pt>
                <c:pt idx="24">
                  <c:v>2.6629935720844816E-3</c:v>
                </c:pt>
                <c:pt idx="25">
                  <c:v>2.6301171082315868E-3</c:v>
                </c:pt>
                <c:pt idx="26">
                  <c:v>2.5964187327823696E-3</c:v>
                </c:pt>
                <c:pt idx="27">
                  <c:v>2.5619834710743808E-3</c:v>
                </c:pt>
                <c:pt idx="28">
                  <c:v>2.526885011733497E-3</c:v>
                </c:pt>
                <c:pt idx="29">
                  <c:v>2.4911875351758058E-3</c:v>
                </c:pt>
                <c:pt idx="30">
                  <c:v>2.454947199265381E-3</c:v>
                </c:pt>
                <c:pt idx="31">
                  <c:v>2.4182133548524736E-3</c:v>
                </c:pt>
                <c:pt idx="32">
                  <c:v>2.3810295468049483E-3</c:v>
                </c:pt>
                <c:pt idx="33">
                  <c:v>2.343434343434344E-3</c:v>
                </c:pt>
                <c:pt idx="34">
                  <c:v>2.3054620276842502E-3</c:v>
                </c:pt>
                <c:pt idx="35">
                  <c:v>2.267143176234086E-3</c:v>
                </c:pt>
                <c:pt idx="36">
                  <c:v>2.2285051471654348E-3</c:v>
                </c:pt>
                <c:pt idx="37">
                  <c:v>2.1895724926027957E-3</c:v>
                </c:pt>
                <c:pt idx="38">
                  <c:v>2.1503673094582188E-3</c:v>
                </c:pt>
                <c:pt idx="39">
                  <c:v>2.1109095388474552E-3</c:v>
                </c:pt>
                <c:pt idx="40">
                  <c:v>2.0712172227323744E-3</c:v>
                </c:pt>
                <c:pt idx="41">
                  <c:v>2.0313067247528138E-3</c:v>
                </c:pt>
                <c:pt idx="42">
                  <c:v>1.9911929209449871E-3</c:v>
                </c:pt>
                <c:pt idx="43">
                  <c:v>1.9508893650307794E-3</c:v>
                </c:pt>
                <c:pt idx="44">
                  <c:v>1.9104084321475629E-3</c:v>
                </c:pt>
                <c:pt idx="45">
                  <c:v>1.8697614442295296E-3</c:v>
                </c:pt>
              </c:numCache>
            </c:numRef>
          </c:val>
          <c:extLst>
            <c:ext xmlns:c16="http://schemas.microsoft.com/office/drawing/2014/chart" uri="{C3380CC4-5D6E-409C-BE32-E72D297353CC}">
              <c16:uniqueId val="{00000002-AA9F-4562-9DDD-C1F215640106}"/>
            </c:ext>
          </c:extLst>
        </c:ser>
        <c:ser>
          <c:idx val="3"/>
          <c:order val="3"/>
          <c:tx>
            <c:strRef>
              <c:f>'Ej. 3'!$T$58</c:f>
              <c:strCache>
                <c:ptCount val="1"/>
                <c:pt idx="0">
                  <c:v>3</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3'!$T$59:$T$104</c:f>
              <c:numCache>
                <c:formatCode>0.00%</c:formatCode>
                <c:ptCount val="46"/>
                <c:pt idx="0">
                  <c:v>0</c:v>
                </c:pt>
                <c:pt idx="1">
                  <c:v>1.4478114478114479E-3</c:v>
                </c:pt>
                <c:pt idx="2">
                  <c:v>2.2901744719926545E-3</c:v>
                </c:pt>
                <c:pt idx="3">
                  <c:v>2.8298132843587388E-3</c:v>
                </c:pt>
                <c:pt idx="4">
                  <c:v>3.1964668328304693E-3</c:v>
                </c:pt>
                <c:pt idx="5">
                  <c:v>3.4550045913682276E-3</c:v>
                </c:pt>
                <c:pt idx="6">
                  <c:v>3.6414651566166723E-3</c:v>
                </c:pt>
                <c:pt idx="7">
                  <c:v>3.7774716865625951E-3</c:v>
                </c:pt>
                <c:pt idx="8">
                  <c:v>3.8767843726521412E-3</c:v>
                </c:pt>
                <c:pt idx="9">
                  <c:v>3.9485766758494039E-3</c:v>
                </c:pt>
                <c:pt idx="10">
                  <c:v>3.9991994537449081E-3</c:v>
                </c:pt>
                <c:pt idx="11">
                  <c:v>4.0331890331890335E-3</c:v>
                </c:pt>
                <c:pt idx="12">
                  <c:v>4.0538720538720544E-3</c:v>
                </c:pt>
                <c:pt idx="13">
                  <c:v>4.0637434955616775E-3</c:v>
                </c:pt>
                <c:pt idx="14">
                  <c:v>4.0647112839626211E-3</c:v>
                </c:pt>
                <c:pt idx="15">
                  <c:v>4.0582593612896638E-3</c:v>
                </c:pt>
                <c:pt idx="16">
                  <c:v>4.0455592608702661E-3</c:v>
                </c:pt>
                <c:pt idx="17">
                  <c:v>4.0275482093663911E-3</c:v>
                </c:pt>
                <c:pt idx="18">
                  <c:v>4.0049849140758233E-3</c:v>
                </c:pt>
                <c:pt idx="19">
                  <c:v>3.9784901355149295E-3</c:v>
                </c:pt>
                <c:pt idx="20">
                  <c:v>3.9485766758494039E-3</c:v>
                </c:pt>
                <c:pt idx="21">
                  <c:v>3.9156718702173252E-3</c:v>
                </c:pt>
                <c:pt idx="22">
                  <c:v>3.8801346801346803E-3</c:v>
                </c:pt>
                <c:pt idx="23">
                  <c:v>3.8422688422688417E-3</c:v>
                </c:pt>
                <c:pt idx="24">
                  <c:v>3.8023330952623884E-3</c:v>
                </c:pt>
                <c:pt idx="25">
                  <c:v>3.7605492150946701E-3</c:v>
                </c:pt>
                <c:pt idx="26">
                  <c:v>3.7171083879547835E-3</c:v>
                </c:pt>
                <c:pt idx="27">
                  <c:v>3.672176308539945E-3</c:v>
                </c:pt>
                <c:pt idx="28">
                  <c:v>3.6258972915864411E-3</c:v>
                </c:pt>
                <c:pt idx="29">
                  <c:v>3.5783976124885222E-3</c:v>
                </c:pt>
                <c:pt idx="30">
                  <c:v>3.5297882405320416E-3</c:v>
                </c:pt>
                <c:pt idx="31">
                  <c:v>3.4801670897927585E-3</c:v>
                </c:pt>
                <c:pt idx="32">
                  <c:v>3.4296208841663391E-3</c:v>
                </c:pt>
                <c:pt idx="33">
                  <c:v>3.3782267115600451E-3</c:v>
                </c:pt>
                <c:pt idx="34">
                  <c:v>3.3260533260533261E-3</c:v>
                </c:pt>
                <c:pt idx="35">
                  <c:v>3.2731622444541106E-3</c:v>
                </c:pt>
                <c:pt idx="36">
                  <c:v>3.2196086741541293E-3</c:v>
                </c:pt>
                <c:pt idx="37">
                  <c:v>3.165442301805938E-3</c:v>
                </c:pt>
                <c:pt idx="38">
                  <c:v>3.1107079665837981E-3</c:v>
                </c:pt>
                <c:pt idx="39">
                  <c:v>3.0554462372644189E-3</c:v>
                </c:pt>
                <c:pt idx="40">
                  <c:v>2.9996939087848177E-3</c:v>
                </c:pt>
                <c:pt idx="41">
                  <c:v>2.9434844310877368E-3</c:v>
                </c:pt>
                <c:pt idx="42">
                  <c:v>2.8868482807876752E-3</c:v>
                </c:pt>
                <c:pt idx="43">
                  <c:v>2.8298132843587393E-3</c:v>
                </c:pt>
                <c:pt idx="44">
                  <c:v>2.7724049000644748E-3</c:v>
                </c:pt>
                <c:pt idx="45">
                  <c:v>2.7146464646464648E-3</c:v>
                </c:pt>
              </c:numCache>
            </c:numRef>
          </c:val>
          <c:extLst>
            <c:ext xmlns:c16="http://schemas.microsoft.com/office/drawing/2014/chart" uri="{C3380CC4-5D6E-409C-BE32-E72D297353CC}">
              <c16:uniqueId val="{00000003-AA9F-4562-9DDD-C1F215640106}"/>
            </c:ext>
          </c:extLst>
        </c:ser>
        <c:ser>
          <c:idx val="4"/>
          <c:order val="4"/>
          <c:tx>
            <c:strRef>
              <c:f>'Ej. 3'!$U$58</c:f>
              <c:strCache>
                <c:ptCount val="1"/>
                <c:pt idx="0">
                  <c:v>4</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3'!$U$59:$U$104</c:f>
              <c:numCache>
                <c:formatCode>0.00%</c:formatCode>
                <c:ptCount val="46"/>
                <c:pt idx="0">
                  <c:v>0</c:v>
                </c:pt>
                <c:pt idx="1">
                  <c:v>1.5263748597081931E-3</c:v>
                </c:pt>
                <c:pt idx="2">
                  <c:v>2.5150494847464545E-3</c:v>
                </c:pt>
                <c:pt idx="3">
                  <c:v>3.1964668328304693E-3</c:v>
                </c:pt>
                <c:pt idx="4">
                  <c:v>3.6858483828180796E-3</c:v>
                </c:pt>
                <c:pt idx="5">
                  <c:v>4.0472060674080872E-3</c:v>
                </c:pt>
                <c:pt idx="6">
                  <c:v>4.3189470462197729E-3</c:v>
                </c:pt>
                <c:pt idx="7">
                  <c:v>4.5255122390108612E-3</c:v>
                </c:pt>
                <c:pt idx="8">
                  <c:v>4.6831955922865013E-3</c:v>
                </c:pt>
                <c:pt idx="9">
                  <c:v>4.8032775305502573E-3</c:v>
                </c:pt>
                <c:pt idx="10">
                  <c:v>4.8938154998761059E-3</c:v>
                </c:pt>
                <c:pt idx="11">
                  <c:v>4.9607182940516279E-3</c:v>
                </c:pt>
                <c:pt idx="12">
                  <c:v>5.008417508417508E-3</c:v>
                </c:pt>
                <c:pt idx="13">
                  <c:v>5.0403020099989791E-3</c:v>
                </c:pt>
                <c:pt idx="14">
                  <c:v>5.059007584260109E-3</c:v>
                </c:pt>
                <c:pt idx="15">
                  <c:v>5.0666151144620033E-3</c:v>
                </c:pt>
                <c:pt idx="16">
                  <c:v>5.0647893072135498E-3</c:v>
                </c:pt>
                <c:pt idx="17">
                  <c:v>5.0548777821505086E-3</c:v>
                </c:pt>
                <c:pt idx="18">
                  <c:v>5.0379831371566907E-3</c:v>
                </c:pt>
                <c:pt idx="19">
                  <c:v>5.0150162139621949E-3</c:v>
                </c:pt>
                <c:pt idx="20">
                  <c:v>4.986736047342108E-3</c:v>
                </c:pt>
                <c:pt idx="21">
                  <c:v>4.953780226507499E-3</c:v>
                </c:pt>
                <c:pt idx="22">
                  <c:v>4.916688250021584E-3</c:v>
                </c:pt>
                <c:pt idx="23">
                  <c:v>4.8759196907345046E-3</c:v>
                </c:pt>
                <c:pt idx="24">
                  <c:v>4.8318684682321037E-3</c:v>
                </c:pt>
                <c:pt idx="25">
                  <c:v>4.7848741683642424E-3</c:v>
                </c:pt>
                <c:pt idx="26">
                  <c:v>4.7352310988674623E-3</c:v>
                </c:pt>
                <c:pt idx="27">
                  <c:v>4.6831955922865013E-3</c:v>
                </c:pt>
                <c:pt idx="28">
                  <c:v>4.6289919395979999E-3</c:v>
                </c:pt>
                <c:pt idx="29">
                  <c:v>4.5728172449935539E-3</c:v>
                </c:pt>
                <c:pt idx="30">
                  <c:v>4.5148454239363322E-3</c:v>
                </c:pt>
                <c:pt idx="31">
                  <c:v>4.4552305158365767E-3</c:v>
                </c:pt>
                <c:pt idx="32">
                  <c:v>4.3941094446144947E-3</c:v>
                </c:pt>
                <c:pt idx="33">
                  <c:v>4.331604331604331E-3</c:v>
                </c:pt>
                <c:pt idx="34">
                  <c:v>4.267824443263039E-3</c:v>
                </c:pt>
                <c:pt idx="35">
                  <c:v>4.202867839231475E-3</c:v>
                </c:pt>
                <c:pt idx="36">
                  <c:v>4.1368227731864099E-3</c:v>
                </c:pt>
                <c:pt idx="37">
                  <c:v>4.0697688886898054E-3</c:v>
                </c:pt>
                <c:pt idx="38">
                  <c:v>4.0017782442024865E-3</c:v>
                </c:pt>
                <c:pt idx="39">
                  <c:v>3.9329161950726428E-3</c:v>
                </c:pt>
                <c:pt idx="40">
                  <c:v>3.8632421552531743E-3</c:v>
                </c:pt>
                <c:pt idx="41">
                  <c:v>3.7928102574567224E-3</c:v>
                </c:pt>
                <c:pt idx="42">
                  <c:v>3.721669927203524E-3</c:v>
                </c:pt>
                <c:pt idx="43">
                  <c:v>3.6498663835865643E-3</c:v>
                </c:pt>
                <c:pt idx="44">
                  <c:v>3.5774410774410772E-3</c:v>
                </c:pt>
                <c:pt idx="45">
                  <c:v>3.5044320758606472E-3</c:v>
                </c:pt>
              </c:numCache>
            </c:numRef>
          </c:val>
          <c:extLst>
            <c:ext xmlns:c16="http://schemas.microsoft.com/office/drawing/2014/chart" uri="{C3380CC4-5D6E-409C-BE32-E72D297353CC}">
              <c16:uniqueId val="{00000004-AA9F-4562-9DDD-C1F215640106}"/>
            </c:ext>
          </c:extLst>
        </c:ser>
        <c:ser>
          <c:idx val="5"/>
          <c:order val="5"/>
          <c:tx>
            <c:strRef>
              <c:f>'Ej. 3'!$V$58</c:f>
              <c:strCache>
                <c:ptCount val="1"/>
                <c:pt idx="0">
                  <c:v>5</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3'!$V$59:$V$104</c:f>
              <c:numCache>
                <c:formatCode>0.00%</c:formatCode>
                <c:ptCount val="46"/>
                <c:pt idx="0">
                  <c:v>0</c:v>
                </c:pt>
                <c:pt idx="1">
                  <c:v>1.5712682379349044E-3</c:v>
                </c:pt>
                <c:pt idx="2">
                  <c:v>2.6629935720844816E-3</c:v>
                </c:pt>
                <c:pt idx="3">
                  <c:v>3.4550045913682276E-3</c:v>
                </c:pt>
                <c:pt idx="4">
                  <c:v>4.0472060674080872E-3</c:v>
                </c:pt>
                <c:pt idx="5">
                  <c:v>4.4995408631772257E-3</c:v>
                </c:pt>
                <c:pt idx="6">
                  <c:v>4.8501544369312956E-3</c:v>
                </c:pt>
                <c:pt idx="7">
                  <c:v>5.1244770941740632E-3</c:v>
                </c:pt>
                <c:pt idx="8">
                  <c:v>5.3401144310235215E-3</c:v>
                </c:pt>
                <c:pt idx="9">
                  <c:v>5.5096418732782362E-3</c:v>
                </c:pt>
                <c:pt idx="10">
                  <c:v>5.6422813998571577E-3</c:v>
                </c:pt>
                <c:pt idx="11">
                  <c:v>5.7449494949494946E-3</c:v>
                </c:pt>
                <c:pt idx="12">
                  <c:v>5.8229352346999396E-3</c:v>
                </c:pt>
                <c:pt idx="13">
                  <c:v>5.8803523449988092E-3</c:v>
                </c:pt>
                <c:pt idx="14">
                  <c:v>5.9204485041805602E-3</c:v>
                </c:pt>
                <c:pt idx="15">
                  <c:v>5.9458218549127625E-3</c:v>
                </c:pt>
                <c:pt idx="16">
                  <c:v>5.9585756555453522E-3</c:v>
                </c:pt>
                <c:pt idx="17">
                  <c:v>5.9604307538191825E-3</c:v>
                </c:pt>
                <c:pt idx="18">
                  <c:v>5.952808719607139E-3</c:v>
                </c:pt>
                <c:pt idx="19">
                  <c:v>5.9368941944699513E-3</c:v>
                </c:pt>
                <c:pt idx="20">
                  <c:v>5.9136822773186402E-3</c:v>
                </c:pt>
                <c:pt idx="21">
                  <c:v>5.884014974924065E-3</c:v>
                </c:pt>
                <c:pt idx="22">
                  <c:v>5.8486095523132553E-3</c:v>
                </c:pt>
                <c:pt idx="23">
                  <c:v>5.8080808080808064E-3</c:v>
                </c:pt>
                <c:pt idx="24">
                  <c:v>5.7629587410151671E-3</c:v>
                </c:pt>
                <c:pt idx="25">
                  <c:v>5.713702683399653E-3</c:v>
                </c:pt>
                <c:pt idx="26">
                  <c:v>5.6607126988358651E-3</c:v>
                </c:pt>
                <c:pt idx="27">
                  <c:v>5.6043388429752056E-3</c:v>
                </c:pt>
                <c:pt idx="28">
                  <c:v>5.5448887404810259E-3</c:v>
                </c:pt>
                <c:pt idx="29">
                  <c:v>5.4826338248798144E-3</c:v>
                </c:pt>
                <c:pt idx="30">
                  <c:v>5.4178145087235979E-3</c:v>
                </c:pt>
                <c:pt idx="31">
                  <c:v>5.3506444920586324E-3</c:v>
                </c:pt>
                <c:pt idx="32">
                  <c:v>5.2813143722234635E-3</c:v>
                </c:pt>
                <c:pt idx="33">
                  <c:v>5.2099946836788938E-3</c:v>
                </c:pt>
                <c:pt idx="34">
                  <c:v>5.1368384701718029E-3</c:v>
                </c:pt>
                <c:pt idx="35">
                  <c:v>5.06198347107438E-3</c:v>
                </c:pt>
                <c:pt idx="36">
                  <c:v>4.9855539877712825E-3</c:v>
                </c:pt>
                <c:pt idx="37">
                  <c:v>4.9076624834200593E-3</c:v>
                </c:pt>
                <c:pt idx="38">
                  <c:v>4.8284109594891834E-3</c:v>
                </c:pt>
                <c:pt idx="39">
                  <c:v>4.7478921445863595E-3</c:v>
                </c:pt>
                <c:pt idx="40">
                  <c:v>4.6661905247763827E-3</c:v>
                </c:pt>
                <c:pt idx="41">
                  <c:v>4.583383239509721E-3</c:v>
                </c:pt>
                <c:pt idx="42">
                  <c:v>4.4995408631772265E-3</c:v>
                </c:pt>
                <c:pt idx="43">
                  <c:v>4.414728088970513E-3</c:v>
                </c:pt>
                <c:pt idx="44">
                  <c:v>4.3290043290043281E-3</c:v>
                </c:pt>
                <c:pt idx="45">
                  <c:v>4.242424242424242E-3</c:v>
                </c:pt>
              </c:numCache>
            </c:numRef>
          </c:val>
          <c:extLst>
            <c:ext xmlns:c16="http://schemas.microsoft.com/office/drawing/2014/chart" uri="{C3380CC4-5D6E-409C-BE32-E72D297353CC}">
              <c16:uniqueId val="{00000005-AA9F-4562-9DDD-C1F215640106}"/>
            </c:ext>
          </c:extLst>
        </c:ser>
        <c:ser>
          <c:idx val="6"/>
          <c:order val="6"/>
          <c:tx>
            <c:strRef>
              <c:f>'Ej. 3'!$W$58</c:f>
              <c:strCache>
                <c:ptCount val="1"/>
                <c:pt idx="0">
                  <c:v>6</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3'!$W$59:$W$104</c:f>
              <c:numCache>
                <c:formatCode>0.00%</c:formatCode>
                <c:ptCount val="46"/>
                <c:pt idx="0">
                  <c:v>0</c:v>
                </c:pt>
                <c:pt idx="1">
                  <c:v>1.5969215969215971E-3</c:v>
                </c:pt>
                <c:pt idx="2">
                  <c:v>2.7628558310376495E-3</c:v>
                </c:pt>
                <c:pt idx="3">
                  <c:v>3.6414651566166723E-3</c:v>
                </c:pt>
                <c:pt idx="4">
                  <c:v>4.3189470462197729E-3</c:v>
                </c:pt>
                <c:pt idx="5">
                  <c:v>4.8501544369312956E-3</c:v>
                </c:pt>
                <c:pt idx="6">
                  <c:v>5.2716559534741357E-3</c:v>
                </c:pt>
                <c:pt idx="7">
                  <c:v>5.608768336041064E-3</c:v>
                </c:pt>
                <c:pt idx="8">
                  <c:v>5.8795749704840614E-3</c:v>
                </c:pt>
                <c:pt idx="9">
                  <c:v>6.0973370064279159E-3</c:v>
                </c:pt>
                <c:pt idx="10">
                  <c:v>6.2720003060912155E-3</c:v>
                </c:pt>
                <c:pt idx="11">
                  <c:v>6.4111705288175877E-3</c:v>
                </c:pt>
                <c:pt idx="12">
                  <c:v>6.5207631874298544E-3</c:v>
                </c:pt>
                <c:pt idx="13">
                  <c:v>6.6054484236302427E-3</c:v>
                </c:pt>
                <c:pt idx="14">
                  <c:v>6.6689623507805327E-3</c:v>
                </c:pt>
                <c:pt idx="15">
                  <c:v>6.7143294416021678E-3</c:v>
                </c:pt>
                <c:pt idx="16">
                  <c:v>6.7440242646854224E-3</c:v>
                </c:pt>
                <c:pt idx="17">
                  <c:v>6.7600910288657329E-3</c:v>
                </c:pt>
                <c:pt idx="18">
                  <c:v>6.7642332415059694E-3</c:v>
                </c:pt>
                <c:pt idx="19">
                  <c:v>6.7578818487909397E-3</c:v>
                </c:pt>
                <c:pt idx="20">
                  <c:v>6.742247651338561E-3</c:v>
                </c:pt>
                <c:pt idx="21">
                  <c:v>6.7183620718974258E-3</c:v>
                </c:pt>
                <c:pt idx="22">
                  <c:v>6.6871091871091876E-3</c:v>
                </c:pt>
                <c:pt idx="23">
                  <c:v>6.6492511320097522E-3</c:v>
                </c:pt>
                <c:pt idx="24">
                  <c:v>6.6054484236302419E-3</c:v>
                </c:pt>
                <c:pt idx="25">
                  <c:v>6.5562763509977593E-3</c:v>
                </c:pt>
                <c:pt idx="26">
                  <c:v>6.5022382920110191E-3</c:v>
                </c:pt>
                <c:pt idx="27">
                  <c:v>6.4437766090658655E-3</c:v>
                </c:pt>
                <c:pt idx="28">
                  <c:v>6.3812816219233331E-3</c:v>
                </c:pt>
                <c:pt idx="29">
                  <c:v>6.3150990423717704E-3</c:v>
                </c:pt>
                <c:pt idx="30">
                  <c:v>6.2455361697785934E-3</c:v>
                </c:pt>
                <c:pt idx="31">
                  <c:v>6.172867081957991E-3</c:v>
                </c:pt>
                <c:pt idx="32">
                  <c:v>6.0973370064279159E-3</c:v>
                </c:pt>
                <c:pt idx="33">
                  <c:v>6.0191660191660197E-3</c:v>
                </c:pt>
                <c:pt idx="34">
                  <c:v>5.9385521885521892E-3</c:v>
                </c:pt>
                <c:pt idx="35">
                  <c:v>5.8556742592219312E-3</c:v>
                </c:pt>
                <c:pt idx="36">
                  <c:v>5.7706939525121355E-3</c:v>
                </c:pt>
                <c:pt idx="37">
                  <c:v>5.6837579459143948E-3</c:v>
                </c:pt>
                <c:pt idx="38">
                  <c:v>5.5949995826028885E-3</c:v>
                </c:pt>
                <c:pt idx="39">
                  <c:v>5.5045403530252024E-3</c:v>
                </c:pt>
                <c:pt idx="40">
                  <c:v>5.4124911832421716E-3</c:v>
                </c:pt>
                <c:pt idx="41">
                  <c:v>5.3189535587988192E-3</c:v>
                </c:pt>
                <c:pt idx="42">
                  <c:v>5.2240205081114169E-3</c:v>
                </c:pt>
                <c:pt idx="43">
                  <c:v>5.1277774654398039E-3</c:v>
                </c:pt>
                <c:pt idx="44">
                  <c:v>5.0303030303030308E-3</c:v>
                </c:pt>
                <c:pt idx="45">
                  <c:v>4.9316696375519909E-3</c:v>
                </c:pt>
              </c:numCache>
            </c:numRef>
          </c:val>
          <c:extLst>
            <c:ext xmlns:c16="http://schemas.microsoft.com/office/drawing/2014/chart" uri="{C3380CC4-5D6E-409C-BE32-E72D297353CC}">
              <c16:uniqueId val="{00000006-AA9F-4562-9DDD-C1F215640106}"/>
            </c:ext>
          </c:extLst>
        </c:ser>
        <c:ser>
          <c:idx val="7"/>
          <c:order val="7"/>
          <c:tx>
            <c:strRef>
              <c:f>'Ej. 3'!$X$58</c:f>
              <c:strCache>
                <c:ptCount val="1"/>
                <c:pt idx="0">
                  <c:v>7</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3'!$X$59:$X$104</c:f>
              <c:numCache>
                <c:formatCode>0.00%</c:formatCode>
                <c:ptCount val="46"/>
                <c:pt idx="0">
                  <c:v>0</c:v>
                </c:pt>
                <c:pt idx="1">
                  <c:v>1.6105499438832771E-3</c:v>
                </c:pt>
                <c:pt idx="2">
                  <c:v>2.8306635377342449E-3</c:v>
                </c:pt>
                <c:pt idx="3">
                  <c:v>3.7774716865625951E-3</c:v>
                </c:pt>
                <c:pt idx="4">
                  <c:v>4.5255122390108612E-3</c:v>
                </c:pt>
                <c:pt idx="5">
                  <c:v>5.1244770941740632E-3</c:v>
                </c:pt>
                <c:pt idx="6">
                  <c:v>5.608768336041064E-3</c:v>
                </c:pt>
                <c:pt idx="7">
                  <c:v>6.0029588817467599E-3</c:v>
                </c:pt>
                <c:pt idx="8">
                  <c:v>6.325068870523416E-3</c:v>
                </c:pt>
                <c:pt idx="9">
                  <c:v>6.5886134067952244E-3</c:v>
                </c:pt>
                <c:pt idx="10">
                  <c:v>6.803927570415984E-3</c:v>
                </c:pt>
                <c:pt idx="11">
                  <c:v>6.979049756827534E-3</c:v>
                </c:pt>
                <c:pt idx="12">
                  <c:v>7.1203260676944886E-3</c:v>
                </c:pt>
                <c:pt idx="13">
                  <c:v>7.2328333843485349E-3</c:v>
                </c:pt>
                <c:pt idx="14">
                  <c:v>7.3206815631058049E-3</c:v>
                </c:pt>
                <c:pt idx="15">
                  <c:v>7.3872332136794942E-3</c:v>
                </c:pt>
                <c:pt idx="16">
                  <c:v>7.4352661440935481E-3</c:v>
                </c:pt>
                <c:pt idx="17">
                  <c:v>7.467095194367921E-3</c:v>
                </c:pt>
                <c:pt idx="18">
                  <c:v>7.4846648301193754E-3</c:v>
                </c:pt>
                <c:pt idx="19">
                  <c:v>7.4896203684082464E-3</c:v>
                </c:pt>
                <c:pt idx="20">
                  <c:v>7.4833633756192681E-3</c:v>
                </c:pt>
                <c:pt idx="21">
                  <c:v>7.4670951943679202E-3</c:v>
                </c:pt>
                <c:pt idx="22">
                  <c:v>7.4418514648399705E-3</c:v>
                </c:pt>
                <c:pt idx="23">
                  <c:v>7.4085297418630741E-3</c:v>
                </c:pt>
                <c:pt idx="24">
                  <c:v>7.367911766738745E-3</c:v>
                </c:pt>
                <c:pt idx="25">
                  <c:v>7.3206815631058058E-3</c:v>
                </c:pt>
                <c:pt idx="26">
                  <c:v>7.2674402426468531E-3</c:v>
                </c:pt>
                <c:pt idx="27">
                  <c:v>7.2087181980230106E-3</c:v>
                </c:pt>
                <c:pt idx="28">
                  <c:v>7.1449852055912649E-3</c:v>
                </c:pt>
                <c:pt idx="29">
                  <c:v>7.0766588443356114E-3</c:v>
                </c:pt>
                <c:pt idx="30">
                  <c:v>7.0041115495660927E-3</c:v>
                </c:pt>
                <c:pt idx="31">
                  <c:v>6.9276765528759141E-3</c:v>
                </c:pt>
                <c:pt idx="32">
                  <c:v>6.8476529082589681E-3</c:v>
                </c:pt>
                <c:pt idx="33">
                  <c:v>6.7643097643097644E-3</c:v>
                </c:pt>
                <c:pt idx="34">
                  <c:v>6.677890011223344E-3</c:v>
                </c:pt>
                <c:pt idx="35">
                  <c:v>6.5886134067952244E-3</c:v>
                </c:pt>
                <c:pt idx="36">
                  <c:v>6.4966792662352925E-3</c:v>
                </c:pt>
                <c:pt idx="37">
                  <c:v>6.4022687851888948E-3</c:v>
                </c:pt>
                <c:pt idx="38">
                  <c:v>6.3055470530217995E-3</c:v>
                </c:pt>
                <c:pt idx="39">
                  <c:v>6.2066648035027485E-3</c:v>
                </c:pt>
                <c:pt idx="40">
                  <c:v>6.1057599419946278E-3</c:v>
                </c:pt>
                <c:pt idx="41">
                  <c:v>6.002958881746759E-3</c:v>
                </c:pt>
                <c:pt idx="42">
                  <c:v>5.8983777165595337E-3</c:v>
                </c:pt>
                <c:pt idx="43">
                  <c:v>5.7921232527293129E-3</c:v>
                </c:pt>
                <c:pt idx="44">
                  <c:v>5.6842939195880368E-3</c:v>
                </c:pt>
                <c:pt idx="45">
                  <c:v>5.5749805749805747E-3</c:v>
                </c:pt>
              </c:numCache>
            </c:numRef>
          </c:val>
          <c:extLst>
            <c:ext xmlns:c16="http://schemas.microsoft.com/office/drawing/2014/chart" uri="{C3380CC4-5D6E-409C-BE32-E72D297353CC}">
              <c16:uniqueId val="{00000007-AA9F-4562-9DDD-C1F215640106}"/>
            </c:ext>
          </c:extLst>
        </c:ser>
        <c:ser>
          <c:idx val="8"/>
          <c:order val="8"/>
          <c:tx>
            <c:strRef>
              <c:f>'Ej. 3'!$Y$58</c:f>
              <c:strCache>
                <c:ptCount val="1"/>
                <c:pt idx="0">
                  <c:v>8</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3'!$Y$59:$Y$104</c:f>
              <c:numCache>
                <c:formatCode>0.00%</c:formatCode>
                <c:ptCount val="46"/>
                <c:pt idx="0">
                  <c:v>0</c:v>
                </c:pt>
                <c:pt idx="1">
                  <c:v>1.6161616161616162E-3</c:v>
                </c:pt>
                <c:pt idx="2">
                  <c:v>2.8760330578512399E-3</c:v>
                </c:pt>
                <c:pt idx="3">
                  <c:v>3.8767843726521412E-3</c:v>
                </c:pt>
                <c:pt idx="4">
                  <c:v>4.6831955922865013E-3</c:v>
                </c:pt>
                <c:pt idx="5">
                  <c:v>5.3401144310235215E-3</c:v>
                </c:pt>
                <c:pt idx="6">
                  <c:v>5.8795749704840614E-3</c:v>
                </c:pt>
                <c:pt idx="7">
                  <c:v>6.325068870523416E-3</c:v>
                </c:pt>
                <c:pt idx="8">
                  <c:v>6.6942148760330581E-3</c:v>
                </c:pt>
                <c:pt idx="9">
                  <c:v>7.0004861448711717E-3</c:v>
                </c:pt>
                <c:pt idx="10">
                  <c:v>7.2543617998163451E-3</c:v>
                </c:pt>
                <c:pt idx="11">
                  <c:v>7.4641148325358848E-3</c:v>
                </c:pt>
                <c:pt idx="12">
                  <c:v>7.6363636363636373E-3</c:v>
                </c:pt>
                <c:pt idx="13">
                  <c:v>7.7764659582841393E-3</c:v>
                </c:pt>
                <c:pt idx="14">
                  <c:v>7.8888054094665653E-3</c:v>
                </c:pt>
                <c:pt idx="15">
                  <c:v>7.9770032339202285E-3</c:v>
                </c:pt>
                <c:pt idx="16">
                  <c:v>8.0440771349862255E-3</c:v>
                </c:pt>
                <c:pt idx="17">
                  <c:v>8.0925619834710735E-3</c:v>
                </c:pt>
                <c:pt idx="18">
                  <c:v>8.1246026700572162E-3</c:v>
                </c:pt>
                <c:pt idx="19">
                  <c:v>8.1420263238445052E-3</c:v>
                </c:pt>
                <c:pt idx="20">
                  <c:v>8.1463990554899654E-3</c:v>
                </c:pt>
                <c:pt idx="21">
                  <c:v>8.139070960387575E-3</c:v>
                </c:pt>
                <c:pt idx="22">
                  <c:v>8.1212121212121211E-3</c:v>
                </c:pt>
                <c:pt idx="23">
                  <c:v>8.0938416422287399E-3</c:v>
                </c:pt>
                <c:pt idx="24">
                  <c:v>8.057851239669421E-3</c:v>
                </c:pt>
                <c:pt idx="25">
                  <c:v>8.0140245429501638E-3</c:v>
                </c:pt>
                <c:pt idx="26">
                  <c:v>7.9630529897909575E-3</c:v>
                </c:pt>
                <c:pt idx="27">
                  <c:v>7.905548996458088E-3</c:v>
                </c:pt>
                <c:pt idx="28">
                  <c:v>7.8420569329660239E-3</c:v>
                </c:pt>
                <c:pt idx="29">
                  <c:v>7.7730623185168646E-3</c:v>
                </c:pt>
                <c:pt idx="30">
                  <c:v>7.6989995650282713E-3</c:v>
                </c:pt>
                <c:pt idx="31">
                  <c:v>7.620258529349438E-3</c:v>
                </c:pt>
                <c:pt idx="32">
                  <c:v>7.5371900826446282E-3</c:v>
                </c:pt>
                <c:pt idx="33">
                  <c:v>7.4501108647450119E-3</c:v>
                </c:pt>
                <c:pt idx="34">
                  <c:v>7.3593073593073589E-3</c:v>
                </c:pt>
                <c:pt idx="35">
                  <c:v>7.2650394003459543E-3</c:v>
                </c:pt>
                <c:pt idx="36">
                  <c:v>7.1675432006010533E-3</c:v>
                </c:pt>
                <c:pt idx="37">
                  <c:v>7.0670339761248853E-3</c:v>
                </c:pt>
                <c:pt idx="38">
                  <c:v>6.963708228530362E-3</c:v>
                </c:pt>
                <c:pt idx="39">
                  <c:v>6.8577457358888691E-3</c:v>
                </c:pt>
                <c:pt idx="40">
                  <c:v>6.7493112947658402E-3</c:v>
                </c:pt>
                <c:pt idx="41">
                  <c:v>6.638556248945859E-3</c:v>
                </c:pt>
                <c:pt idx="42">
                  <c:v>6.525619834710744E-3</c:v>
                </c:pt>
                <c:pt idx="43">
                  <c:v>6.4106303678496202E-3</c:v>
                </c:pt>
                <c:pt idx="44">
                  <c:v>6.2937062937062933E-3</c:v>
                </c:pt>
                <c:pt idx="45">
                  <c:v>6.1749571183533445E-3</c:v>
                </c:pt>
              </c:numCache>
            </c:numRef>
          </c:val>
          <c:extLst>
            <c:ext xmlns:c16="http://schemas.microsoft.com/office/drawing/2014/chart" uri="{C3380CC4-5D6E-409C-BE32-E72D297353CC}">
              <c16:uniqueId val="{00000008-AA9F-4562-9DDD-C1F215640106}"/>
            </c:ext>
          </c:extLst>
        </c:ser>
        <c:ser>
          <c:idx val="9"/>
          <c:order val="9"/>
          <c:tx>
            <c:strRef>
              <c:f>'Ej. 3'!$Z$58</c:f>
              <c:strCache>
                <c:ptCount val="1"/>
                <c:pt idx="0">
                  <c:v>9</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3'!$Z$59:$Z$104</c:f>
              <c:numCache>
                <c:formatCode>0.00%</c:formatCode>
                <c:ptCount val="46"/>
                <c:pt idx="0">
                  <c:v>0</c:v>
                </c:pt>
                <c:pt idx="1">
                  <c:v>1.6161616161616162E-3</c:v>
                </c:pt>
                <c:pt idx="2">
                  <c:v>2.9050838968194344E-3</c:v>
                </c:pt>
                <c:pt idx="3">
                  <c:v>3.9485766758494039E-3</c:v>
                </c:pt>
                <c:pt idx="4">
                  <c:v>4.8032775305502573E-3</c:v>
                </c:pt>
                <c:pt idx="5">
                  <c:v>5.5096418732782362E-3</c:v>
                </c:pt>
                <c:pt idx="6">
                  <c:v>6.0973370064279159E-3</c:v>
                </c:pt>
                <c:pt idx="7">
                  <c:v>6.5886134067952244E-3</c:v>
                </c:pt>
                <c:pt idx="8">
                  <c:v>7.0004861448711717E-3</c:v>
                </c:pt>
                <c:pt idx="9">
                  <c:v>7.3461891643709825E-3</c:v>
                </c:pt>
                <c:pt idx="10">
                  <c:v>7.6361703155961537E-3</c:v>
                </c:pt>
                <c:pt idx="11">
                  <c:v>7.8787878787878792E-3</c:v>
                </c:pt>
                <c:pt idx="12">
                  <c:v>8.0808080808080808E-3</c:v>
                </c:pt>
                <c:pt idx="13">
                  <c:v>8.2477669254528759E-3</c:v>
                </c:pt>
                <c:pt idx="14">
                  <c:v>8.384237633249492E-3</c:v>
                </c:pt>
                <c:pt idx="15">
                  <c:v>8.4940312213039482E-3</c:v>
                </c:pt>
                <c:pt idx="16">
                  <c:v>8.5803489439853081E-3</c:v>
                </c:pt>
                <c:pt idx="17">
                  <c:v>8.6458995549904653E-3</c:v>
                </c:pt>
                <c:pt idx="18">
                  <c:v>8.6929905111723296E-3</c:v>
                </c:pt>
                <c:pt idx="19">
                  <c:v>8.7235996326905426E-3</c:v>
                </c:pt>
                <c:pt idx="20">
                  <c:v>8.7394319369240997E-3</c:v>
                </c:pt>
                <c:pt idx="21">
                  <c:v>8.7419651056014694E-3</c:v>
                </c:pt>
                <c:pt idx="22">
                  <c:v>8.7324861518409905E-3</c:v>
                </c:pt>
                <c:pt idx="23">
                  <c:v>8.712121212121211E-3</c:v>
                </c:pt>
                <c:pt idx="24">
                  <c:v>8.6818599215293425E-3</c:v>
                </c:pt>
                <c:pt idx="25">
                  <c:v>8.6425754874952746E-3</c:v>
                </c:pt>
                <c:pt idx="26">
                  <c:v>8.5950413223140499E-3</c:v>
                </c:pt>
                <c:pt idx="27">
                  <c:v>8.5399449035812661E-3</c:v>
                </c:pt>
                <c:pt idx="28">
                  <c:v>8.4778993869902963E-3</c:v>
                </c:pt>
                <c:pt idx="29">
                  <c:v>8.4094533855299421E-3</c:v>
                </c:pt>
                <c:pt idx="30">
                  <c:v>8.3350992441901528E-3</c:v>
                </c:pt>
                <c:pt idx="31">
                  <c:v>8.2552800734618913E-3</c:v>
                </c:pt>
                <c:pt idx="32">
                  <c:v>8.1703957535443142E-3</c:v>
                </c:pt>
                <c:pt idx="33">
                  <c:v>8.0808080808080808E-3</c:v>
                </c:pt>
                <c:pt idx="34">
                  <c:v>7.9868451961475212E-3</c:v>
                </c:pt>
                <c:pt idx="35">
                  <c:v>7.888805409466567E-3</c:v>
                </c:pt>
                <c:pt idx="36">
                  <c:v>7.7869605142332418E-3</c:v>
                </c:pt>
                <c:pt idx="37">
                  <c:v>7.6815586697009629E-3</c:v>
                </c:pt>
                <c:pt idx="38">
                  <c:v>7.5728269151866838E-3</c:v>
                </c:pt>
                <c:pt idx="39">
                  <c:v>7.4609733700642797E-3</c:v>
                </c:pt>
                <c:pt idx="40">
                  <c:v>7.3461891643709825E-3</c:v>
                </c:pt>
                <c:pt idx="41">
                  <c:v>7.2286501377410474E-3</c:v>
                </c:pt>
                <c:pt idx="42">
                  <c:v>7.1085183384648623E-3</c:v>
                </c:pt>
                <c:pt idx="43">
                  <c:v>6.9859433495797147E-3</c:v>
                </c:pt>
                <c:pt idx="44">
                  <c:v>6.8610634648370496E-3</c:v>
                </c:pt>
                <c:pt idx="45">
                  <c:v>6.7340067340067346E-3</c:v>
                </c:pt>
              </c:numCache>
            </c:numRef>
          </c:val>
          <c:extLst>
            <c:ext xmlns:c16="http://schemas.microsoft.com/office/drawing/2014/chart" uri="{C3380CC4-5D6E-409C-BE32-E72D297353CC}">
              <c16:uniqueId val="{00000009-AA9F-4562-9DDD-C1F215640106}"/>
            </c:ext>
          </c:extLst>
        </c:ser>
        <c:ser>
          <c:idx val="10"/>
          <c:order val="10"/>
          <c:tx>
            <c:strRef>
              <c:f>'Ej. 3'!$AA$58</c:f>
              <c:strCache>
                <c:ptCount val="1"/>
                <c:pt idx="0">
                  <c:v>10</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3'!$AA$59:$AA$104</c:f>
              <c:numCache>
                <c:formatCode>0.00%</c:formatCode>
                <c:ptCount val="46"/>
                <c:pt idx="0">
                  <c:v>0</c:v>
                </c:pt>
                <c:pt idx="1">
                  <c:v>1.6120803999591878E-3</c:v>
                </c:pt>
                <c:pt idx="2">
                  <c:v>2.9218957249260284E-3</c:v>
                </c:pt>
                <c:pt idx="3">
                  <c:v>3.9991994537449081E-3</c:v>
                </c:pt>
                <c:pt idx="4">
                  <c:v>4.8938154998761059E-3</c:v>
                </c:pt>
                <c:pt idx="5">
                  <c:v>5.6422813998571577E-3</c:v>
                </c:pt>
                <c:pt idx="6">
                  <c:v>6.2720003060912155E-3</c:v>
                </c:pt>
                <c:pt idx="7">
                  <c:v>6.803927570415984E-3</c:v>
                </c:pt>
                <c:pt idx="8">
                  <c:v>7.2543617998163451E-3</c:v>
                </c:pt>
                <c:pt idx="9">
                  <c:v>7.6361703155961537E-3</c:v>
                </c:pt>
                <c:pt idx="10">
                  <c:v>7.9596469747984892E-3</c:v>
                </c:pt>
                <c:pt idx="11">
                  <c:v>8.2331248997915673E-3</c:v>
                </c:pt>
                <c:pt idx="12">
                  <c:v>8.4634220997857369E-3</c:v>
                </c:pt>
                <c:pt idx="13">
                  <c:v>8.6561708432591183E-3</c:v>
                </c:pt>
                <c:pt idx="14">
                  <c:v>8.8160646872768086E-3</c:v>
                </c:pt>
                <c:pt idx="15">
                  <c:v>8.947046219773493E-3</c:v>
                </c:pt>
                <c:pt idx="16">
                  <c:v>9.0524514766939027E-3</c:v>
                </c:pt>
                <c:pt idx="17">
                  <c:v>9.1351222664353988E-3</c:v>
                </c:pt>
                <c:pt idx="18">
                  <c:v>9.1974944247671525E-3</c:v>
                </c:pt>
                <c:pt idx="19">
                  <c:v>9.2416678101108606E-3</c:v>
                </c:pt>
                <c:pt idx="20">
                  <c:v>9.2694622997653315E-3</c:v>
                </c:pt>
                <c:pt idx="21">
                  <c:v>9.2824629481520985E-3</c:v>
                </c:pt>
                <c:pt idx="22">
                  <c:v>9.2820566778900118E-3</c:v>
                </c:pt>
                <c:pt idx="23">
                  <c:v>9.2694622997653298E-3</c:v>
                </c:pt>
                <c:pt idx="24">
                  <c:v>9.2457552350600474E-3</c:v>
                </c:pt>
                <c:pt idx="25">
                  <c:v>9.2118879997667904E-3</c:v>
                </c:pt>
                <c:pt idx="26">
                  <c:v>9.1687072747678802E-3</c:v>
                </c:pt>
                <c:pt idx="27">
                  <c:v>9.1169682078773E-3</c:v>
                </c:pt>
                <c:pt idx="28">
                  <c:v>9.0573464576654376E-3</c:v>
                </c:pt>
                <c:pt idx="29">
                  <c:v>8.9904483843877801E-3</c:v>
                </c:pt>
                <c:pt idx="30">
                  <c:v>8.9168197122742564E-3</c:v>
                </c:pt>
                <c:pt idx="31">
                  <c:v>8.8369529241665232E-3</c:v>
                </c:pt>
                <c:pt idx="32">
                  <c:v>8.7512935997784494E-3</c:v>
                </c:pt>
                <c:pt idx="33">
                  <c:v>8.660245869548196E-3</c:v>
                </c:pt>
                <c:pt idx="34">
                  <c:v>8.5641771247831847E-3</c:v>
                </c:pt>
                <c:pt idx="35">
                  <c:v>8.4634220997857369E-3</c:v>
                </c:pt>
                <c:pt idx="36">
                  <c:v>8.3582864215275294E-3</c:v>
                </c:pt>
                <c:pt idx="37">
                  <c:v>8.2490497061741431E-3</c:v>
                </c:pt>
                <c:pt idx="38">
                  <c:v>8.1359682685440259E-3</c:v>
                </c:pt>
                <c:pt idx="39">
                  <c:v>8.0192774997969816E-3</c:v>
                </c:pt>
                <c:pt idx="40">
                  <c:v>7.8991939598000212E-3</c:v>
                </c:pt>
                <c:pt idx="41">
                  <c:v>7.7759172233325532E-3</c:v>
                </c:pt>
                <c:pt idx="42">
                  <c:v>7.6496315132678766E-3</c:v>
                </c:pt>
                <c:pt idx="43">
                  <c:v>7.520507148866212E-3</c:v>
                </c:pt>
                <c:pt idx="44">
                  <c:v>7.3887018331462778E-3</c:v>
                </c:pt>
                <c:pt idx="45">
                  <c:v>7.2543617998163459E-3</c:v>
                </c:pt>
              </c:numCache>
            </c:numRef>
          </c:val>
          <c:extLst>
            <c:ext xmlns:c16="http://schemas.microsoft.com/office/drawing/2014/chart" uri="{C3380CC4-5D6E-409C-BE32-E72D297353CC}">
              <c16:uniqueId val="{0000000A-AA9F-4562-9DDD-C1F215640106}"/>
            </c:ext>
          </c:extLst>
        </c:ser>
        <c:ser>
          <c:idx val="11"/>
          <c:order val="11"/>
          <c:tx>
            <c:strRef>
              <c:f>'Ej. 3'!$AB$58</c:f>
              <c:strCache>
                <c:ptCount val="1"/>
                <c:pt idx="0">
                  <c:v>11</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3'!$AB$59:$AB$104</c:f>
              <c:numCache>
                <c:formatCode>0.00%</c:formatCode>
                <c:ptCount val="46"/>
                <c:pt idx="0">
                  <c:v>0</c:v>
                </c:pt>
                <c:pt idx="1">
                  <c:v>1.6049382716049384E-3</c:v>
                </c:pt>
                <c:pt idx="2">
                  <c:v>2.9292929292929299E-3</c:v>
                </c:pt>
                <c:pt idx="3">
                  <c:v>4.0331890331890335E-3</c:v>
                </c:pt>
                <c:pt idx="4">
                  <c:v>4.9607182940516279E-3</c:v>
                </c:pt>
                <c:pt idx="5">
                  <c:v>5.7449494949494946E-3</c:v>
                </c:pt>
                <c:pt idx="6">
                  <c:v>6.4111705288175877E-3</c:v>
                </c:pt>
                <c:pt idx="7">
                  <c:v>6.979049756827534E-3</c:v>
                </c:pt>
                <c:pt idx="8">
                  <c:v>7.4641148325358848E-3</c:v>
                </c:pt>
                <c:pt idx="9">
                  <c:v>7.8787878787878792E-3</c:v>
                </c:pt>
                <c:pt idx="10">
                  <c:v>8.2331248997915673E-3</c:v>
                </c:pt>
                <c:pt idx="11">
                  <c:v>8.5353535353535365E-3</c:v>
                </c:pt>
                <c:pt idx="12">
                  <c:v>8.7922705314009662E-3</c:v>
                </c:pt>
                <c:pt idx="13">
                  <c:v>9.0095398428731762E-3</c:v>
                </c:pt>
                <c:pt idx="14">
                  <c:v>9.1919191919191921E-3</c:v>
                </c:pt>
                <c:pt idx="15">
                  <c:v>9.3434343434343429E-3</c:v>
                </c:pt>
                <c:pt idx="16">
                  <c:v>9.4675146526998384E-3</c:v>
                </c:pt>
                <c:pt idx="17">
                  <c:v>9.5670995670995677E-3</c:v>
                </c:pt>
                <c:pt idx="18">
                  <c:v>9.6447230929989566E-3</c:v>
                </c:pt>
                <c:pt idx="19">
                  <c:v>9.7025813692480367E-3</c:v>
                </c:pt>
                <c:pt idx="20">
                  <c:v>9.7425871619420019E-3</c:v>
                </c:pt>
                <c:pt idx="21">
                  <c:v>9.7664141414141419E-3</c:v>
                </c:pt>
                <c:pt idx="22">
                  <c:v>9.7755331088664431E-3</c:v>
                </c:pt>
                <c:pt idx="23">
                  <c:v>9.7712418300653584E-3</c:v>
                </c:pt>
                <c:pt idx="24">
                  <c:v>9.7546897546897538E-3</c:v>
                </c:pt>
                <c:pt idx="25">
                  <c:v>9.7268986157875072E-3</c:v>
                </c:pt>
                <c:pt idx="26">
                  <c:v>9.6887796887796893E-3</c:v>
                </c:pt>
                <c:pt idx="27">
                  <c:v>9.6411483253588531E-3</c:v>
                </c:pt>
                <c:pt idx="28">
                  <c:v>9.5847362514029175E-3</c:v>
                </c:pt>
                <c:pt idx="29">
                  <c:v>9.5202020202020225E-3</c:v>
                </c:pt>
                <c:pt idx="30">
                  <c:v>9.4481399359448125E-3</c:v>
                </c:pt>
                <c:pt idx="31">
                  <c:v>9.3690877024210362E-3</c:v>
                </c:pt>
                <c:pt idx="32">
                  <c:v>9.2835330044632371E-3</c:v>
                </c:pt>
                <c:pt idx="33">
                  <c:v>9.1919191919191921E-3</c:v>
                </c:pt>
                <c:pt idx="34">
                  <c:v>9.094650205761317E-3</c:v>
                </c:pt>
                <c:pt idx="35">
                  <c:v>8.9920948616600809E-3</c:v>
                </c:pt>
                <c:pt idx="36">
                  <c:v>8.8845905867182481E-3</c:v>
                </c:pt>
                <c:pt idx="37">
                  <c:v>8.7724466891133564E-3</c:v>
                </c:pt>
                <c:pt idx="38">
                  <c:v>8.6559472273757994E-3</c:v>
                </c:pt>
                <c:pt idx="39">
                  <c:v>8.5353535353535365E-3</c:v>
                </c:pt>
                <c:pt idx="40">
                  <c:v>8.410906450122135E-3</c:v>
                </c:pt>
                <c:pt idx="41">
                  <c:v>8.2828282828282824E-3</c:v>
                </c:pt>
                <c:pt idx="42">
                  <c:v>8.1513245664189063E-3</c:v>
                </c:pt>
                <c:pt idx="43">
                  <c:v>8.0165856091782024E-3</c:v>
                </c:pt>
                <c:pt idx="44">
                  <c:v>7.8787878787878792E-3</c:v>
                </c:pt>
                <c:pt idx="45">
                  <c:v>7.7380952380952384E-3</c:v>
                </c:pt>
              </c:numCache>
            </c:numRef>
          </c:val>
          <c:extLst>
            <c:ext xmlns:c16="http://schemas.microsoft.com/office/drawing/2014/chart" uri="{C3380CC4-5D6E-409C-BE32-E72D297353CC}">
              <c16:uniqueId val="{0000000B-AA9F-4562-9DDD-C1F215640106}"/>
            </c:ext>
          </c:extLst>
        </c:ser>
        <c:ser>
          <c:idx val="12"/>
          <c:order val="12"/>
          <c:tx>
            <c:strRef>
              <c:f>'Ej. 3'!$AC$58</c:f>
              <c:strCache>
                <c:ptCount val="1"/>
                <c:pt idx="0">
                  <c:v>12</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3'!$AC$59:$AC$104</c:f>
              <c:numCache>
                <c:formatCode>0.00%</c:formatCode>
                <c:ptCount val="46"/>
                <c:pt idx="0">
                  <c:v>0</c:v>
                </c:pt>
                <c:pt idx="1">
                  <c:v>1.5954415954415953E-3</c:v>
                </c:pt>
                <c:pt idx="2">
                  <c:v>2.9292929292929299E-3</c:v>
                </c:pt>
                <c:pt idx="3">
                  <c:v>4.0538720538720544E-3</c:v>
                </c:pt>
                <c:pt idx="4">
                  <c:v>5.008417508417508E-3</c:v>
                </c:pt>
                <c:pt idx="5">
                  <c:v>5.8229352346999396E-3</c:v>
                </c:pt>
                <c:pt idx="6">
                  <c:v>6.5207631874298544E-3</c:v>
                </c:pt>
                <c:pt idx="7">
                  <c:v>7.1203260676944886E-3</c:v>
                </c:pt>
                <c:pt idx="8">
                  <c:v>7.6363636363636373E-3</c:v>
                </c:pt>
                <c:pt idx="9">
                  <c:v>8.0808080808080808E-3</c:v>
                </c:pt>
                <c:pt idx="10">
                  <c:v>8.4634220997857369E-3</c:v>
                </c:pt>
                <c:pt idx="11">
                  <c:v>8.7922705314009662E-3</c:v>
                </c:pt>
                <c:pt idx="12">
                  <c:v>9.0740740740740747E-3</c:v>
                </c:pt>
                <c:pt idx="13">
                  <c:v>9.3144781144781138E-3</c:v>
                </c:pt>
                <c:pt idx="14">
                  <c:v>9.518259518259518E-3</c:v>
                </c:pt>
                <c:pt idx="15">
                  <c:v>9.689487467265244E-3</c:v>
                </c:pt>
                <c:pt idx="16">
                  <c:v>9.8316498316498319E-3</c:v>
                </c:pt>
                <c:pt idx="17">
                  <c:v>9.9477533960292564E-3</c:v>
                </c:pt>
                <c:pt idx="18">
                  <c:v>1.0040404040404042E-2</c:v>
                </c:pt>
                <c:pt idx="19">
                  <c:v>1.0111871402193983E-2</c:v>
                </c:pt>
                <c:pt idx="20">
                  <c:v>1.0164141414141415E-2</c:v>
                </c:pt>
                <c:pt idx="21">
                  <c:v>1.0198959289868382E-2</c:v>
                </c:pt>
                <c:pt idx="22">
                  <c:v>1.0217864923747278E-2</c:v>
                </c:pt>
                <c:pt idx="23">
                  <c:v>1.0222222222222221E-2</c:v>
                </c:pt>
                <c:pt idx="24">
                  <c:v>1.021324354657688E-2</c:v>
                </c:pt>
                <c:pt idx="25">
                  <c:v>1.0192010192010194E-2</c:v>
                </c:pt>
                <c:pt idx="26">
                  <c:v>1.0159489633173844E-2</c:v>
                </c:pt>
                <c:pt idx="27">
                  <c:v>1.0116550116550117E-2</c:v>
                </c:pt>
                <c:pt idx="28">
                  <c:v>1.0063973063973063E-2</c:v>
                </c:pt>
                <c:pt idx="29">
                  <c:v>1.0002463661000247E-2</c:v>
                </c:pt>
                <c:pt idx="30">
                  <c:v>9.9326599326599319E-3</c:v>
                </c:pt>
                <c:pt idx="31">
                  <c:v>9.855140552814971E-3</c:v>
                </c:pt>
                <c:pt idx="32">
                  <c:v>9.7704315886134076E-3</c:v>
                </c:pt>
                <c:pt idx="33">
                  <c:v>9.6790123456790122E-3</c:v>
                </c:pt>
                <c:pt idx="34">
                  <c:v>9.5813204508856682E-3</c:v>
                </c:pt>
                <c:pt idx="35">
                  <c:v>9.4777562862669255E-3</c:v>
                </c:pt>
                <c:pt idx="36">
                  <c:v>9.36868686868687E-3</c:v>
                </c:pt>
                <c:pt idx="37">
                  <c:v>9.2544492544492547E-3</c:v>
                </c:pt>
                <c:pt idx="38">
                  <c:v>9.1353535353535346E-3</c:v>
                </c:pt>
                <c:pt idx="39">
                  <c:v>9.0116854822737177E-3</c:v>
                </c:pt>
                <c:pt idx="40">
                  <c:v>8.8837088837088844E-3</c:v>
                </c:pt>
                <c:pt idx="41">
                  <c:v>8.7516676195921479E-3</c:v>
                </c:pt>
                <c:pt idx="42">
                  <c:v>8.6157875046763942E-3</c:v>
                </c:pt>
                <c:pt idx="43">
                  <c:v>8.4762779308233862E-3</c:v>
                </c:pt>
                <c:pt idx="44">
                  <c:v>8.3333333333333332E-3</c:v>
                </c:pt>
                <c:pt idx="45">
                  <c:v>8.1871345029239772E-3</c:v>
                </c:pt>
              </c:numCache>
            </c:numRef>
          </c:val>
          <c:extLst>
            <c:ext xmlns:c16="http://schemas.microsoft.com/office/drawing/2014/chart" uri="{C3380CC4-5D6E-409C-BE32-E72D297353CC}">
              <c16:uniqueId val="{0000000C-AA9F-4562-9DDD-C1F215640106}"/>
            </c:ext>
          </c:extLst>
        </c:ser>
        <c:ser>
          <c:idx val="13"/>
          <c:order val="13"/>
          <c:tx>
            <c:strRef>
              <c:f>'Ej. 3'!$AD$58</c:f>
              <c:strCache>
                <c:ptCount val="1"/>
                <c:pt idx="0">
                  <c:v>13</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3'!$AD$59:$AD$104</c:f>
              <c:numCache>
                <c:formatCode>0.00%</c:formatCode>
                <c:ptCount val="46"/>
                <c:pt idx="0">
                  <c:v>0</c:v>
                </c:pt>
                <c:pt idx="1">
                  <c:v>1.5840949174282509E-3</c:v>
                </c:pt>
                <c:pt idx="2">
                  <c:v>2.9233751657994087E-3</c:v>
                </c:pt>
                <c:pt idx="3">
                  <c:v>4.0637434955616775E-3</c:v>
                </c:pt>
                <c:pt idx="4">
                  <c:v>5.0403020099989791E-3</c:v>
                </c:pt>
                <c:pt idx="5">
                  <c:v>5.8803523449988092E-3</c:v>
                </c:pt>
                <c:pt idx="6">
                  <c:v>6.6054484236302427E-3</c:v>
                </c:pt>
                <c:pt idx="7">
                  <c:v>7.2328333843485349E-3</c:v>
                </c:pt>
                <c:pt idx="8">
                  <c:v>7.7764659582841393E-3</c:v>
                </c:pt>
                <c:pt idx="9">
                  <c:v>8.2477669254528759E-3</c:v>
                </c:pt>
                <c:pt idx="10">
                  <c:v>8.6561708432591183E-3</c:v>
                </c:pt>
                <c:pt idx="11">
                  <c:v>9.0095398428731762E-3</c:v>
                </c:pt>
                <c:pt idx="12">
                  <c:v>9.3144781144781138E-3</c:v>
                </c:pt>
                <c:pt idx="13">
                  <c:v>9.5765738189980618E-3</c:v>
                </c:pt>
                <c:pt idx="14">
                  <c:v>9.8005872416646826E-3</c:v>
                </c:pt>
                <c:pt idx="15">
                  <c:v>9.9905986269622632E-3</c:v>
                </c:pt>
                <c:pt idx="16">
                  <c:v>1.015012542703243E-2</c:v>
                </c:pt>
                <c:pt idx="17">
                  <c:v>1.0282216100397918E-2</c:v>
                </c:pt>
                <c:pt idx="18">
                  <c:v>1.0389525756094673E-2</c:v>
                </c:pt>
                <c:pt idx="19">
                  <c:v>1.0474377614529129E-2</c:v>
                </c:pt>
                <c:pt idx="20">
                  <c:v>1.0538813293634231E-2</c:v>
                </c:pt>
                <c:pt idx="21">
                  <c:v>1.0584634220997856E-2</c:v>
                </c:pt>
                <c:pt idx="22">
                  <c:v>1.061343594676928E-2</c:v>
                </c:pt>
                <c:pt idx="23">
                  <c:v>1.0626636737747849E-2</c:v>
                </c:pt>
                <c:pt idx="24">
                  <c:v>1.0625501534592444E-2</c:v>
                </c:pt>
                <c:pt idx="25">
                  <c:v>1.0611162126313642E-2</c:v>
                </c:pt>
                <c:pt idx="26">
                  <c:v>1.0584634220997856E-2</c:v>
                </c:pt>
                <c:pt idx="27">
                  <c:v>1.0546831955922865E-2</c:v>
                </c:pt>
                <c:pt idx="28">
                  <c:v>1.0498580284241778E-2</c:v>
                </c:pt>
                <c:pt idx="29">
                  <c:v>1.0440625592140745E-2</c:v>
                </c:pt>
                <c:pt idx="30">
                  <c:v>1.0373644834532783E-2</c:v>
                </c:pt>
                <c:pt idx="31">
                  <c:v>1.0298253424975187E-2</c:v>
                </c:pt>
                <c:pt idx="32">
                  <c:v>1.0215012073597932E-2</c:v>
                </c:pt>
                <c:pt idx="33">
                  <c:v>1.0124432733128385E-2</c:v>
                </c:pt>
                <c:pt idx="34">
                  <c:v>1.0026983785849033E-2</c:v>
                </c:pt>
                <c:pt idx="35">
                  <c:v>9.9230945821854911E-3</c:v>
                </c:pt>
                <c:pt idx="36">
                  <c:v>9.8131594235490345E-3</c:v>
                </c:pt>
                <c:pt idx="37">
                  <c:v>9.6975410672380368E-3</c:v>
                </c:pt>
                <c:pt idx="38">
                  <c:v>9.5765738189980618E-3</c:v>
                </c:pt>
                <c:pt idx="39">
                  <c:v>9.4505662687480868E-3</c:v>
                </c:pt>
                <c:pt idx="40">
                  <c:v>9.319803716601887E-3</c:v>
                </c:pt>
                <c:pt idx="41">
                  <c:v>9.1845503293314732E-3</c:v>
                </c:pt>
                <c:pt idx="42">
                  <c:v>9.045051061579986E-3</c:v>
                </c:pt>
                <c:pt idx="43">
                  <c:v>8.9015333712303413E-3</c:v>
                </c:pt>
                <c:pt idx="44">
                  <c:v>8.7542087542087539E-3</c:v>
                </c:pt>
                <c:pt idx="45">
                  <c:v>8.6032741205154997E-3</c:v>
                </c:pt>
              </c:numCache>
            </c:numRef>
          </c:val>
          <c:extLst>
            <c:ext xmlns:c16="http://schemas.microsoft.com/office/drawing/2014/chart" uri="{C3380CC4-5D6E-409C-BE32-E72D297353CC}">
              <c16:uniqueId val="{0000000D-AA9F-4562-9DDD-C1F215640106}"/>
            </c:ext>
          </c:extLst>
        </c:ser>
        <c:ser>
          <c:idx val="14"/>
          <c:order val="14"/>
          <c:tx>
            <c:strRef>
              <c:f>'Ej. 3'!$AE$58</c:f>
              <c:strCache>
                <c:ptCount val="1"/>
                <c:pt idx="0">
                  <c:v>14</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3'!$AE$59:$AE$104</c:f>
              <c:numCache>
                <c:formatCode>0.00%</c:formatCode>
                <c:ptCount val="46"/>
                <c:pt idx="0">
                  <c:v>0</c:v>
                </c:pt>
                <c:pt idx="1">
                  <c:v>1.5712682379349046E-3</c:v>
                </c:pt>
                <c:pt idx="2">
                  <c:v>2.9126492194674015E-3</c:v>
                </c:pt>
                <c:pt idx="3">
                  <c:v>4.0647112839626211E-3</c:v>
                </c:pt>
                <c:pt idx="4">
                  <c:v>5.059007584260109E-3</c:v>
                </c:pt>
                <c:pt idx="5">
                  <c:v>5.9204485041805602E-3</c:v>
                </c:pt>
                <c:pt idx="6">
                  <c:v>6.6689623507805327E-3</c:v>
                </c:pt>
                <c:pt idx="7">
                  <c:v>7.3206815631058049E-3</c:v>
                </c:pt>
                <c:pt idx="8">
                  <c:v>7.8888054094665653E-3</c:v>
                </c:pt>
                <c:pt idx="9">
                  <c:v>8.384237633249492E-3</c:v>
                </c:pt>
                <c:pt idx="10">
                  <c:v>8.8160646872768086E-3</c:v>
                </c:pt>
                <c:pt idx="11">
                  <c:v>9.1919191919191921E-3</c:v>
                </c:pt>
                <c:pt idx="12">
                  <c:v>9.518259518259518E-3</c:v>
                </c:pt>
                <c:pt idx="13">
                  <c:v>9.8005872416646826E-3</c:v>
                </c:pt>
                <c:pt idx="14">
                  <c:v>1.0043617998163451E-2</c:v>
                </c:pt>
                <c:pt idx="15">
                  <c:v>1.0251416991228902E-2</c:v>
                </c:pt>
                <c:pt idx="16">
                  <c:v>1.0427507397204366E-2</c:v>
                </c:pt>
                <c:pt idx="17">
                  <c:v>1.0574957789034035E-2</c:v>
                </c:pt>
                <c:pt idx="18">
                  <c:v>1.0696453168044077E-2</c:v>
                </c:pt>
                <c:pt idx="19">
                  <c:v>1.0794353080854458E-2</c:v>
                </c:pt>
                <c:pt idx="20">
                  <c:v>1.0870739480365149E-2</c:v>
                </c:pt>
                <c:pt idx="21">
                  <c:v>1.0927456382001835E-2</c:v>
                </c:pt>
                <c:pt idx="22">
                  <c:v>1.0966142910587355E-2</c:v>
                </c:pt>
                <c:pt idx="23">
                  <c:v>1.0988260988260987E-2</c:v>
                </c:pt>
                <c:pt idx="24">
                  <c:v>1.0995118650621041E-2</c:v>
                </c:pt>
                <c:pt idx="25">
                  <c:v>1.0987889775768565E-2</c:v>
                </c:pt>
                <c:pt idx="26">
                  <c:v>1.0967630853994489E-2</c:v>
                </c:pt>
                <c:pt idx="27">
                  <c:v>1.0935295303366257E-2</c:v>
                </c:pt>
                <c:pt idx="28">
                  <c:v>1.0891745740230588E-2</c:v>
                </c:pt>
                <c:pt idx="29">
                  <c:v>1.0837764537553122E-2</c:v>
                </c:pt>
                <c:pt idx="30">
                  <c:v>1.0774062943484429E-2</c:v>
                </c:pt>
                <c:pt idx="31">
                  <c:v>1.0701288984117265E-2</c:v>
                </c:pt>
                <c:pt idx="32">
                  <c:v>1.0620034335449354E-2</c:v>
                </c:pt>
                <c:pt idx="33">
                  <c:v>1.053084031807436E-2</c:v>
                </c:pt>
                <c:pt idx="34">
                  <c:v>1.0434203142536473E-2</c:v>
                </c:pt>
                <c:pt idx="35">
                  <c:v>1.0330578512396695E-2</c:v>
                </c:pt>
                <c:pt idx="36">
                  <c:v>1.022038567493113E-2</c:v>
                </c:pt>
                <c:pt idx="37">
                  <c:v>1.0104010995276594E-2</c:v>
                </c:pt>
                <c:pt idx="38">
                  <c:v>9.9818111181747531E-3</c:v>
                </c:pt>
                <c:pt idx="39">
                  <c:v>9.8541157717830091E-3</c:v>
                </c:pt>
                <c:pt idx="40">
                  <c:v>9.7212302599507978E-3</c:v>
                </c:pt>
                <c:pt idx="41">
                  <c:v>9.5834376826112351E-3</c:v>
                </c:pt>
                <c:pt idx="42">
                  <c:v>9.4410009182736444E-3</c:v>
                </c:pt>
                <c:pt idx="43">
                  <c:v>9.2941643978326598E-3</c:v>
                </c:pt>
                <c:pt idx="44">
                  <c:v>9.1431556948798325E-3</c:v>
                </c:pt>
                <c:pt idx="45">
                  <c:v>8.9881869542886485E-3</c:v>
                </c:pt>
              </c:numCache>
            </c:numRef>
          </c:val>
          <c:extLst>
            <c:ext xmlns:c16="http://schemas.microsoft.com/office/drawing/2014/chart" uri="{C3380CC4-5D6E-409C-BE32-E72D297353CC}">
              <c16:uniqueId val="{0000000E-AA9F-4562-9DDD-C1F215640106}"/>
            </c:ext>
          </c:extLst>
        </c:ser>
        <c:ser>
          <c:idx val="15"/>
          <c:order val="15"/>
          <c:tx>
            <c:strRef>
              <c:f>'Ej. 3'!$AF$58</c:f>
              <c:strCache>
                <c:ptCount val="1"/>
                <c:pt idx="0">
                  <c:v>15</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3'!$AF$59:$AF$104</c:f>
              <c:numCache>
                <c:formatCode>0.00%</c:formatCode>
                <c:ptCount val="46"/>
                <c:pt idx="0">
                  <c:v>0</c:v>
                </c:pt>
                <c:pt idx="1">
                  <c:v>1.5572390572390572E-3</c:v>
                </c:pt>
                <c:pt idx="2">
                  <c:v>2.8979635931507589E-3</c:v>
                </c:pt>
                <c:pt idx="3">
                  <c:v>4.0582593612896638E-3</c:v>
                </c:pt>
                <c:pt idx="4">
                  <c:v>5.0666151144620033E-3</c:v>
                </c:pt>
                <c:pt idx="5">
                  <c:v>5.9458218549127625E-3</c:v>
                </c:pt>
                <c:pt idx="6">
                  <c:v>6.7143294416021678E-3</c:v>
                </c:pt>
                <c:pt idx="7">
                  <c:v>7.3872332136794942E-3</c:v>
                </c:pt>
                <c:pt idx="8">
                  <c:v>7.9770032339202285E-3</c:v>
                </c:pt>
                <c:pt idx="9">
                  <c:v>8.4940312213039482E-3</c:v>
                </c:pt>
                <c:pt idx="10">
                  <c:v>8.947046219773493E-3</c:v>
                </c:pt>
                <c:pt idx="11">
                  <c:v>9.3434343434343429E-3</c:v>
                </c:pt>
                <c:pt idx="12">
                  <c:v>9.689487467265244E-3</c:v>
                </c:pt>
                <c:pt idx="13">
                  <c:v>9.9905986269622632E-3</c:v>
                </c:pt>
                <c:pt idx="14">
                  <c:v>1.0251416991228902E-2</c:v>
                </c:pt>
                <c:pt idx="15">
                  <c:v>1.0475971839608201E-2</c:v>
                </c:pt>
                <c:pt idx="16">
                  <c:v>1.0667772544605388E-2</c:v>
                </c:pt>
                <c:pt idx="17">
                  <c:v>1.0829889807162534E-2</c:v>
                </c:pt>
                <c:pt idx="18">
                  <c:v>1.0965022122046916E-2</c:v>
                </c:pt>
                <c:pt idx="19">
                  <c:v>1.1075550514053187E-2</c:v>
                </c:pt>
                <c:pt idx="20">
                  <c:v>1.1163583890856617E-2</c:v>
                </c:pt>
                <c:pt idx="21">
                  <c:v>1.1230996837057441E-2</c:v>
                </c:pt>
                <c:pt idx="22">
                  <c:v>1.1279461279461278E-2</c:v>
                </c:pt>
                <c:pt idx="23">
                  <c:v>1.1310473152578415E-2</c:v>
                </c:pt>
                <c:pt idx="24">
                  <c:v>1.1325374961738596E-2</c:v>
                </c:pt>
                <c:pt idx="25">
                  <c:v>1.1325374961738599E-2</c:v>
                </c:pt>
                <c:pt idx="26">
                  <c:v>1.1311563528858428E-2</c:v>
                </c:pt>
                <c:pt idx="27">
                  <c:v>1.1284927194018102E-2</c:v>
                </c:pt>
                <c:pt idx="28">
                  <c:v>1.124636071781949E-2</c:v>
                </c:pt>
                <c:pt idx="29">
                  <c:v>1.1196677518991569E-2</c:v>
                </c:pt>
                <c:pt idx="30">
                  <c:v>1.1136618712376286E-2</c:v>
                </c:pt>
                <c:pt idx="31">
                  <c:v>1.1066860968046736E-2</c:v>
                </c:pt>
                <c:pt idx="32">
                  <c:v>1.0988023367133618E-2</c:v>
                </c:pt>
                <c:pt idx="33">
                  <c:v>1.0900673400673399E-2</c:v>
                </c:pt>
                <c:pt idx="34">
                  <c:v>1.0805332233903661E-2</c:v>
                </c:pt>
                <c:pt idx="35">
                  <c:v>1.0702479338842974E-2</c:v>
                </c:pt>
                <c:pt idx="36">
                  <c:v>1.0592556581861395E-2</c:v>
                </c:pt>
                <c:pt idx="37">
                  <c:v>1.0475971839608201E-2</c:v>
                </c:pt>
                <c:pt idx="38">
                  <c:v>1.035310220558934E-2</c:v>
                </c:pt>
                <c:pt idx="39">
                  <c:v>1.0224296840458455E-2</c:v>
                </c:pt>
                <c:pt idx="40">
                  <c:v>1.0089879511367113E-2</c:v>
                </c:pt>
                <c:pt idx="41">
                  <c:v>9.9501508592417676E-3</c:v>
                </c:pt>
                <c:pt idx="42">
                  <c:v>9.8053904273999962E-3</c:v>
                </c:pt>
                <c:pt idx="43">
                  <c:v>9.6558584803098906E-3</c:v>
                </c:pt>
                <c:pt idx="44">
                  <c:v>9.5017976373908564E-3</c:v>
                </c:pt>
                <c:pt idx="45">
                  <c:v>9.3434343434343429E-3</c:v>
                </c:pt>
              </c:numCache>
            </c:numRef>
          </c:val>
          <c:extLst>
            <c:ext xmlns:c16="http://schemas.microsoft.com/office/drawing/2014/chart" uri="{C3380CC4-5D6E-409C-BE32-E72D297353CC}">
              <c16:uniqueId val="{0000000F-AA9F-4562-9DDD-C1F215640106}"/>
            </c:ext>
          </c:extLst>
        </c:ser>
        <c:ser>
          <c:idx val="16"/>
          <c:order val="16"/>
          <c:tx>
            <c:strRef>
              <c:f>'Ej. 3'!$AG$58</c:f>
              <c:strCache>
                <c:ptCount val="1"/>
                <c:pt idx="0">
                  <c:v>16</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3'!$AG$59:$AG$104</c:f>
              <c:numCache>
                <c:formatCode>0.00%</c:formatCode>
                <c:ptCount val="46"/>
                <c:pt idx="0">
                  <c:v>0</c:v>
                </c:pt>
                <c:pt idx="1">
                  <c:v>1.5422195814352678E-3</c:v>
                </c:pt>
                <c:pt idx="2">
                  <c:v>2.8799782335135874E-3</c:v>
                </c:pt>
                <c:pt idx="3">
                  <c:v>4.0455592608702661E-3</c:v>
                </c:pt>
                <c:pt idx="4">
                  <c:v>5.0647893072135498E-3</c:v>
                </c:pt>
                <c:pt idx="5">
                  <c:v>5.9585756555453522E-3</c:v>
                </c:pt>
                <c:pt idx="6">
                  <c:v>6.7440242646854224E-3</c:v>
                </c:pt>
                <c:pt idx="7">
                  <c:v>7.4352661440935481E-3</c:v>
                </c:pt>
                <c:pt idx="8">
                  <c:v>8.0440771349862255E-3</c:v>
                </c:pt>
                <c:pt idx="9">
                  <c:v>8.5803489439853081E-3</c:v>
                </c:pt>
                <c:pt idx="10">
                  <c:v>9.0524514766939027E-3</c:v>
                </c:pt>
                <c:pt idx="11">
                  <c:v>9.4675146526998384E-3</c:v>
                </c:pt>
                <c:pt idx="12">
                  <c:v>9.8316498316498319E-3</c:v>
                </c:pt>
                <c:pt idx="13">
                  <c:v>1.015012542703243E-2</c:v>
                </c:pt>
                <c:pt idx="14">
                  <c:v>1.0427507397204366E-2</c:v>
                </c:pt>
                <c:pt idx="15">
                  <c:v>1.0667772544605388E-2</c:v>
                </c:pt>
                <c:pt idx="16">
                  <c:v>1.087440057137027E-2</c:v>
                </c:pt>
                <c:pt idx="17">
                  <c:v>1.1050449397556835E-2</c:v>
                </c:pt>
                <c:pt idx="18">
                  <c:v>1.1198617187922002E-2</c:v>
                </c:pt>
                <c:pt idx="19">
                  <c:v>1.1321293745536171E-2</c:v>
                </c:pt>
                <c:pt idx="20">
                  <c:v>1.1420603339795259E-2</c:v>
                </c:pt>
                <c:pt idx="21">
                  <c:v>1.1498440589349681E-2</c:v>
                </c:pt>
                <c:pt idx="22">
                  <c:v>1.1556500679307698E-2</c:v>
                </c:pt>
                <c:pt idx="23">
                  <c:v>1.1596304929638262E-2</c:v>
                </c:pt>
                <c:pt idx="24">
                  <c:v>1.1619222528313437E-2</c:v>
                </c:pt>
                <c:pt idx="25">
                  <c:v>1.1626489083990934E-2</c:v>
                </c:pt>
                <c:pt idx="26">
                  <c:v>1.1619222528313438E-2</c:v>
                </c:pt>
                <c:pt idx="27">
                  <c:v>1.1598436799282465E-2</c:v>
                </c:pt>
                <c:pt idx="28">
                  <c:v>1.1565053658717572E-2</c:v>
                </c:pt>
                <c:pt idx="29">
                  <c:v>1.1519912934054351E-2</c:v>
                </c:pt>
                <c:pt idx="30">
                  <c:v>1.1463781424255731E-2</c:v>
                </c:pt>
                <c:pt idx="31">
                  <c:v>1.1397360668798451E-2</c:v>
                </c:pt>
                <c:pt idx="32">
                  <c:v>1.1321293745536171E-2</c:v>
                </c:pt>
                <c:pt idx="33">
                  <c:v>1.1236171236171237E-2</c:v>
                </c:pt>
                <c:pt idx="34">
                  <c:v>1.1142536475869809E-2</c:v>
                </c:pt>
                <c:pt idx="35">
                  <c:v>1.1040890185275215E-2</c:v>
                </c:pt>
                <c:pt idx="36">
                  <c:v>1.0931694568058205E-2</c:v>
                </c:pt>
                <c:pt idx="37">
                  <c:v>1.0815376944593641E-2</c:v>
                </c:pt>
                <c:pt idx="38">
                  <c:v>1.0692332981895271E-2</c:v>
                </c:pt>
                <c:pt idx="39">
                  <c:v>1.0562929571194033E-2</c:v>
                </c:pt>
                <c:pt idx="40">
                  <c:v>1.0427507397204367E-2</c:v>
                </c:pt>
                <c:pt idx="41">
                  <c:v>1.028638323694145E-2</c:v>
                </c:pt>
                <c:pt idx="42">
                  <c:v>1.0139852020729763E-2</c:v>
                </c:pt>
                <c:pt idx="43">
                  <c:v>9.98818868361755E-3</c:v>
                </c:pt>
                <c:pt idx="44">
                  <c:v>9.8316498316498319E-3</c:v>
                </c:pt>
                <c:pt idx="45">
                  <c:v>9.670475244245736E-3</c:v>
                </c:pt>
              </c:numCache>
            </c:numRef>
          </c:val>
          <c:extLst>
            <c:ext xmlns:c16="http://schemas.microsoft.com/office/drawing/2014/chart" uri="{C3380CC4-5D6E-409C-BE32-E72D297353CC}">
              <c16:uniqueId val="{00000010-AA9F-4562-9DDD-C1F215640106}"/>
            </c:ext>
          </c:extLst>
        </c:ser>
        <c:ser>
          <c:idx val="17"/>
          <c:order val="17"/>
          <c:tx>
            <c:strRef>
              <c:f>'Ej. 3'!$AH$58</c:f>
              <c:strCache>
                <c:ptCount val="1"/>
                <c:pt idx="0">
                  <c:v>17</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3'!$AH$59:$AH$104</c:f>
              <c:numCache>
                <c:formatCode>0.00%</c:formatCode>
                <c:ptCount val="46"/>
                <c:pt idx="0">
                  <c:v>0</c:v>
                </c:pt>
                <c:pt idx="1">
                  <c:v>1.5263748597081931E-3</c:v>
                </c:pt>
                <c:pt idx="2">
                  <c:v>2.8592141510801802E-3</c:v>
                </c:pt>
                <c:pt idx="3">
                  <c:v>4.0275482093663911E-3</c:v>
                </c:pt>
                <c:pt idx="4">
                  <c:v>5.0548777821505086E-3</c:v>
                </c:pt>
                <c:pt idx="5">
                  <c:v>5.9604307538191825E-3</c:v>
                </c:pt>
                <c:pt idx="6">
                  <c:v>6.7600910288657329E-3</c:v>
                </c:pt>
                <c:pt idx="7">
                  <c:v>7.467095194367921E-3</c:v>
                </c:pt>
                <c:pt idx="8">
                  <c:v>8.0925619834710735E-3</c:v>
                </c:pt>
                <c:pt idx="9">
                  <c:v>8.6458995549904653E-3</c:v>
                </c:pt>
                <c:pt idx="10">
                  <c:v>9.1351222664353988E-3</c:v>
                </c:pt>
                <c:pt idx="11">
                  <c:v>9.5670995670995677E-3</c:v>
                </c:pt>
                <c:pt idx="12">
                  <c:v>9.9477533960292564E-3</c:v>
                </c:pt>
                <c:pt idx="13">
                  <c:v>1.0282216100397918E-2</c:v>
                </c:pt>
                <c:pt idx="14">
                  <c:v>1.0574957789034035E-2</c:v>
                </c:pt>
                <c:pt idx="15">
                  <c:v>1.0829889807162534E-2</c:v>
                </c:pt>
                <c:pt idx="16">
                  <c:v>1.1050449397556835E-2</c:v>
                </c:pt>
                <c:pt idx="17">
                  <c:v>1.1239669421487603E-2</c:v>
                </c:pt>
                <c:pt idx="18">
                  <c:v>1.1400236127508855E-2</c:v>
                </c:pt>
                <c:pt idx="19">
                  <c:v>1.1534537292113048E-2</c:v>
                </c:pt>
                <c:pt idx="20">
                  <c:v>1.1644702553793464E-2</c:v>
                </c:pt>
                <c:pt idx="21">
                  <c:v>1.1732637378570393E-2</c:v>
                </c:pt>
                <c:pt idx="22">
                  <c:v>1.18000518000518E-2</c:v>
                </c:pt>
                <c:pt idx="23">
                  <c:v>1.1848484848484848E-2</c:v>
                </c:pt>
                <c:pt idx="24">
                  <c:v>1.1879325404824295E-2</c:v>
                </c:pt>
                <c:pt idx="25">
                  <c:v>1.1893830075648258E-2</c:v>
                </c:pt>
                <c:pt idx="26">
                  <c:v>1.1893138573899674E-2</c:v>
                </c:pt>
                <c:pt idx="27">
                  <c:v>1.1878287002253945E-2</c:v>
                </c:pt>
                <c:pt idx="28">
                  <c:v>1.185021936537088E-2</c:v>
                </c:pt>
                <c:pt idx="29">
                  <c:v>1.180979758054857E-2</c:v>
                </c:pt>
                <c:pt idx="30">
                  <c:v>1.1757810210421426E-2</c:v>
                </c:pt>
                <c:pt idx="31">
                  <c:v>1.1694980104071011E-2</c:v>
                </c:pt>
                <c:pt idx="32">
                  <c:v>1.1621971102490584E-2</c:v>
                </c:pt>
                <c:pt idx="33">
                  <c:v>1.1539393939393938E-2</c:v>
                </c:pt>
                <c:pt idx="34">
                  <c:v>1.1447811447811448E-2</c:v>
                </c:pt>
                <c:pt idx="35">
                  <c:v>1.1347743165924986E-2</c:v>
                </c:pt>
                <c:pt idx="36">
                  <c:v>1.1239669421487604E-2</c:v>
                </c:pt>
                <c:pt idx="37">
                  <c:v>1.1124034962418802E-2</c:v>
                </c:pt>
                <c:pt idx="38">
                  <c:v>1.1001252191334836E-2</c:v>
                </c:pt>
                <c:pt idx="39">
                  <c:v>1.0871704053522236E-2</c:v>
                </c:pt>
                <c:pt idx="40">
                  <c:v>1.0735746620914083E-2</c:v>
                </c:pt>
                <c:pt idx="41">
                  <c:v>1.0593711408758429E-2</c:v>
                </c:pt>
                <c:pt idx="42">
                  <c:v>1.0445907456693279E-2</c:v>
                </c:pt>
                <c:pt idx="43">
                  <c:v>1.0292623201714111E-2</c:v>
                </c:pt>
                <c:pt idx="44">
                  <c:v>1.0134128166915052E-2</c:v>
                </c:pt>
                <c:pt idx="45">
                  <c:v>9.9706744868035182E-3</c:v>
                </c:pt>
              </c:numCache>
            </c:numRef>
          </c:val>
          <c:extLst>
            <c:ext xmlns:c16="http://schemas.microsoft.com/office/drawing/2014/chart" uri="{C3380CC4-5D6E-409C-BE32-E72D297353CC}">
              <c16:uniqueId val="{00000011-AA9F-4562-9DDD-C1F215640106}"/>
            </c:ext>
          </c:extLst>
        </c:ser>
        <c:ser>
          <c:idx val="18"/>
          <c:order val="18"/>
          <c:tx>
            <c:strRef>
              <c:f>'Ej. 3'!$AI$58</c:f>
              <c:strCache>
                <c:ptCount val="1"/>
                <c:pt idx="0">
                  <c:v>18</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3'!$AI$59:$AI$104</c:f>
              <c:numCache>
                <c:formatCode>0.00%</c:formatCode>
                <c:ptCount val="46"/>
                <c:pt idx="0">
                  <c:v>0</c:v>
                </c:pt>
                <c:pt idx="1">
                  <c:v>1.5098351940457206E-3</c:v>
                </c:pt>
                <c:pt idx="2">
                  <c:v>2.8360881542699732E-3</c:v>
                </c:pt>
                <c:pt idx="3">
                  <c:v>4.0049849140758233E-3</c:v>
                </c:pt>
                <c:pt idx="4">
                  <c:v>5.0379831371566907E-3</c:v>
                </c:pt>
                <c:pt idx="5">
                  <c:v>5.952808719607139E-3</c:v>
                </c:pt>
                <c:pt idx="6">
                  <c:v>6.7642332415059694E-3</c:v>
                </c:pt>
                <c:pt idx="7">
                  <c:v>7.4846648301193754E-3</c:v>
                </c:pt>
                <c:pt idx="8">
                  <c:v>8.1246026700572162E-3</c:v>
                </c:pt>
                <c:pt idx="9">
                  <c:v>8.6929905111723296E-3</c:v>
                </c:pt>
                <c:pt idx="10">
                  <c:v>9.1974944247671525E-3</c:v>
                </c:pt>
                <c:pt idx="11">
                  <c:v>9.6447230929989566E-3</c:v>
                </c:pt>
                <c:pt idx="12">
                  <c:v>1.0040404040404042E-2</c:v>
                </c:pt>
                <c:pt idx="13">
                  <c:v>1.0389525756094673E-2</c:v>
                </c:pt>
                <c:pt idx="14">
                  <c:v>1.0696453168044077E-2</c:v>
                </c:pt>
                <c:pt idx="15">
                  <c:v>1.0965022122046916E-2</c:v>
                </c:pt>
                <c:pt idx="16">
                  <c:v>1.1198617187922002E-2</c:v>
                </c:pt>
                <c:pt idx="17">
                  <c:v>1.1400236127508855E-2</c:v>
                </c:pt>
                <c:pt idx="18">
                  <c:v>1.1572543617998164E-2</c:v>
                </c:pt>
                <c:pt idx="19">
                  <c:v>1.171791626337081E-2</c:v>
                </c:pt>
                <c:pt idx="20">
                  <c:v>1.1838480498767581E-2</c:v>
                </c:pt>
                <c:pt idx="21">
                  <c:v>1.1936144663417391E-2</c:v>
                </c:pt>
                <c:pt idx="22">
                  <c:v>1.2012626262626263E-2</c:v>
                </c:pt>
                <c:pt idx="23">
                  <c:v>1.2069475240206948E-2</c:v>
                </c:pt>
                <c:pt idx="24">
                  <c:v>1.2108093926275744E-2</c:v>
                </c:pt>
                <c:pt idx="25">
                  <c:v>1.212975420163581E-2</c:v>
                </c:pt>
                <c:pt idx="26">
                  <c:v>1.2135612321562737E-2</c:v>
                </c:pt>
                <c:pt idx="27">
                  <c:v>1.2126721763085399E-2</c:v>
                </c:pt>
                <c:pt idx="28">
                  <c:v>1.2104044396534515E-2</c:v>
                </c:pt>
                <c:pt idx="29">
                  <c:v>1.2068460230936055E-2</c:v>
                </c:pt>
                <c:pt idx="30">
                  <c:v>1.2020775941230487E-2</c:v>
                </c:pt>
                <c:pt idx="31">
                  <c:v>1.1961732351342741E-2</c:v>
                </c:pt>
                <c:pt idx="32">
                  <c:v>1.1892011019283747E-2</c:v>
                </c:pt>
                <c:pt idx="33">
                  <c:v>1.1812240047534167E-2</c:v>
                </c:pt>
                <c:pt idx="34">
                  <c:v>1.1722999222999223E-2</c:v>
                </c:pt>
                <c:pt idx="35">
                  <c:v>1.1624824575081866E-2</c:v>
                </c:pt>
                <c:pt idx="36">
                  <c:v>1.1518212427303338E-2</c:v>
                </c:pt>
                <c:pt idx="37">
                  <c:v>1.1403623006928792E-2</c:v>
                </c:pt>
                <c:pt idx="38">
                  <c:v>1.1281483667847304E-2</c:v>
                </c:pt>
                <c:pt idx="39">
                  <c:v>1.1152191774201344E-2</c:v>
                </c:pt>
                <c:pt idx="40">
                  <c:v>1.1016117285709762E-2</c:v>
                </c:pt>
                <c:pt idx="41">
                  <c:v>1.0873605080076575E-2</c:v>
                </c:pt>
                <c:pt idx="42">
                  <c:v>1.0724977043158862E-2</c:v>
                </c:pt>
                <c:pt idx="43">
                  <c:v>1.0570533953544388E-2</c:v>
                </c:pt>
                <c:pt idx="44">
                  <c:v>1.0410557184750735E-2</c:v>
                </c:pt>
                <c:pt idx="45">
                  <c:v>1.0245310245310247E-2</c:v>
                </c:pt>
              </c:numCache>
            </c:numRef>
          </c:val>
          <c:extLst>
            <c:ext xmlns:c16="http://schemas.microsoft.com/office/drawing/2014/chart" uri="{C3380CC4-5D6E-409C-BE32-E72D297353CC}">
              <c16:uniqueId val="{00000012-AA9F-4562-9DDD-C1F215640106}"/>
            </c:ext>
          </c:extLst>
        </c:ser>
        <c:ser>
          <c:idx val="19"/>
          <c:order val="19"/>
          <c:tx>
            <c:strRef>
              <c:f>'Ej. 3'!$AJ$58</c:f>
              <c:strCache>
                <c:ptCount val="1"/>
                <c:pt idx="0">
                  <c:v>19</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3'!$AJ$59:$AJ$104</c:f>
              <c:numCache>
                <c:formatCode>0.00%</c:formatCode>
                <c:ptCount val="46"/>
                <c:pt idx="0">
                  <c:v>0</c:v>
                </c:pt>
                <c:pt idx="1">
                  <c:v>1.4927048260381594E-3</c:v>
                </c:pt>
                <c:pt idx="2">
                  <c:v>2.8109376594225082E-3</c:v>
                </c:pt>
                <c:pt idx="3">
                  <c:v>3.9784901355149295E-3</c:v>
                </c:pt>
                <c:pt idx="4">
                  <c:v>5.0150162139621949E-3</c:v>
                </c:pt>
                <c:pt idx="5">
                  <c:v>5.9368941944699513E-3</c:v>
                </c:pt>
                <c:pt idx="6">
                  <c:v>6.7578818487909397E-3</c:v>
                </c:pt>
                <c:pt idx="7">
                  <c:v>7.4896203684082464E-3</c:v>
                </c:pt>
                <c:pt idx="8">
                  <c:v>8.1420263238445052E-3</c:v>
                </c:pt>
                <c:pt idx="9">
                  <c:v>8.7235996326905426E-3</c:v>
                </c:pt>
                <c:pt idx="10">
                  <c:v>9.2416678101108606E-3</c:v>
                </c:pt>
                <c:pt idx="11">
                  <c:v>9.7025813692480367E-3</c:v>
                </c:pt>
                <c:pt idx="12">
                  <c:v>1.0111871402193983E-2</c:v>
                </c:pt>
                <c:pt idx="13">
                  <c:v>1.0474377614529129E-2</c:v>
                </c:pt>
                <c:pt idx="14">
                  <c:v>1.0794353080854458E-2</c:v>
                </c:pt>
                <c:pt idx="15">
                  <c:v>1.1075550514053187E-2</c:v>
                </c:pt>
                <c:pt idx="16">
                  <c:v>1.1321293745536171E-2</c:v>
                </c:pt>
                <c:pt idx="17">
                  <c:v>1.1534537292113048E-2</c:v>
                </c:pt>
                <c:pt idx="18">
                  <c:v>1.171791626337081E-2</c:v>
                </c:pt>
                <c:pt idx="19">
                  <c:v>1.1873788388939904E-2</c:v>
                </c:pt>
                <c:pt idx="20">
                  <c:v>1.2004269580027156E-2</c:v>
                </c:pt>
                <c:pt idx="21">
                  <c:v>1.2111264156718701E-2</c:v>
                </c:pt>
                <c:pt idx="22">
                  <c:v>1.2196490651775204E-2</c:v>
                </c:pt>
                <c:pt idx="23">
                  <c:v>1.2261503928170594E-2</c:v>
                </c:pt>
                <c:pt idx="24">
                  <c:v>1.2307714210462624E-2</c:v>
                </c:pt>
                <c:pt idx="25">
                  <c:v>1.2336403520976525E-2</c:v>
                </c:pt>
                <c:pt idx="26">
                  <c:v>1.23487399244975E-2</c:v>
                </c:pt>
                <c:pt idx="27">
                  <c:v>1.2345789914959875E-2</c:v>
                </c:pt>
                <c:pt idx="28">
                  <c:v>1.2328529220856751E-2</c:v>
                </c:pt>
                <c:pt idx="29">
                  <c:v>1.2297852259973473E-2</c:v>
                </c:pt>
                <c:pt idx="30">
                  <c:v>1.2254580436398616E-2</c:v>
                </c:pt>
                <c:pt idx="31">
                  <c:v>1.2199469441893684E-2</c:v>
                </c:pt>
                <c:pt idx="32">
                  <c:v>1.2133215698278087E-2</c:v>
                </c:pt>
                <c:pt idx="33">
                  <c:v>1.2056462056462056E-2</c:v>
                </c:pt>
                <c:pt idx="34">
                  <c:v>1.1969802850305994E-2</c:v>
                </c:pt>
                <c:pt idx="35">
                  <c:v>1.1873788388939906E-2</c:v>
                </c:pt>
                <c:pt idx="36">
                  <c:v>1.1768928959011604E-2</c:v>
                </c:pt>
                <c:pt idx="37">
                  <c:v>1.165569839812264E-2</c:v>
                </c:pt>
                <c:pt idx="38">
                  <c:v>1.153453729211305E-2</c:v>
                </c:pt>
                <c:pt idx="39">
                  <c:v>1.1405855841592519E-2</c:v>
                </c:pt>
                <c:pt idx="40">
                  <c:v>1.1270036436959908E-2</c:v>
                </c:pt>
                <c:pt idx="41">
                  <c:v>1.1127435975920825E-2</c:v>
                </c:pt>
                <c:pt idx="42">
                  <c:v>1.0978387953052631E-2</c:v>
                </c:pt>
                <c:pt idx="43">
                  <c:v>1.0823204347153517E-2</c:v>
                </c:pt>
                <c:pt idx="44">
                  <c:v>1.0662177328843996E-2</c:v>
                </c:pt>
                <c:pt idx="45">
                  <c:v>1.0495580808080808E-2</c:v>
                </c:pt>
              </c:numCache>
            </c:numRef>
          </c:val>
          <c:extLst>
            <c:ext xmlns:c16="http://schemas.microsoft.com/office/drawing/2014/chart" uri="{C3380CC4-5D6E-409C-BE32-E72D297353CC}">
              <c16:uniqueId val="{00000013-AA9F-4562-9DDD-C1F215640106}"/>
            </c:ext>
          </c:extLst>
        </c:ser>
        <c:ser>
          <c:idx val="20"/>
          <c:order val="20"/>
          <c:tx>
            <c:strRef>
              <c:f>'Ej. 3'!$AK$58</c:f>
              <c:strCache>
                <c:ptCount val="1"/>
                <c:pt idx="0">
                  <c:v>20</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3'!$AK$59:$AK$104</c:f>
              <c:numCache>
                <c:formatCode>0.00%</c:formatCode>
                <c:ptCount val="46"/>
                <c:pt idx="0">
                  <c:v>0</c:v>
                </c:pt>
                <c:pt idx="1">
                  <c:v>1.4750681417348085E-3</c:v>
                </c:pt>
                <c:pt idx="2">
                  <c:v>2.7840387344519584E-3</c:v>
                </c:pt>
                <c:pt idx="3">
                  <c:v>3.9485766758494039E-3</c:v>
                </c:pt>
                <c:pt idx="4">
                  <c:v>4.986736047342108E-3</c:v>
                </c:pt>
                <c:pt idx="5">
                  <c:v>5.9136822773186402E-3</c:v>
                </c:pt>
                <c:pt idx="6">
                  <c:v>6.742247651338561E-3</c:v>
                </c:pt>
                <c:pt idx="7">
                  <c:v>7.4833633756192681E-3</c:v>
                </c:pt>
                <c:pt idx="8">
                  <c:v>8.1463990554899654E-3</c:v>
                </c:pt>
                <c:pt idx="9">
                  <c:v>8.7394319369240997E-3</c:v>
                </c:pt>
                <c:pt idx="10">
                  <c:v>9.2694622997653315E-3</c:v>
                </c:pt>
                <c:pt idx="11">
                  <c:v>9.7425871619420019E-3</c:v>
                </c:pt>
                <c:pt idx="12">
                  <c:v>1.0164141414141415E-2</c:v>
                </c:pt>
                <c:pt idx="13">
                  <c:v>1.0538813293634231E-2</c:v>
                </c:pt>
                <c:pt idx="14">
                  <c:v>1.0870739480365149E-2</c:v>
                </c:pt>
                <c:pt idx="15">
                  <c:v>1.1163583890856617E-2</c:v>
                </c:pt>
                <c:pt idx="16">
                  <c:v>1.1420603339795259E-2</c:v>
                </c:pt>
                <c:pt idx="17">
                  <c:v>1.1644702553793464E-2</c:v>
                </c:pt>
                <c:pt idx="18">
                  <c:v>1.1838480498767581E-2</c:v>
                </c:pt>
                <c:pt idx="19">
                  <c:v>1.2004269580027156E-2</c:v>
                </c:pt>
                <c:pt idx="20">
                  <c:v>1.2144168962350783E-2</c:v>
                </c:pt>
                <c:pt idx="21">
                  <c:v>1.2260073013953281E-2</c:v>
                </c:pt>
                <c:pt idx="22">
                  <c:v>1.2353695687029022E-2</c:v>
                </c:pt>
                <c:pt idx="23">
                  <c:v>1.2426591496358939E-2</c:v>
                </c:pt>
                <c:pt idx="24">
                  <c:v>1.2480173637198432E-2</c:v>
                </c:pt>
                <c:pt idx="25">
                  <c:v>1.2515729687446863E-2</c:v>
                </c:pt>
                <c:pt idx="26">
                  <c:v>1.2534435261707989E-2</c:v>
                </c:pt>
                <c:pt idx="27">
                  <c:v>1.2537365922278883E-2</c:v>
                </c:pt>
                <c:pt idx="28">
                  <c:v>1.2525507601265176E-2</c:v>
                </c:pt>
                <c:pt idx="29">
                  <c:v>1.2499765746518995E-2</c:v>
                </c:pt>
                <c:pt idx="30">
                  <c:v>1.2460973370064278E-2</c:v>
                </c:pt>
                <c:pt idx="31">
                  <c:v>1.2409898149648596E-2</c:v>
                </c:pt>
                <c:pt idx="32">
                  <c:v>1.2347248710885076E-2</c:v>
                </c:pt>
                <c:pt idx="33">
                  <c:v>1.2273680198208502E-2</c:v>
                </c:pt>
                <c:pt idx="34">
                  <c:v>1.2189799226836264E-2</c:v>
                </c:pt>
                <c:pt idx="35">
                  <c:v>1.2096168294515404E-2</c:v>
                </c:pt>
                <c:pt idx="36">
                  <c:v>1.199330972058245E-2</c:v>
                </c:pt>
                <c:pt idx="37">
                  <c:v>1.1881709170385408E-2</c:v>
                </c:pt>
                <c:pt idx="38">
                  <c:v>1.1761818815110351E-2</c:v>
                </c:pt>
                <c:pt idx="39">
                  <c:v>1.1634060170269725E-2</c:v>
                </c:pt>
                <c:pt idx="40">
                  <c:v>1.1498826650341801E-2</c:v>
                </c:pt>
                <c:pt idx="41">
                  <c:v>1.1356485872134158E-2</c:v>
                </c:pt>
                <c:pt idx="42">
                  <c:v>1.1207381735240975E-2</c:v>
                </c:pt>
                <c:pt idx="43">
                  <c:v>1.1051836304361559E-2</c:v>
                </c:pt>
                <c:pt idx="44">
                  <c:v>1.0890151515151516E-2</c:v>
                </c:pt>
                <c:pt idx="45">
                  <c:v>1.0722610722610723E-2</c:v>
                </c:pt>
              </c:numCache>
            </c:numRef>
          </c:val>
          <c:extLst>
            <c:ext xmlns:c16="http://schemas.microsoft.com/office/drawing/2014/chart" uri="{C3380CC4-5D6E-409C-BE32-E72D297353CC}">
              <c16:uniqueId val="{00000014-AA9F-4562-9DDD-C1F215640106}"/>
            </c:ext>
          </c:extLst>
        </c:ser>
        <c:ser>
          <c:idx val="21"/>
          <c:order val="21"/>
          <c:tx>
            <c:strRef>
              <c:f>'Ej. 3'!$AL$58</c:f>
              <c:strCache>
                <c:ptCount val="1"/>
                <c:pt idx="0">
                  <c:v>21</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3'!$AL$59:$AL$104</c:f>
              <c:numCache>
                <c:formatCode>0.00%</c:formatCode>
                <c:ptCount val="46"/>
                <c:pt idx="0">
                  <c:v>0</c:v>
                </c:pt>
                <c:pt idx="1">
                  <c:v>1.4569941842669117E-3</c:v>
                </c:pt>
                <c:pt idx="2">
                  <c:v>2.7556194354613327E-3</c:v>
                </c:pt>
                <c:pt idx="3">
                  <c:v>3.9156718702173252E-3</c:v>
                </c:pt>
                <c:pt idx="4">
                  <c:v>4.953780226507499E-3</c:v>
                </c:pt>
                <c:pt idx="5">
                  <c:v>5.884014974924065E-3</c:v>
                </c:pt>
                <c:pt idx="6">
                  <c:v>6.7183620718974258E-3</c:v>
                </c:pt>
                <c:pt idx="7">
                  <c:v>7.4670951943679202E-3</c:v>
                </c:pt>
                <c:pt idx="8">
                  <c:v>8.139070960387575E-3</c:v>
                </c:pt>
                <c:pt idx="9">
                  <c:v>8.7419651056014694E-3</c:v>
                </c:pt>
                <c:pt idx="10">
                  <c:v>9.2824629481520985E-3</c:v>
                </c:pt>
                <c:pt idx="11">
                  <c:v>9.7664141414141419E-3</c:v>
                </c:pt>
                <c:pt idx="12">
                  <c:v>1.0198959289868382E-2</c:v>
                </c:pt>
                <c:pt idx="13">
                  <c:v>1.0584634220997856E-2</c:v>
                </c:pt>
                <c:pt idx="14">
                  <c:v>1.0927456382001835E-2</c:v>
                </c:pt>
                <c:pt idx="15">
                  <c:v>1.1230996837057441E-2</c:v>
                </c:pt>
                <c:pt idx="16">
                  <c:v>1.1498440589349681E-2</c:v>
                </c:pt>
                <c:pt idx="17">
                  <c:v>1.1732637378570393E-2</c:v>
                </c:pt>
                <c:pt idx="18">
                  <c:v>1.1936144663417391E-2</c:v>
                </c:pt>
                <c:pt idx="19">
                  <c:v>1.2111264156718701E-2</c:v>
                </c:pt>
                <c:pt idx="20">
                  <c:v>1.2260073013953281E-2</c:v>
                </c:pt>
                <c:pt idx="21">
                  <c:v>1.2384450566268749E-2</c:v>
                </c:pt>
                <c:pt idx="22">
                  <c:v>1.2486101323310626E-2</c:v>
                </c:pt>
                <c:pt idx="23">
                  <c:v>1.2566574839302109E-2</c:v>
                </c:pt>
                <c:pt idx="24">
                  <c:v>1.2627282930313233E-2</c:v>
                </c:pt>
                <c:pt idx="25">
                  <c:v>1.2669514645799233E-2</c:v>
                </c:pt>
                <c:pt idx="26">
                  <c:v>1.2694449328878728E-2</c:v>
                </c:pt>
                <c:pt idx="27">
                  <c:v>1.2703168044077133E-2</c:v>
                </c:pt>
                <c:pt idx="28">
                  <c:v>1.2696663605754515E-2</c:v>
                </c:pt>
                <c:pt idx="29">
                  <c:v>1.2675849403122132E-2</c:v>
                </c:pt>
                <c:pt idx="30">
                  <c:v>1.2641567187021731E-2</c:v>
                </c:pt>
                <c:pt idx="31">
                  <c:v>1.2594593958230323E-2</c:v>
                </c:pt>
                <c:pt idx="32">
                  <c:v>1.2535648075956824E-2</c:v>
                </c:pt>
                <c:pt idx="33">
                  <c:v>1.2465394687616911E-2</c:v>
                </c:pt>
                <c:pt idx="34">
                  <c:v>1.2384450566268749E-2</c:v>
                </c:pt>
                <c:pt idx="35">
                  <c:v>1.2293388429752066E-2</c:v>
                </c:pt>
                <c:pt idx="36">
                  <c:v>1.2192740805180999E-2</c:v>
                </c:pt>
                <c:pt idx="37">
                  <c:v>1.2083003493661801E-2</c:v>
                </c:pt>
                <c:pt idx="38">
                  <c:v>1.1964638682666418E-2</c:v>
                </c:pt>
                <c:pt idx="39">
                  <c:v>1.1838077747168656E-2</c:v>
                </c:pt>
                <c:pt idx="40">
                  <c:v>1.1703723775258796E-2</c:v>
                </c:pt>
                <c:pt idx="41">
                  <c:v>1.1561953849343878E-2</c:v>
                </c:pt>
                <c:pt idx="42">
                  <c:v>1.1413121110090808E-2</c:v>
                </c:pt>
                <c:pt idx="43">
                  <c:v>1.1257556626874809E-2</c:v>
                </c:pt>
                <c:pt idx="44">
                  <c:v>1.1095571095571095E-2</c:v>
                </c:pt>
                <c:pt idx="45">
                  <c:v>1.0927456382001837E-2</c:v>
                </c:pt>
              </c:numCache>
            </c:numRef>
          </c:val>
          <c:extLst>
            <c:ext xmlns:c16="http://schemas.microsoft.com/office/drawing/2014/chart" uri="{C3380CC4-5D6E-409C-BE32-E72D297353CC}">
              <c16:uniqueId val="{00000015-AA9F-4562-9DDD-C1F215640106}"/>
            </c:ext>
          </c:extLst>
        </c:ser>
        <c:ser>
          <c:idx val="22"/>
          <c:order val="22"/>
          <c:tx>
            <c:strRef>
              <c:f>'Ej. 3'!$AM$58</c:f>
              <c:strCache>
                <c:ptCount val="1"/>
                <c:pt idx="0">
                  <c:v>22</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3'!$AM$59:$AM$104</c:f>
              <c:numCache>
                <c:formatCode>0.00%</c:formatCode>
                <c:ptCount val="46"/>
                <c:pt idx="0">
                  <c:v>0</c:v>
                </c:pt>
                <c:pt idx="1">
                  <c:v>1.438539989264627E-3</c:v>
                </c:pt>
                <c:pt idx="2">
                  <c:v>2.725869809203143E-3</c:v>
                </c:pt>
                <c:pt idx="3">
                  <c:v>3.8801346801346803E-3</c:v>
                </c:pt>
                <c:pt idx="4">
                  <c:v>4.916688250021584E-3</c:v>
                </c:pt>
                <c:pt idx="5">
                  <c:v>5.8486095523132553E-3</c:v>
                </c:pt>
                <c:pt idx="6">
                  <c:v>6.6871091871091876E-3</c:v>
                </c:pt>
                <c:pt idx="7">
                  <c:v>7.4418514648399705E-3</c:v>
                </c:pt>
                <c:pt idx="8">
                  <c:v>8.1212121212121211E-3</c:v>
                </c:pt>
                <c:pt idx="9">
                  <c:v>8.7324861518409905E-3</c:v>
                </c:pt>
                <c:pt idx="10">
                  <c:v>9.2820566778900118E-3</c:v>
                </c:pt>
                <c:pt idx="11">
                  <c:v>9.7755331088664431E-3</c:v>
                </c:pt>
                <c:pt idx="12">
                  <c:v>1.0217864923747278E-2</c:v>
                </c:pt>
                <c:pt idx="13">
                  <c:v>1.061343594676928E-2</c:v>
                </c:pt>
                <c:pt idx="14">
                  <c:v>1.0966142910587355E-2</c:v>
                </c:pt>
                <c:pt idx="15">
                  <c:v>1.1279461279461278E-2</c:v>
                </c:pt>
                <c:pt idx="16">
                  <c:v>1.1556500679307698E-2</c:v>
                </c:pt>
                <c:pt idx="17">
                  <c:v>1.18000518000518E-2</c:v>
                </c:pt>
                <c:pt idx="18">
                  <c:v>1.2012626262626263E-2</c:v>
                </c:pt>
                <c:pt idx="19">
                  <c:v>1.2196490651775204E-2</c:v>
                </c:pt>
                <c:pt idx="20">
                  <c:v>1.2353695687029022E-2</c:v>
                </c:pt>
                <c:pt idx="21">
                  <c:v>1.2486101323310626E-2</c:v>
                </c:pt>
                <c:pt idx="22">
                  <c:v>1.2595398428731763E-2</c:v>
                </c:pt>
                <c:pt idx="23">
                  <c:v>1.2683127572016459E-2</c:v>
                </c:pt>
                <c:pt idx="24">
                  <c:v>1.2750695359391013E-2</c:v>
                </c:pt>
                <c:pt idx="25">
                  <c:v>1.279938868591351E-2</c:v>
                </c:pt>
                <c:pt idx="26">
                  <c:v>1.2830387205387206E-2</c:v>
                </c:pt>
                <c:pt idx="27">
                  <c:v>1.2844774273345702E-2</c:v>
                </c:pt>
                <c:pt idx="28">
                  <c:v>1.2843546576879909E-2</c:v>
                </c:pt>
                <c:pt idx="29">
                  <c:v>1.2827622631544203E-2</c:v>
                </c:pt>
                <c:pt idx="30">
                  <c:v>1.2797850297850298E-2</c:v>
                </c:pt>
                <c:pt idx="31">
                  <c:v>1.2755013446837346E-2</c:v>
                </c:pt>
                <c:pt idx="32">
                  <c:v>1.2699837885023071E-2</c:v>
                </c:pt>
                <c:pt idx="33">
                  <c:v>1.2632996632996635E-2</c:v>
                </c:pt>
                <c:pt idx="34">
                  <c:v>1.2555114638447971E-2</c:v>
                </c:pt>
                <c:pt idx="35">
                  <c:v>1.2466772993088784E-2</c:v>
                </c:pt>
                <c:pt idx="36">
                  <c:v>1.23685127133403E-2</c:v>
                </c:pt>
                <c:pt idx="37">
                  <c:v>1.2260838136544352E-2</c:v>
                </c:pt>
                <c:pt idx="38">
                  <c:v>1.214421997755331E-2</c:v>
                </c:pt>
                <c:pt idx="39">
                  <c:v>1.2019098084671857E-2</c:v>
                </c:pt>
                <c:pt idx="40">
                  <c:v>1.1885883928894682E-2</c:v>
                </c:pt>
                <c:pt idx="41">
                  <c:v>1.1744962856073966E-2</c:v>
                </c:pt>
                <c:pt idx="42">
                  <c:v>1.1596696127946128E-2</c:v>
                </c:pt>
                <c:pt idx="43">
                  <c:v>1.144142277475611E-2</c:v>
                </c:pt>
                <c:pt idx="44">
                  <c:v>1.127946127946128E-2</c:v>
                </c:pt>
                <c:pt idx="45">
                  <c:v>1.1111111111111112E-2</c:v>
                </c:pt>
              </c:numCache>
            </c:numRef>
          </c:val>
          <c:extLst>
            <c:ext xmlns:c16="http://schemas.microsoft.com/office/drawing/2014/chart" uri="{C3380CC4-5D6E-409C-BE32-E72D297353CC}">
              <c16:uniqueId val="{00000016-AA9F-4562-9DDD-C1F215640106}"/>
            </c:ext>
          </c:extLst>
        </c:ser>
        <c:ser>
          <c:idx val="23"/>
          <c:order val="23"/>
          <c:tx>
            <c:strRef>
              <c:f>'Ej. 3'!$AN$58</c:f>
              <c:strCache>
                <c:ptCount val="1"/>
                <c:pt idx="0">
                  <c:v>23</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3'!$AN$59:$AN$104</c:f>
              <c:numCache>
                <c:formatCode>0.00%</c:formatCode>
                <c:ptCount val="46"/>
                <c:pt idx="0">
                  <c:v>0</c:v>
                </c:pt>
                <c:pt idx="1">
                  <c:v>1.4197530864197532E-3</c:v>
                </c:pt>
                <c:pt idx="2">
                  <c:v>2.6949494949494949E-3</c:v>
                </c:pt>
                <c:pt idx="3">
                  <c:v>3.8422688422688417E-3</c:v>
                </c:pt>
                <c:pt idx="4">
                  <c:v>4.8759196907345046E-3</c:v>
                </c:pt>
                <c:pt idx="5">
                  <c:v>5.8080808080808064E-3</c:v>
                </c:pt>
                <c:pt idx="6">
                  <c:v>6.6492511320097522E-3</c:v>
                </c:pt>
                <c:pt idx="7">
                  <c:v>7.4085297418630741E-3</c:v>
                </c:pt>
                <c:pt idx="8">
                  <c:v>8.0938416422287399E-3</c:v>
                </c:pt>
                <c:pt idx="9">
                  <c:v>8.712121212121211E-3</c:v>
                </c:pt>
                <c:pt idx="10">
                  <c:v>9.2694622997653298E-3</c:v>
                </c:pt>
                <c:pt idx="11">
                  <c:v>9.7712418300653584E-3</c:v>
                </c:pt>
                <c:pt idx="12">
                  <c:v>1.0222222222222221E-2</c:v>
                </c:pt>
                <c:pt idx="13">
                  <c:v>1.0626636737747849E-2</c:v>
                </c:pt>
                <c:pt idx="14">
                  <c:v>1.0988260988260987E-2</c:v>
                </c:pt>
                <c:pt idx="15">
                  <c:v>1.1310473152578415E-2</c:v>
                </c:pt>
                <c:pt idx="16">
                  <c:v>1.1596304929638262E-2</c:v>
                </c:pt>
                <c:pt idx="17">
                  <c:v>1.1848484848484848E-2</c:v>
                </c:pt>
                <c:pt idx="18">
                  <c:v>1.2069475240206948E-2</c:v>
                </c:pt>
                <c:pt idx="19">
                  <c:v>1.2261503928170594E-2</c:v>
                </c:pt>
                <c:pt idx="20">
                  <c:v>1.2426591496358939E-2</c:v>
                </c:pt>
                <c:pt idx="21">
                  <c:v>1.2566574839302109E-2</c:v>
                </c:pt>
                <c:pt idx="22">
                  <c:v>1.2683127572016459E-2</c:v>
                </c:pt>
                <c:pt idx="23">
                  <c:v>1.2777777777777777E-2</c:v>
                </c:pt>
                <c:pt idx="24">
                  <c:v>1.285192349022136E-2</c:v>
                </c:pt>
                <c:pt idx="25">
                  <c:v>1.2906846240179575E-2</c:v>
                </c:pt>
                <c:pt idx="26">
                  <c:v>1.2943722943722941E-2</c:v>
                </c:pt>
                <c:pt idx="27">
                  <c:v>1.2963636363636361E-2</c:v>
                </c:pt>
                <c:pt idx="28">
                  <c:v>1.296758434013336E-2</c:v>
                </c:pt>
                <c:pt idx="29">
                  <c:v>1.2956487956487957E-2</c:v>
                </c:pt>
                <c:pt idx="30">
                  <c:v>1.2931198780255381E-2</c:v>
                </c:pt>
                <c:pt idx="31">
                  <c:v>1.2892505299912706E-2</c:v>
                </c:pt>
                <c:pt idx="32">
                  <c:v>1.2841138659320477E-2</c:v>
                </c:pt>
                <c:pt idx="33">
                  <c:v>1.2777777777777777E-2</c:v>
                </c:pt>
                <c:pt idx="34">
                  <c:v>1.2703053931124106E-2</c:v>
                </c:pt>
                <c:pt idx="35">
                  <c:v>1.261755485893417E-2</c:v>
                </c:pt>
                <c:pt idx="36">
                  <c:v>1.2521828454031844E-2</c:v>
                </c:pt>
                <c:pt idx="37">
                  <c:v>1.241638608305275E-2</c:v>
                </c:pt>
                <c:pt idx="38">
                  <c:v>1.2301705580394104E-2</c:v>
                </c:pt>
                <c:pt idx="39">
                  <c:v>1.21782339524275E-2</c:v>
                </c:pt>
                <c:pt idx="40">
                  <c:v>1.20463898241676E-2</c:v>
                </c:pt>
                <c:pt idx="41">
                  <c:v>1.1906565656565655E-2</c:v>
                </c:pt>
                <c:pt idx="42">
                  <c:v>1.1759129759129759E-2</c:v>
                </c:pt>
                <c:pt idx="43">
                  <c:v>1.1604428119579636E-2</c:v>
                </c:pt>
                <c:pt idx="44">
                  <c:v>1.1442786069651741E-2</c:v>
                </c:pt>
                <c:pt idx="45">
                  <c:v>1.1274509803921568E-2</c:v>
                </c:pt>
              </c:numCache>
            </c:numRef>
          </c:val>
          <c:extLst>
            <c:ext xmlns:c16="http://schemas.microsoft.com/office/drawing/2014/chart" uri="{C3380CC4-5D6E-409C-BE32-E72D297353CC}">
              <c16:uniqueId val="{00000017-AA9F-4562-9DDD-C1F215640106}"/>
            </c:ext>
          </c:extLst>
        </c:ser>
        <c:ser>
          <c:idx val="24"/>
          <c:order val="24"/>
          <c:tx>
            <c:strRef>
              <c:f>'Ej. 3'!$AO$58</c:f>
              <c:strCache>
                <c:ptCount val="1"/>
                <c:pt idx="0">
                  <c:v>24</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3'!$AO$59:$AO$104</c:f>
              <c:numCache>
                <c:formatCode>0.00%</c:formatCode>
                <c:ptCount val="46"/>
                <c:pt idx="0">
                  <c:v>0</c:v>
                </c:pt>
                <c:pt idx="1">
                  <c:v>1.4006734006734006E-3</c:v>
                </c:pt>
                <c:pt idx="2">
                  <c:v>2.6629935720844816E-3</c:v>
                </c:pt>
                <c:pt idx="3">
                  <c:v>3.8023330952623884E-3</c:v>
                </c:pt>
                <c:pt idx="4">
                  <c:v>4.8318684682321037E-3</c:v>
                </c:pt>
                <c:pt idx="5">
                  <c:v>5.7629587410151671E-3</c:v>
                </c:pt>
                <c:pt idx="6">
                  <c:v>6.6054484236302419E-3</c:v>
                </c:pt>
                <c:pt idx="7">
                  <c:v>7.367911766738745E-3</c:v>
                </c:pt>
                <c:pt idx="8">
                  <c:v>8.057851239669421E-3</c:v>
                </c:pt>
                <c:pt idx="9">
                  <c:v>8.6818599215293425E-3</c:v>
                </c:pt>
                <c:pt idx="10">
                  <c:v>9.2457552350600474E-3</c:v>
                </c:pt>
                <c:pt idx="11">
                  <c:v>9.7546897546897538E-3</c:v>
                </c:pt>
                <c:pt idx="12">
                  <c:v>1.021324354657688E-2</c:v>
                </c:pt>
                <c:pt idx="13">
                  <c:v>1.0625501534592444E-2</c:v>
                </c:pt>
                <c:pt idx="14">
                  <c:v>1.0995118650621041E-2</c:v>
                </c:pt>
                <c:pt idx="15">
                  <c:v>1.1325374961738596E-2</c:v>
                </c:pt>
                <c:pt idx="16">
                  <c:v>1.1619222528313437E-2</c:v>
                </c:pt>
                <c:pt idx="17">
                  <c:v>1.1879325404824295E-2</c:v>
                </c:pt>
                <c:pt idx="18">
                  <c:v>1.2108093926275744E-2</c:v>
                </c:pt>
                <c:pt idx="19">
                  <c:v>1.2307714210462624E-2</c:v>
                </c:pt>
                <c:pt idx="20">
                  <c:v>1.2480173637198432E-2</c:v>
                </c:pt>
                <c:pt idx="21">
                  <c:v>1.2627282930313233E-2</c:v>
                </c:pt>
                <c:pt idx="22">
                  <c:v>1.2750695359391013E-2</c:v>
                </c:pt>
                <c:pt idx="23">
                  <c:v>1.285192349022136E-2</c:v>
                </c:pt>
                <c:pt idx="24">
                  <c:v>1.293235384144475E-2</c:v>
                </c:pt>
                <c:pt idx="25">
                  <c:v>1.2993259746506501E-2</c:v>
                </c:pt>
                <c:pt idx="26">
                  <c:v>1.3035812672176308E-2</c:v>
                </c:pt>
                <c:pt idx="27">
                  <c:v>1.3061092205477232E-2</c:v>
                </c:pt>
                <c:pt idx="28">
                  <c:v>1.3070094888276707E-2</c:v>
                </c:pt>
                <c:pt idx="29">
                  <c:v>1.3063742051735192E-2</c:v>
                </c:pt>
                <c:pt idx="30">
                  <c:v>1.3042886780260514E-2</c:v>
                </c:pt>
                <c:pt idx="31">
                  <c:v>1.3008320115758131E-2</c:v>
                </c:pt>
                <c:pt idx="32">
                  <c:v>1.2960776597140233E-2</c:v>
                </c:pt>
                <c:pt idx="33">
                  <c:v>1.2900939216728689E-2</c:v>
                </c:pt>
                <c:pt idx="34">
                  <c:v>1.2829443863926622E-2</c:v>
                </c:pt>
                <c:pt idx="35">
                  <c:v>1.2746883316991177E-2</c:v>
                </c:pt>
                <c:pt idx="36">
                  <c:v>1.2653810835629019E-2</c:v>
                </c:pt>
                <c:pt idx="37">
                  <c:v>1.2550743400221789E-2</c:v>
                </c:pt>
                <c:pt idx="38">
                  <c:v>1.2438164637578127E-2</c:v>
                </c:pt>
                <c:pt idx="39">
                  <c:v>1.2316527468042619E-2</c:v>
                </c:pt>
                <c:pt idx="40">
                  <c:v>1.218625650443832E-2</c:v>
                </c:pt>
                <c:pt idx="41">
                  <c:v>1.2047750229568411E-2</c:v>
                </c:pt>
                <c:pt idx="42">
                  <c:v>1.1901382975763141E-2</c:v>
                </c:pt>
                <c:pt idx="43">
                  <c:v>1.1747506727153948E-2</c:v>
                </c:pt>
                <c:pt idx="44">
                  <c:v>1.158645276292335E-2</c:v>
                </c:pt>
                <c:pt idx="45">
                  <c:v>1.1418533157663592E-2</c:v>
                </c:pt>
              </c:numCache>
            </c:numRef>
          </c:val>
          <c:extLst>
            <c:ext xmlns:c16="http://schemas.microsoft.com/office/drawing/2014/chart" uri="{C3380CC4-5D6E-409C-BE32-E72D297353CC}">
              <c16:uniqueId val="{00000018-AA9F-4562-9DDD-C1F215640106}"/>
            </c:ext>
          </c:extLst>
        </c:ser>
        <c:ser>
          <c:idx val="25"/>
          <c:order val="25"/>
          <c:tx>
            <c:strRef>
              <c:f>'Ej. 3'!$AP$58</c:f>
              <c:strCache>
                <c:ptCount val="1"/>
                <c:pt idx="0">
                  <c:v>25</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3'!$AP$59:$AP$104</c:f>
              <c:numCache>
                <c:formatCode>0.00%</c:formatCode>
                <c:ptCount val="46"/>
                <c:pt idx="0">
                  <c:v>0</c:v>
                </c:pt>
                <c:pt idx="1">
                  <c:v>1.3813347146680482E-3</c:v>
                </c:pt>
                <c:pt idx="2">
                  <c:v>2.6301171082315868E-3</c:v>
                </c:pt>
                <c:pt idx="3">
                  <c:v>3.7605492150946701E-3</c:v>
                </c:pt>
                <c:pt idx="4">
                  <c:v>4.7848741683642424E-3</c:v>
                </c:pt>
                <c:pt idx="5">
                  <c:v>5.713702683399653E-3</c:v>
                </c:pt>
                <c:pt idx="6">
                  <c:v>6.5562763509977593E-3</c:v>
                </c:pt>
                <c:pt idx="7">
                  <c:v>7.3206815631058058E-3</c:v>
                </c:pt>
                <c:pt idx="8">
                  <c:v>8.0140245429501638E-3</c:v>
                </c:pt>
                <c:pt idx="9">
                  <c:v>8.6425754874952746E-3</c:v>
                </c:pt>
                <c:pt idx="10">
                  <c:v>9.2118879997667904E-3</c:v>
                </c:pt>
                <c:pt idx="11">
                  <c:v>9.7268986157875072E-3</c:v>
                </c:pt>
                <c:pt idx="12">
                  <c:v>1.0192010192010194E-2</c:v>
                </c:pt>
                <c:pt idx="13">
                  <c:v>1.0611162126313642E-2</c:v>
                </c:pt>
                <c:pt idx="14">
                  <c:v>1.0987889775768565E-2</c:v>
                </c:pt>
                <c:pt idx="15">
                  <c:v>1.1325374961738599E-2</c:v>
                </c:pt>
                <c:pt idx="16">
                  <c:v>1.1626489083990934E-2</c:v>
                </c:pt>
                <c:pt idx="17">
                  <c:v>1.1893830075648258E-2</c:v>
                </c:pt>
                <c:pt idx="18">
                  <c:v>1.212975420163581E-2</c:v>
                </c:pt>
                <c:pt idx="19">
                  <c:v>1.2336403520976525E-2</c:v>
                </c:pt>
                <c:pt idx="20">
                  <c:v>1.2515729687446863E-2</c:v>
                </c:pt>
                <c:pt idx="21">
                  <c:v>1.2669514645799233E-2</c:v>
                </c:pt>
                <c:pt idx="22">
                  <c:v>1.279938868591351E-2</c:v>
                </c:pt>
                <c:pt idx="23">
                  <c:v>1.2906846240179575E-2</c:v>
                </c:pt>
                <c:pt idx="24">
                  <c:v>1.2993259746506501E-2</c:v>
                </c:pt>
                <c:pt idx="25">
                  <c:v>1.3059891847770639E-2</c:v>
                </c:pt>
                <c:pt idx="26">
                  <c:v>1.3107906156034499E-2</c:v>
                </c:pt>
                <c:pt idx="27">
                  <c:v>1.3138376774740414E-2</c:v>
                </c:pt>
                <c:pt idx="28">
                  <c:v>1.3152296742919957E-2</c:v>
                </c:pt>
                <c:pt idx="29">
                  <c:v>1.3150585541157934E-2</c:v>
                </c:pt>
                <c:pt idx="30">
                  <c:v>1.3134095778723879E-2</c:v>
                </c:pt>
                <c:pt idx="31">
                  <c:v>1.3103619164225226E-2</c:v>
                </c:pt>
                <c:pt idx="32">
                  <c:v>1.3059891847770639E-2</c:v>
                </c:pt>
                <c:pt idx="33">
                  <c:v>1.3003599210495764E-2</c:v>
                </c:pt>
                <c:pt idx="34">
                  <c:v>1.2935380167018586E-2</c:v>
                </c:pt>
                <c:pt idx="35">
                  <c:v>1.2855831037649222E-2</c:v>
                </c:pt>
                <c:pt idx="36">
                  <c:v>1.2765509039726628E-2</c:v>
                </c:pt>
                <c:pt idx="37">
                  <c:v>1.2664935441084026E-2</c:v>
                </c:pt>
                <c:pt idx="38">
                  <c:v>1.2554598413184273E-2</c:v>
                </c:pt>
                <c:pt idx="39">
                  <c:v>1.24349556167738E-2</c:v>
                </c:pt>
                <c:pt idx="40">
                  <c:v>1.2306436548860792E-2</c:v>
                </c:pt>
                <c:pt idx="41">
                  <c:v>1.216944467633173E-2</c:v>
                </c:pt>
                <c:pt idx="42">
                  <c:v>1.2024359378497778E-2</c:v>
                </c:pt>
                <c:pt idx="43">
                  <c:v>1.1871537718240038E-2</c:v>
                </c:pt>
                <c:pt idx="44">
                  <c:v>1.1711316059142147E-2</c:v>
                </c:pt>
                <c:pt idx="45">
                  <c:v>1.1544011544011546E-2</c:v>
                </c:pt>
              </c:numCache>
            </c:numRef>
          </c:val>
          <c:extLst>
            <c:ext xmlns:c16="http://schemas.microsoft.com/office/drawing/2014/chart" uri="{C3380CC4-5D6E-409C-BE32-E72D297353CC}">
              <c16:uniqueId val="{00000019-AA9F-4562-9DDD-C1F215640106}"/>
            </c:ext>
          </c:extLst>
        </c:ser>
        <c:ser>
          <c:idx val="26"/>
          <c:order val="26"/>
          <c:tx>
            <c:strRef>
              <c:f>'Ej. 3'!$AQ$58</c:f>
              <c:strCache>
                <c:ptCount val="1"/>
                <c:pt idx="0">
                  <c:v>26</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3'!$AQ$59:$AQ$104</c:f>
              <c:numCache>
                <c:formatCode>0.00%</c:formatCode>
                <c:ptCount val="46"/>
                <c:pt idx="0">
                  <c:v>0</c:v>
                </c:pt>
                <c:pt idx="1">
                  <c:v>1.3617658062102507E-3</c:v>
                </c:pt>
                <c:pt idx="2">
                  <c:v>2.5964187327823696E-3</c:v>
                </c:pt>
                <c:pt idx="3">
                  <c:v>3.7171083879547835E-3</c:v>
                </c:pt>
                <c:pt idx="4">
                  <c:v>4.7352310988674623E-3</c:v>
                </c:pt>
                <c:pt idx="5">
                  <c:v>5.6607126988358651E-3</c:v>
                </c:pt>
                <c:pt idx="6">
                  <c:v>6.5022382920110191E-3</c:v>
                </c:pt>
                <c:pt idx="7">
                  <c:v>7.2674402426468531E-3</c:v>
                </c:pt>
                <c:pt idx="8">
                  <c:v>7.9630529897909575E-3</c:v>
                </c:pt>
                <c:pt idx="9">
                  <c:v>8.5950413223140499E-3</c:v>
                </c:pt>
                <c:pt idx="10">
                  <c:v>9.1687072747678802E-3</c:v>
                </c:pt>
                <c:pt idx="11">
                  <c:v>9.6887796887796893E-3</c:v>
                </c:pt>
                <c:pt idx="12">
                  <c:v>1.0159489633173844E-2</c:v>
                </c:pt>
                <c:pt idx="13">
                  <c:v>1.0584634220997856E-2</c:v>
                </c:pt>
                <c:pt idx="14">
                  <c:v>1.0967630853994489E-2</c:v>
                </c:pt>
                <c:pt idx="15">
                  <c:v>1.1311563528858428E-2</c:v>
                </c:pt>
                <c:pt idx="16">
                  <c:v>1.1619222528313438E-2</c:v>
                </c:pt>
                <c:pt idx="17">
                  <c:v>1.1893138573899674E-2</c:v>
                </c:pt>
                <c:pt idx="18">
                  <c:v>1.2135612321562737E-2</c:v>
                </c:pt>
                <c:pt idx="19">
                  <c:v>1.23487399244975E-2</c:v>
                </c:pt>
                <c:pt idx="20">
                  <c:v>1.2534435261707989E-2</c:v>
                </c:pt>
                <c:pt idx="21">
                  <c:v>1.2694449328878728E-2</c:v>
                </c:pt>
                <c:pt idx="22">
                  <c:v>1.2830387205387206E-2</c:v>
                </c:pt>
                <c:pt idx="23">
                  <c:v>1.2943722943722941E-2</c:v>
                </c:pt>
                <c:pt idx="24">
                  <c:v>1.3035812672176308E-2</c:v>
                </c:pt>
                <c:pt idx="25">
                  <c:v>1.3107906156034499E-2</c:v>
                </c:pt>
                <c:pt idx="26">
                  <c:v>1.3161157024793388E-2</c:v>
                </c:pt>
                <c:pt idx="27">
                  <c:v>1.3196631841571807E-2</c:v>
                </c:pt>
                <c:pt idx="28">
                  <c:v>1.3215318164813115E-2</c:v>
                </c:pt>
                <c:pt idx="29">
                  <c:v>1.3218131730528427E-2</c:v>
                </c:pt>
                <c:pt idx="30">
                  <c:v>1.3205922865013773E-2</c:v>
                </c:pt>
                <c:pt idx="31">
                  <c:v>1.3179482222544423E-2</c:v>
                </c:pt>
                <c:pt idx="32">
                  <c:v>1.3139545929514582E-2</c:v>
                </c:pt>
                <c:pt idx="33">
                  <c:v>1.3086800205444274E-2</c:v>
                </c:pt>
                <c:pt idx="34">
                  <c:v>1.3021885521885521E-2</c:v>
                </c:pt>
                <c:pt idx="35">
                  <c:v>1.2945400352255792E-2</c:v>
                </c:pt>
                <c:pt idx="36">
                  <c:v>1.2857904558784326E-2</c:v>
                </c:pt>
                <c:pt idx="37">
                  <c:v>1.2759922456892154E-2</c:v>
                </c:pt>
                <c:pt idx="38">
                  <c:v>1.2651945592286501E-2</c:v>
                </c:pt>
                <c:pt idx="39">
                  <c:v>1.253443526170799E-2</c:v>
                </c:pt>
                <c:pt idx="40">
                  <c:v>1.2407824804519019E-2</c:v>
                </c:pt>
                <c:pt idx="41">
                  <c:v>1.2272521689075284E-2</c:v>
                </c:pt>
                <c:pt idx="42">
                  <c:v>1.2128909415005672E-2</c:v>
                </c:pt>
                <c:pt idx="43">
                  <c:v>1.1977349250076524E-2</c:v>
                </c:pt>
                <c:pt idx="44">
                  <c:v>1.1818181818181818E-2</c:v>
                </c:pt>
                <c:pt idx="45">
                  <c:v>1.1651728553137003E-2</c:v>
                </c:pt>
              </c:numCache>
            </c:numRef>
          </c:val>
          <c:extLst>
            <c:ext xmlns:c16="http://schemas.microsoft.com/office/drawing/2014/chart" uri="{C3380CC4-5D6E-409C-BE32-E72D297353CC}">
              <c16:uniqueId val="{0000001A-AA9F-4562-9DDD-C1F215640106}"/>
            </c:ext>
          </c:extLst>
        </c:ser>
        <c:ser>
          <c:idx val="27"/>
          <c:order val="27"/>
          <c:tx>
            <c:strRef>
              <c:f>'Ej. 3'!$AR$58</c:f>
              <c:strCache>
                <c:ptCount val="1"/>
                <c:pt idx="0">
                  <c:v>27</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3'!$AR$59:$AR$104</c:f>
              <c:numCache>
                <c:formatCode>0.00%</c:formatCode>
                <c:ptCount val="46"/>
                <c:pt idx="0">
                  <c:v>0</c:v>
                </c:pt>
                <c:pt idx="1">
                  <c:v>1.341991341991342E-3</c:v>
                </c:pt>
                <c:pt idx="2">
                  <c:v>2.5619834710743808E-3</c:v>
                </c:pt>
                <c:pt idx="3">
                  <c:v>3.672176308539945E-3</c:v>
                </c:pt>
                <c:pt idx="4">
                  <c:v>4.6831955922865013E-3</c:v>
                </c:pt>
                <c:pt idx="5">
                  <c:v>5.6043388429752056E-3</c:v>
                </c:pt>
                <c:pt idx="6">
                  <c:v>6.4437766090658655E-3</c:v>
                </c:pt>
                <c:pt idx="7">
                  <c:v>7.2087181980230106E-3</c:v>
                </c:pt>
                <c:pt idx="8">
                  <c:v>7.905548996458088E-3</c:v>
                </c:pt>
                <c:pt idx="9">
                  <c:v>8.5399449035812661E-3</c:v>
                </c:pt>
                <c:pt idx="10">
                  <c:v>9.1169682078773E-3</c:v>
                </c:pt>
                <c:pt idx="11">
                  <c:v>9.6411483253588531E-3</c:v>
                </c:pt>
                <c:pt idx="12">
                  <c:v>1.0116550116550117E-2</c:v>
                </c:pt>
                <c:pt idx="13">
                  <c:v>1.0546831955922865E-2</c:v>
                </c:pt>
                <c:pt idx="14">
                  <c:v>1.0935295303366257E-2</c:v>
                </c:pt>
                <c:pt idx="15">
                  <c:v>1.1284927194018102E-2</c:v>
                </c:pt>
                <c:pt idx="16">
                  <c:v>1.1598436799282465E-2</c:v>
                </c:pt>
                <c:pt idx="17">
                  <c:v>1.1878287002253945E-2</c:v>
                </c:pt>
                <c:pt idx="18">
                  <c:v>1.2126721763085399E-2</c:v>
                </c:pt>
                <c:pt idx="19">
                  <c:v>1.2345789914959875E-2</c:v>
                </c:pt>
                <c:pt idx="20">
                  <c:v>1.2537365922278883E-2</c:v>
                </c:pt>
                <c:pt idx="21">
                  <c:v>1.2703168044077133E-2</c:v>
                </c:pt>
                <c:pt idx="22">
                  <c:v>1.2844774273345702E-2</c:v>
                </c:pt>
                <c:pt idx="23">
                  <c:v>1.2963636363636361E-2</c:v>
                </c:pt>
                <c:pt idx="24">
                  <c:v>1.3061092205477232E-2</c:v>
                </c:pt>
                <c:pt idx="25">
                  <c:v>1.3138376774740414E-2</c:v>
                </c:pt>
                <c:pt idx="26">
                  <c:v>1.3196631841571807E-2</c:v>
                </c:pt>
                <c:pt idx="27">
                  <c:v>1.3236914600550964E-2</c:v>
                </c:pt>
                <c:pt idx="28">
                  <c:v>1.3260205359378913E-2</c:v>
                </c:pt>
                <c:pt idx="29">
                  <c:v>1.3267414403778042E-2</c:v>
                </c:pt>
                <c:pt idx="30">
                  <c:v>1.3259388139770914E-2</c:v>
                </c:pt>
                <c:pt idx="31">
                  <c:v>1.3236914600550964E-2</c:v>
                </c:pt>
                <c:pt idx="32">
                  <c:v>1.32007283933324E-2</c:v>
                </c:pt>
                <c:pt idx="33">
                  <c:v>1.3151515151515152E-2</c:v>
                </c:pt>
                <c:pt idx="34">
                  <c:v>1.3089915548931942E-2</c:v>
                </c:pt>
                <c:pt idx="35">
                  <c:v>1.3016528925619835E-2</c:v>
                </c:pt>
                <c:pt idx="36">
                  <c:v>1.2931916568280206E-2</c:v>
                </c:pt>
                <c:pt idx="37">
                  <c:v>1.2836604683195594E-2</c:v>
                </c:pt>
                <c:pt idx="38">
                  <c:v>1.2731087094723459E-2</c:v>
                </c:pt>
                <c:pt idx="39">
                  <c:v>1.2615827698472328E-2</c:v>
                </c:pt>
                <c:pt idx="40">
                  <c:v>1.2491262694790509E-2</c:v>
                </c:pt>
                <c:pt idx="41">
                  <c:v>1.2357802625182305E-2</c:v>
                </c:pt>
                <c:pt idx="42">
                  <c:v>1.2215834231644507E-2</c:v>
                </c:pt>
                <c:pt idx="43">
                  <c:v>1.2065722156631249E-2</c:v>
                </c:pt>
                <c:pt idx="44">
                  <c:v>1.1907810499359794E-2</c:v>
                </c:pt>
                <c:pt idx="45">
                  <c:v>1.1742424242424242E-2</c:v>
                </c:pt>
              </c:numCache>
            </c:numRef>
          </c:val>
          <c:extLst>
            <c:ext xmlns:c16="http://schemas.microsoft.com/office/drawing/2014/chart" uri="{C3380CC4-5D6E-409C-BE32-E72D297353CC}">
              <c16:uniqueId val="{0000001B-AA9F-4562-9DDD-C1F215640106}"/>
            </c:ext>
          </c:extLst>
        </c:ser>
        <c:ser>
          <c:idx val="28"/>
          <c:order val="28"/>
          <c:tx>
            <c:strRef>
              <c:f>'Ej. 3'!$AS$58</c:f>
              <c:strCache>
                <c:ptCount val="1"/>
                <c:pt idx="0">
                  <c:v>28</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3'!$AS$59:$AS$104</c:f>
              <c:numCache>
                <c:formatCode>0.00%</c:formatCode>
                <c:ptCount val="46"/>
                <c:pt idx="0">
                  <c:v>0</c:v>
                </c:pt>
                <c:pt idx="1">
                  <c:v>1.3220325864004027E-3</c:v>
                </c:pt>
                <c:pt idx="2">
                  <c:v>2.526885011733497E-3</c:v>
                </c:pt>
                <c:pt idx="3">
                  <c:v>3.6258972915864411E-3</c:v>
                </c:pt>
                <c:pt idx="4">
                  <c:v>4.6289919395979999E-3</c:v>
                </c:pt>
                <c:pt idx="5">
                  <c:v>5.5448887404810259E-3</c:v>
                </c:pt>
                <c:pt idx="6">
                  <c:v>6.3812816219233331E-3</c:v>
                </c:pt>
                <c:pt idx="7">
                  <c:v>7.1449852055912649E-3</c:v>
                </c:pt>
                <c:pt idx="8">
                  <c:v>7.8420569329660239E-3</c:v>
                </c:pt>
                <c:pt idx="9">
                  <c:v>8.4778993869902963E-3</c:v>
                </c:pt>
                <c:pt idx="10">
                  <c:v>9.0573464576654376E-3</c:v>
                </c:pt>
                <c:pt idx="11">
                  <c:v>9.5847362514029175E-3</c:v>
                </c:pt>
                <c:pt idx="12">
                  <c:v>1.0063973063973063E-2</c:v>
                </c:pt>
                <c:pt idx="13">
                  <c:v>1.0498580284241778E-2</c:v>
                </c:pt>
                <c:pt idx="14">
                  <c:v>1.0891745740230588E-2</c:v>
                </c:pt>
                <c:pt idx="15">
                  <c:v>1.124636071781949E-2</c:v>
                </c:pt>
                <c:pt idx="16">
                  <c:v>1.1565053658717572E-2</c:v>
                </c:pt>
                <c:pt idx="17">
                  <c:v>1.185021936537088E-2</c:v>
                </c:pt>
                <c:pt idx="18">
                  <c:v>1.2104044396534515E-2</c:v>
                </c:pt>
                <c:pt idx="19">
                  <c:v>1.2328529220856751E-2</c:v>
                </c:pt>
                <c:pt idx="20">
                  <c:v>1.2525507601265176E-2</c:v>
                </c:pt>
                <c:pt idx="21">
                  <c:v>1.2696663605754515E-2</c:v>
                </c:pt>
                <c:pt idx="22">
                  <c:v>1.2843546576879909E-2</c:v>
                </c:pt>
                <c:pt idx="23">
                  <c:v>1.296758434013336E-2</c:v>
                </c:pt>
                <c:pt idx="24">
                  <c:v>1.3070094888276707E-2</c:v>
                </c:pt>
                <c:pt idx="25">
                  <c:v>1.3152296742919957E-2</c:v>
                </c:pt>
                <c:pt idx="26">
                  <c:v>1.3215318164813115E-2</c:v>
                </c:pt>
                <c:pt idx="27">
                  <c:v>1.3260205359378913E-2</c:v>
                </c:pt>
                <c:pt idx="28">
                  <c:v>1.3287929803081317E-2</c:v>
                </c:pt>
                <c:pt idx="29">
                  <c:v>1.3299394798597352E-2</c:v>
                </c:pt>
                <c:pt idx="30">
                  <c:v>1.3295441351867682E-2</c:v>
                </c:pt>
                <c:pt idx="31">
                  <c:v>1.3276853451481083E-2</c:v>
                </c:pt>
                <c:pt idx="32">
                  <c:v>1.3244362820120396E-2</c:v>
                </c:pt>
                <c:pt idx="33">
                  <c:v>1.3198653198653199E-2</c:v>
                </c:pt>
                <c:pt idx="34">
                  <c:v>1.3140364215633032E-2</c:v>
                </c:pt>
                <c:pt idx="35">
                  <c:v>1.3070094888276707E-2</c:v>
                </c:pt>
                <c:pt idx="36">
                  <c:v>1.2988406795224979E-2</c:v>
                </c:pt>
                <c:pt idx="37">
                  <c:v>1.2895826956433019E-2</c:v>
                </c:pt>
                <c:pt idx="38">
                  <c:v>1.2792850451252655E-2</c:v>
                </c:pt>
                <c:pt idx="39">
                  <c:v>1.2679942802059491E-2</c:v>
                </c:pt>
                <c:pt idx="40">
                  <c:v>1.2557542147559973E-2</c:v>
                </c:pt>
                <c:pt idx="41">
                  <c:v>1.2426061227115245E-2</c:v>
                </c:pt>
                <c:pt idx="42">
                  <c:v>1.2285889194980104E-2</c:v>
                </c:pt>
                <c:pt idx="43">
                  <c:v>1.2137393281225975E-2</c:v>
                </c:pt>
                <c:pt idx="44">
                  <c:v>1.1980920314253648E-2</c:v>
                </c:pt>
                <c:pt idx="45">
                  <c:v>1.181679811816798E-2</c:v>
                </c:pt>
              </c:numCache>
            </c:numRef>
          </c:val>
          <c:extLst>
            <c:ext xmlns:c16="http://schemas.microsoft.com/office/drawing/2014/chart" uri="{C3380CC4-5D6E-409C-BE32-E72D297353CC}">
              <c16:uniqueId val="{0000001C-AA9F-4562-9DDD-C1F215640106}"/>
            </c:ext>
          </c:extLst>
        </c:ser>
        <c:ser>
          <c:idx val="29"/>
          <c:order val="29"/>
          <c:tx>
            <c:strRef>
              <c:f>'Ej. 3'!$AT$58</c:f>
              <c:strCache>
                <c:ptCount val="1"/>
                <c:pt idx="0">
                  <c:v>29</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3'!$AT$59:$AT$104</c:f>
              <c:numCache>
                <c:formatCode>0.00%</c:formatCode>
                <c:ptCount val="46"/>
                <c:pt idx="0">
                  <c:v>0</c:v>
                </c:pt>
                <c:pt idx="1">
                  <c:v>1.3019079685746354E-3</c:v>
                </c:pt>
                <c:pt idx="2">
                  <c:v>2.4911875351758058E-3</c:v>
                </c:pt>
                <c:pt idx="3">
                  <c:v>3.5783976124885222E-3</c:v>
                </c:pt>
                <c:pt idx="4">
                  <c:v>4.5728172449935539E-3</c:v>
                </c:pt>
                <c:pt idx="5">
                  <c:v>5.4826338248798144E-3</c:v>
                </c:pt>
                <c:pt idx="6">
                  <c:v>6.3150990423717704E-3</c:v>
                </c:pt>
                <c:pt idx="7">
                  <c:v>7.0766588443356114E-3</c:v>
                </c:pt>
                <c:pt idx="8">
                  <c:v>7.7730623185168646E-3</c:v>
                </c:pt>
                <c:pt idx="9">
                  <c:v>8.4094533855299421E-3</c:v>
                </c:pt>
                <c:pt idx="10">
                  <c:v>8.9904483843877801E-3</c:v>
                </c:pt>
                <c:pt idx="11">
                  <c:v>9.5202020202020225E-3</c:v>
                </c:pt>
                <c:pt idx="12">
                  <c:v>1.0002463661000247E-2</c:v>
                </c:pt>
                <c:pt idx="13">
                  <c:v>1.0440625592140745E-2</c:v>
                </c:pt>
                <c:pt idx="14">
                  <c:v>1.0837764537553122E-2</c:v>
                </c:pt>
                <c:pt idx="15">
                  <c:v>1.1196677518991569E-2</c:v>
                </c:pt>
                <c:pt idx="16">
                  <c:v>1.1519912934054351E-2</c:v>
                </c:pt>
                <c:pt idx="17">
                  <c:v>1.180979758054857E-2</c:v>
                </c:pt>
                <c:pt idx="18">
                  <c:v>1.2068460230936055E-2</c:v>
                </c:pt>
                <c:pt idx="19">
                  <c:v>1.2297852259973473E-2</c:v>
                </c:pt>
                <c:pt idx="20">
                  <c:v>1.2499765746518995E-2</c:v>
                </c:pt>
                <c:pt idx="21">
                  <c:v>1.2675849403122132E-2</c:v>
                </c:pt>
                <c:pt idx="22">
                  <c:v>1.2827622631544203E-2</c:v>
                </c:pt>
                <c:pt idx="23">
                  <c:v>1.2956487956487957E-2</c:v>
                </c:pt>
                <c:pt idx="24">
                  <c:v>1.3063742051735192E-2</c:v>
                </c:pt>
                <c:pt idx="25">
                  <c:v>1.3150585541157934E-2</c:v>
                </c:pt>
                <c:pt idx="26">
                  <c:v>1.3218131730528427E-2</c:v>
                </c:pt>
                <c:pt idx="27">
                  <c:v>1.3267414403778042E-2</c:v>
                </c:pt>
                <c:pt idx="28">
                  <c:v>1.3299394798597352E-2</c:v>
                </c:pt>
                <c:pt idx="29">
                  <c:v>1.3314967860422409E-2</c:v>
                </c:pt>
                <c:pt idx="30">
                  <c:v>1.3314967860422406E-2</c:v>
                </c:pt>
                <c:pt idx="31">
                  <c:v>1.3300173451688603E-2</c:v>
                </c:pt>
                <c:pt idx="32">
                  <c:v>1.3271312228093154E-2</c:v>
                </c:pt>
                <c:pt idx="33">
                  <c:v>1.3229064841968069E-2</c:v>
                </c:pt>
                <c:pt idx="34">
                  <c:v>1.3174068729624285E-2</c:v>
                </c:pt>
                <c:pt idx="35">
                  <c:v>1.3106921487603307E-2</c:v>
                </c:pt>
                <c:pt idx="36">
                  <c:v>1.3028183937274848E-2</c:v>
                </c:pt>
                <c:pt idx="37">
                  <c:v>1.2938382910834703E-2</c:v>
                </c:pt>
                <c:pt idx="38">
                  <c:v>1.2838013787810262E-2</c:v>
                </c:pt>
                <c:pt idx="39">
                  <c:v>1.2727542807756714E-2</c:v>
                </c:pt>
                <c:pt idx="40">
                  <c:v>1.2607409181849235E-2</c:v>
                </c:pt>
                <c:pt idx="41">
                  <c:v>1.247802702348157E-2</c:v>
                </c:pt>
                <c:pt idx="42">
                  <c:v>1.2339787115715413E-2</c:v>
                </c:pt>
                <c:pt idx="43">
                  <c:v>1.2193058531442372E-2</c:v>
                </c:pt>
                <c:pt idx="44">
                  <c:v>1.2038190120381903E-2</c:v>
                </c:pt>
                <c:pt idx="45">
                  <c:v>1.1875511875511877E-2</c:v>
                </c:pt>
              </c:numCache>
            </c:numRef>
          </c:val>
          <c:extLst>
            <c:ext xmlns:c16="http://schemas.microsoft.com/office/drawing/2014/chart" uri="{C3380CC4-5D6E-409C-BE32-E72D297353CC}">
              <c16:uniqueId val="{0000001D-AA9F-4562-9DDD-C1F215640106}"/>
            </c:ext>
          </c:extLst>
        </c:ser>
        <c:ser>
          <c:idx val="30"/>
          <c:order val="30"/>
          <c:tx>
            <c:strRef>
              <c:f>'Ej. 3'!$AU$58</c:f>
              <c:strCache>
                <c:ptCount val="1"/>
                <c:pt idx="0">
                  <c:v>30</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3'!$AU$59:$AU$104</c:f>
              <c:numCache>
                <c:formatCode>0.00%</c:formatCode>
                <c:ptCount val="46"/>
                <c:pt idx="0">
                  <c:v>0</c:v>
                </c:pt>
                <c:pt idx="1">
                  <c:v>1.2816335396980557E-3</c:v>
                </c:pt>
                <c:pt idx="2">
                  <c:v>2.454947199265381E-3</c:v>
                </c:pt>
                <c:pt idx="3">
                  <c:v>3.5297882405320416E-3</c:v>
                </c:pt>
                <c:pt idx="4">
                  <c:v>4.5148454239363322E-3</c:v>
                </c:pt>
                <c:pt idx="5">
                  <c:v>5.4178145087235979E-3</c:v>
                </c:pt>
                <c:pt idx="6">
                  <c:v>6.2455361697785934E-3</c:v>
                </c:pt>
                <c:pt idx="7">
                  <c:v>7.0041115495660927E-3</c:v>
                </c:pt>
                <c:pt idx="8">
                  <c:v>7.6989995650282713E-3</c:v>
                </c:pt>
                <c:pt idx="9">
                  <c:v>8.3350992441901528E-3</c:v>
                </c:pt>
                <c:pt idx="10">
                  <c:v>8.9168197122742564E-3</c:v>
                </c:pt>
                <c:pt idx="11">
                  <c:v>9.4481399359448125E-3</c:v>
                </c:pt>
                <c:pt idx="12">
                  <c:v>9.9326599326599319E-3</c:v>
                </c:pt>
                <c:pt idx="13">
                  <c:v>1.0373644834532783E-2</c:v>
                </c:pt>
                <c:pt idx="14">
                  <c:v>1.0774062943484429E-2</c:v>
                </c:pt>
                <c:pt idx="15">
                  <c:v>1.1136618712376286E-2</c:v>
                </c:pt>
                <c:pt idx="16">
                  <c:v>1.1463781424255731E-2</c:v>
                </c:pt>
                <c:pt idx="17">
                  <c:v>1.1757810210421426E-2</c:v>
                </c:pt>
                <c:pt idx="18">
                  <c:v>1.2020775941230487E-2</c:v>
                </c:pt>
                <c:pt idx="19">
                  <c:v>1.2254580436398616E-2</c:v>
                </c:pt>
                <c:pt idx="20">
                  <c:v>1.2460973370064278E-2</c:v>
                </c:pt>
                <c:pt idx="21">
                  <c:v>1.2641567187021731E-2</c:v>
                </c:pt>
                <c:pt idx="22">
                  <c:v>1.2797850297850298E-2</c:v>
                </c:pt>
                <c:pt idx="23">
                  <c:v>1.2931198780255381E-2</c:v>
                </c:pt>
                <c:pt idx="24">
                  <c:v>1.3042886780260514E-2</c:v>
                </c:pt>
                <c:pt idx="25">
                  <c:v>1.3134095778723879E-2</c:v>
                </c:pt>
                <c:pt idx="26">
                  <c:v>1.3205922865013773E-2</c:v>
                </c:pt>
                <c:pt idx="27">
                  <c:v>1.3259388139770914E-2</c:v>
                </c:pt>
                <c:pt idx="28">
                  <c:v>1.3295441351867682E-2</c:v>
                </c:pt>
                <c:pt idx="29">
                  <c:v>1.3314967860422406E-2</c:v>
                </c:pt>
                <c:pt idx="30">
                  <c:v>1.3318794000612179E-2</c:v>
                </c:pt>
                <c:pt idx="31">
                  <c:v>1.3307691921700861E-2</c:v>
                </c:pt>
                <c:pt idx="32">
                  <c:v>1.328238395687076E-2</c:v>
                </c:pt>
                <c:pt idx="33">
                  <c:v>1.3243546576879909E-2</c:v>
                </c:pt>
                <c:pt idx="34">
                  <c:v>1.3191813973063972E-2</c:v>
                </c:pt>
                <c:pt idx="35">
                  <c:v>1.312778130959949E-2</c:v>
                </c:pt>
                <c:pt idx="36">
                  <c:v>1.3052007680106854E-2</c:v>
                </c:pt>
                <c:pt idx="37">
                  <c:v>1.2965018799482843E-2</c:v>
                </c:pt>
                <c:pt idx="38">
                  <c:v>1.2867309458218547E-2</c:v>
                </c:pt>
                <c:pt idx="39">
                  <c:v>1.2759345763298331E-2</c:v>
                </c:pt>
                <c:pt idx="40">
                  <c:v>1.2641567187021729E-2</c:v>
                </c:pt>
                <c:pt idx="41">
                  <c:v>1.2514388442685495E-2</c:v>
                </c:pt>
                <c:pt idx="42">
                  <c:v>1.2378201203958779E-2</c:v>
                </c:pt>
                <c:pt idx="43">
                  <c:v>1.2233375682939817E-2</c:v>
                </c:pt>
                <c:pt idx="44">
                  <c:v>1.2080262080262078E-2</c:v>
                </c:pt>
                <c:pt idx="45">
                  <c:v>1.1919191919191918E-2</c:v>
                </c:pt>
              </c:numCache>
            </c:numRef>
          </c:val>
          <c:extLst>
            <c:ext xmlns:c16="http://schemas.microsoft.com/office/drawing/2014/chart" uri="{C3380CC4-5D6E-409C-BE32-E72D297353CC}">
              <c16:uniqueId val="{0000001E-AA9F-4562-9DDD-C1F215640106}"/>
            </c:ext>
          </c:extLst>
        </c:ser>
        <c:ser>
          <c:idx val="31"/>
          <c:order val="31"/>
          <c:tx>
            <c:strRef>
              <c:f>'Ej. 3'!$AV$58</c:f>
              <c:strCache>
                <c:ptCount val="1"/>
                <c:pt idx="0">
                  <c:v>31</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3'!$AV$59:$AV$104</c:f>
              <c:numCache>
                <c:formatCode>0.00%</c:formatCode>
                <c:ptCount val="46"/>
                <c:pt idx="0">
                  <c:v>0</c:v>
                </c:pt>
                <c:pt idx="1">
                  <c:v>1.2612233445566778E-3</c:v>
                </c:pt>
                <c:pt idx="2">
                  <c:v>2.4182133548524736E-3</c:v>
                </c:pt>
                <c:pt idx="3">
                  <c:v>3.4801670897927585E-3</c:v>
                </c:pt>
                <c:pt idx="4">
                  <c:v>4.4552305158365767E-3</c:v>
                </c:pt>
                <c:pt idx="5">
                  <c:v>5.3506444920586324E-3</c:v>
                </c:pt>
                <c:pt idx="6">
                  <c:v>6.172867081957991E-3</c:v>
                </c:pt>
                <c:pt idx="7">
                  <c:v>6.9276765528759141E-3</c:v>
                </c:pt>
                <c:pt idx="8">
                  <c:v>7.620258529349438E-3</c:v>
                </c:pt>
                <c:pt idx="9">
                  <c:v>8.2552800734618913E-3</c:v>
                </c:pt>
                <c:pt idx="10">
                  <c:v>8.8369529241665232E-3</c:v>
                </c:pt>
                <c:pt idx="11">
                  <c:v>9.3690877024210362E-3</c:v>
                </c:pt>
                <c:pt idx="12">
                  <c:v>9.855140552814971E-3</c:v>
                </c:pt>
                <c:pt idx="13">
                  <c:v>1.0298253424975187E-2</c:v>
                </c:pt>
                <c:pt idx="14">
                  <c:v>1.0701288984117265E-2</c:v>
                </c:pt>
                <c:pt idx="15">
                  <c:v>1.1066860968046736E-2</c:v>
                </c:pt>
                <c:pt idx="16">
                  <c:v>1.1397360668798451E-2</c:v>
                </c:pt>
                <c:pt idx="17">
                  <c:v>1.1694980104071011E-2</c:v>
                </c:pt>
                <c:pt idx="18">
                  <c:v>1.1961732351342741E-2</c:v>
                </c:pt>
                <c:pt idx="19">
                  <c:v>1.2199469441893684E-2</c:v>
                </c:pt>
                <c:pt idx="20">
                  <c:v>1.2409898149648596E-2</c:v>
                </c:pt>
                <c:pt idx="21">
                  <c:v>1.2594593958230323E-2</c:v>
                </c:pt>
                <c:pt idx="22">
                  <c:v>1.2755013446837346E-2</c:v>
                </c:pt>
                <c:pt idx="23">
                  <c:v>1.2892505299912706E-2</c:v>
                </c:pt>
                <c:pt idx="24">
                  <c:v>1.3008320115758131E-2</c:v>
                </c:pt>
                <c:pt idx="25">
                  <c:v>1.3103619164225226E-2</c:v>
                </c:pt>
                <c:pt idx="26">
                  <c:v>1.3179482222544423E-2</c:v>
                </c:pt>
                <c:pt idx="27">
                  <c:v>1.3236914600550964E-2</c:v>
                </c:pt>
                <c:pt idx="28">
                  <c:v>1.3276853451481083E-2</c:v>
                </c:pt>
                <c:pt idx="29">
                  <c:v>1.3300173451688603E-2</c:v>
                </c:pt>
                <c:pt idx="30">
                  <c:v>1.3307691921700861E-2</c:v>
                </c:pt>
                <c:pt idx="31">
                  <c:v>1.3300173451688602E-2</c:v>
                </c:pt>
                <c:pt idx="32">
                  <c:v>1.3278334086414894E-2</c:v>
                </c:pt>
                <c:pt idx="33">
                  <c:v>1.3242845117845117E-2</c:v>
                </c:pt>
                <c:pt idx="34">
                  <c:v>1.319433652766986E-2</c:v>
                </c:pt>
                <c:pt idx="35">
                  <c:v>1.3133400116871191E-2</c:v>
                </c:pt>
                <c:pt idx="36">
                  <c:v>1.3060592355029262E-2</c:v>
                </c:pt>
                <c:pt idx="37">
                  <c:v>1.297643697821951E-2</c:v>
                </c:pt>
                <c:pt idx="38">
                  <c:v>1.2881427361005754E-2</c:v>
                </c:pt>
                <c:pt idx="39">
                  <c:v>1.2776028685119595E-2</c:v>
                </c:pt>
                <c:pt idx="40">
                  <c:v>1.2660679924871132E-2</c:v>
                </c:pt>
                <c:pt idx="41">
                  <c:v>1.2535795667108798E-2</c:v>
                </c:pt>
                <c:pt idx="42">
                  <c:v>1.2401767781593435E-2</c:v>
                </c:pt>
                <c:pt idx="43">
                  <c:v>1.2258966955936654E-2</c:v>
                </c:pt>
                <c:pt idx="44">
                  <c:v>1.2107744107744107E-2</c:v>
                </c:pt>
                <c:pt idx="45">
                  <c:v>1.194843168527379E-2</c:v>
                </c:pt>
              </c:numCache>
            </c:numRef>
          </c:val>
          <c:extLst>
            <c:ext xmlns:c16="http://schemas.microsoft.com/office/drawing/2014/chart" uri="{C3380CC4-5D6E-409C-BE32-E72D297353CC}">
              <c16:uniqueId val="{0000001F-AA9F-4562-9DDD-C1F215640106}"/>
            </c:ext>
          </c:extLst>
        </c:ser>
        <c:ser>
          <c:idx val="32"/>
          <c:order val="32"/>
          <c:tx>
            <c:strRef>
              <c:f>'Ej. 3'!$AW$58</c:f>
              <c:strCache>
                <c:ptCount val="1"/>
                <c:pt idx="0">
                  <c:v>32</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3'!$AW$59:$AW$104</c:f>
              <c:numCache>
                <c:formatCode>0.00%</c:formatCode>
                <c:ptCount val="46"/>
                <c:pt idx="0">
                  <c:v>0</c:v>
                </c:pt>
                <c:pt idx="1">
                  <c:v>1.2406897255382106E-3</c:v>
                </c:pt>
                <c:pt idx="2">
                  <c:v>2.3810295468049483E-3</c:v>
                </c:pt>
                <c:pt idx="3">
                  <c:v>3.4296208841663391E-3</c:v>
                </c:pt>
                <c:pt idx="4">
                  <c:v>4.3941094446144947E-3</c:v>
                </c:pt>
                <c:pt idx="5">
                  <c:v>5.2813143722234635E-3</c:v>
                </c:pt>
                <c:pt idx="6">
                  <c:v>6.0973370064279159E-3</c:v>
                </c:pt>
                <c:pt idx="7">
                  <c:v>6.8476529082589681E-3</c:v>
                </c:pt>
                <c:pt idx="8">
                  <c:v>7.5371900826446282E-3</c:v>
                </c:pt>
                <c:pt idx="9">
                  <c:v>8.1703957535443142E-3</c:v>
                </c:pt>
                <c:pt idx="10">
                  <c:v>8.7512935997784494E-3</c:v>
                </c:pt>
                <c:pt idx="11">
                  <c:v>9.2835330044632371E-3</c:v>
                </c:pt>
                <c:pt idx="12">
                  <c:v>9.7704315886134076E-3</c:v>
                </c:pt>
                <c:pt idx="13">
                  <c:v>1.0215012073597932E-2</c:v>
                </c:pt>
                <c:pt idx="14">
                  <c:v>1.0620034335449354E-2</c:v>
                </c:pt>
                <c:pt idx="15">
                  <c:v>1.0988023367133618E-2</c:v>
                </c:pt>
                <c:pt idx="16">
                  <c:v>1.1321293745536171E-2</c:v>
                </c:pt>
                <c:pt idx="17">
                  <c:v>1.1621971102490584E-2</c:v>
                </c:pt>
                <c:pt idx="18">
                  <c:v>1.1892011019283747E-2</c:v>
                </c:pt>
                <c:pt idx="19">
                  <c:v>1.2133215698278087E-2</c:v>
                </c:pt>
                <c:pt idx="20">
                  <c:v>1.2347248710885076E-2</c:v>
                </c:pt>
                <c:pt idx="21">
                  <c:v>1.2535648075956824E-2</c:v>
                </c:pt>
                <c:pt idx="22">
                  <c:v>1.2699837885023071E-2</c:v>
                </c:pt>
                <c:pt idx="23">
                  <c:v>1.2841138659320477E-2</c:v>
                </c:pt>
                <c:pt idx="24">
                  <c:v>1.2960776597140233E-2</c:v>
                </c:pt>
                <c:pt idx="25">
                  <c:v>1.3059891847770639E-2</c:v>
                </c:pt>
                <c:pt idx="26">
                  <c:v>1.3139545929514582E-2</c:v>
                </c:pt>
                <c:pt idx="27">
                  <c:v>1.32007283933324E-2</c:v>
                </c:pt>
                <c:pt idx="28">
                  <c:v>1.3244362820120396E-2</c:v>
                </c:pt>
                <c:pt idx="29">
                  <c:v>1.3271312228093154E-2</c:v>
                </c:pt>
                <c:pt idx="30">
                  <c:v>1.328238395687076E-2</c:v>
                </c:pt>
                <c:pt idx="31">
                  <c:v>1.3278334086414894E-2</c:v>
                </c:pt>
                <c:pt idx="32">
                  <c:v>1.3259871441689625E-2</c:v>
                </c:pt>
                <c:pt idx="33">
                  <c:v>1.3227661227661228E-2</c:v>
                </c:pt>
                <c:pt idx="34">
                  <c:v>1.3182328333843486E-2</c:v>
                </c:pt>
                <c:pt idx="35">
                  <c:v>1.3124460342913534E-2</c:v>
                </c:pt>
                <c:pt idx="36">
                  <c:v>1.3054610273861612E-2</c:v>
                </c:pt>
                <c:pt idx="37">
                  <c:v>1.297329908660607E-2</c:v>
                </c:pt>
                <c:pt idx="38">
                  <c:v>1.2881017971927063E-2</c:v>
                </c:pt>
                <c:pt idx="39">
                  <c:v>1.277823044788474E-2</c:v>
                </c:pt>
                <c:pt idx="40">
                  <c:v>1.2665374281535897E-2</c:v>
                </c:pt>
                <c:pt idx="41">
                  <c:v>1.2542863252701359E-2</c:v>
                </c:pt>
                <c:pt idx="42">
                  <c:v>1.2411088774725139E-2</c:v>
                </c:pt>
                <c:pt idx="43">
                  <c:v>1.2270421385572902E-2</c:v>
                </c:pt>
                <c:pt idx="44">
                  <c:v>1.2121212121212121E-2</c:v>
                </c:pt>
                <c:pt idx="45">
                  <c:v>1.1963793781975601E-2</c:v>
                </c:pt>
              </c:numCache>
            </c:numRef>
          </c:val>
          <c:extLst>
            <c:ext xmlns:c16="http://schemas.microsoft.com/office/drawing/2014/chart" uri="{C3380CC4-5D6E-409C-BE32-E72D297353CC}">
              <c16:uniqueId val="{00000020-AA9F-4562-9DDD-C1F215640106}"/>
            </c:ext>
          </c:extLst>
        </c:ser>
        <c:ser>
          <c:idx val="33"/>
          <c:order val="33"/>
          <c:tx>
            <c:strRef>
              <c:f>'Ej. 3'!$AX$58</c:f>
              <c:strCache>
                <c:ptCount val="1"/>
                <c:pt idx="0">
                  <c:v>33</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3'!$AX$59:$AX$104</c:f>
              <c:numCache>
                <c:formatCode>0.00%</c:formatCode>
                <c:ptCount val="46"/>
                <c:pt idx="0">
                  <c:v>0</c:v>
                </c:pt>
                <c:pt idx="1">
                  <c:v>1.2200435729847494E-3</c:v>
                </c:pt>
                <c:pt idx="2">
                  <c:v>2.343434343434344E-3</c:v>
                </c:pt>
                <c:pt idx="3">
                  <c:v>3.3782267115600451E-3</c:v>
                </c:pt>
                <c:pt idx="4">
                  <c:v>4.331604331604331E-3</c:v>
                </c:pt>
                <c:pt idx="5">
                  <c:v>5.2099946836788938E-3</c:v>
                </c:pt>
                <c:pt idx="6">
                  <c:v>6.0191660191660197E-3</c:v>
                </c:pt>
                <c:pt idx="7">
                  <c:v>6.7643097643097644E-3</c:v>
                </c:pt>
                <c:pt idx="8">
                  <c:v>7.4501108647450119E-3</c:v>
                </c:pt>
                <c:pt idx="9">
                  <c:v>8.0808080808080808E-3</c:v>
                </c:pt>
                <c:pt idx="10">
                  <c:v>8.660245869548196E-3</c:v>
                </c:pt>
                <c:pt idx="11">
                  <c:v>9.1919191919191921E-3</c:v>
                </c:pt>
                <c:pt idx="12">
                  <c:v>9.6790123456790122E-3</c:v>
                </c:pt>
                <c:pt idx="13">
                  <c:v>1.0124432733128385E-2</c:v>
                </c:pt>
                <c:pt idx="14">
                  <c:v>1.053084031807436E-2</c:v>
                </c:pt>
                <c:pt idx="15">
                  <c:v>1.0900673400673399E-2</c:v>
                </c:pt>
                <c:pt idx="16">
                  <c:v>1.1236171236171237E-2</c:v>
                </c:pt>
                <c:pt idx="17">
                  <c:v>1.1539393939393938E-2</c:v>
                </c:pt>
                <c:pt idx="18">
                  <c:v>1.1812240047534167E-2</c:v>
                </c:pt>
                <c:pt idx="19">
                  <c:v>1.2056462056462056E-2</c:v>
                </c:pt>
                <c:pt idx="20">
                  <c:v>1.2273680198208502E-2</c:v>
                </c:pt>
                <c:pt idx="21">
                  <c:v>1.2465394687616911E-2</c:v>
                </c:pt>
                <c:pt idx="22">
                  <c:v>1.2632996632996635E-2</c:v>
                </c:pt>
                <c:pt idx="23">
                  <c:v>1.2777777777777777E-2</c:v>
                </c:pt>
                <c:pt idx="24">
                  <c:v>1.2900939216728689E-2</c:v>
                </c:pt>
                <c:pt idx="25">
                  <c:v>1.3003599210495764E-2</c:v>
                </c:pt>
                <c:pt idx="26">
                  <c:v>1.3086800205444274E-2</c:v>
                </c:pt>
                <c:pt idx="27">
                  <c:v>1.3151515151515152E-2</c:v>
                </c:pt>
                <c:pt idx="28">
                  <c:v>1.3198653198653199E-2</c:v>
                </c:pt>
                <c:pt idx="29">
                  <c:v>1.3229064841968069E-2</c:v>
                </c:pt>
                <c:pt idx="30">
                  <c:v>1.3243546576879909E-2</c:v>
                </c:pt>
                <c:pt idx="31">
                  <c:v>1.3242845117845117E-2</c:v>
                </c:pt>
                <c:pt idx="32">
                  <c:v>1.3227661227661228E-2</c:v>
                </c:pt>
                <c:pt idx="33">
                  <c:v>1.3198653198653199E-2</c:v>
                </c:pt>
                <c:pt idx="34">
                  <c:v>1.3156440022111663E-2</c:v>
                </c:pt>
                <c:pt idx="35">
                  <c:v>1.3101604278074868E-2</c:v>
                </c:pt>
                <c:pt idx="36">
                  <c:v>1.303469477382521E-2</c:v>
                </c:pt>
                <c:pt idx="37">
                  <c:v>1.2956228956228957E-2</c:v>
                </c:pt>
                <c:pt idx="38">
                  <c:v>1.2866695120216248E-2</c:v>
                </c:pt>
                <c:pt idx="39">
                  <c:v>1.2766554433221101E-2</c:v>
                </c:pt>
                <c:pt idx="40">
                  <c:v>1.2656242793229095E-2</c:v>
                </c:pt>
                <c:pt idx="41">
                  <c:v>1.2536172536172535E-2</c:v>
                </c:pt>
                <c:pt idx="42">
                  <c:v>1.2406734006734007E-2</c:v>
                </c:pt>
                <c:pt idx="43">
                  <c:v>1.2268297005139112E-2</c:v>
                </c:pt>
                <c:pt idx="44">
                  <c:v>1.2121212121212121E-2</c:v>
                </c:pt>
                <c:pt idx="45">
                  <c:v>1.1965811965811967E-2</c:v>
                </c:pt>
              </c:numCache>
            </c:numRef>
          </c:val>
          <c:extLst>
            <c:ext xmlns:c16="http://schemas.microsoft.com/office/drawing/2014/chart" uri="{C3380CC4-5D6E-409C-BE32-E72D297353CC}">
              <c16:uniqueId val="{00000021-AA9F-4562-9DDD-C1F215640106}"/>
            </c:ext>
          </c:extLst>
        </c:ser>
        <c:ser>
          <c:idx val="34"/>
          <c:order val="34"/>
          <c:tx>
            <c:strRef>
              <c:f>'Ej. 3'!$AY$58</c:f>
              <c:strCache>
                <c:ptCount val="1"/>
                <c:pt idx="0">
                  <c:v>34</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3'!$AY$59:$AY$104</c:f>
              <c:numCache>
                <c:formatCode>0.00%</c:formatCode>
                <c:ptCount val="46"/>
                <c:pt idx="0">
                  <c:v>0</c:v>
                </c:pt>
                <c:pt idx="1">
                  <c:v>1.1992945326278659E-3</c:v>
                </c:pt>
                <c:pt idx="2">
                  <c:v>2.3054620276842502E-3</c:v>
                </c:pt>
                <c:pt idx="3">
                  <c:v>3.3260533260533261E-3</c:v>
                </c:pt>
                <c:pt idx="4">
                  <c:v>4.267824443263039E-3</c:v>
                </c:pt>
                <c:pt idx="5">
                  <c:v>5.1368384701718029E-3</c:v>
                </c:pt>
                <c:pt idx="6">
                  <c:v>5.9385521885521892E-3</c:v>
                </c:pt>
                <c:pt idx="7">
                  <c:v>6.677890011223344E-3</c:v>
                </c:pt>
                <c:pt idx="8">
                  <c:v>7.3593073593073589E-3</c:v>
                </c:pt>
                <c:pt idx="9">
                  <c:v>7.9868451961475212E-3</c:v>
                </c:pt>
                <c:pt idx="10">
                  <c:v>8.5641771247831847E-3</c:v>
                </c:pt>
                <c:pt idx="11">
                  <c:v>9.094650205761317E-3</c:v>
                </c:pt>
                <c:pt idx="12">
                  <c:v>9.5813204508856682E-3</c:v>
                </c:pt>
                <c:pt idx="13">
                  <c:v>1.0026983785849033E-2</c:v>
                </c:pt>
                <c:pt idx="14">
                  <c:v>1.0434203142536473E-2</c:v>
                </c:pt>
                <c:pt idx="15">
                  <c:v>1.0805332233903661E-2</c:v>
                </c:pt>
                <c:pt idx="16">
                  <c:v>1.1142536475869809E-2</c:v>
                </c:pt>
                <c:pt idx="17">
                  <c:v>1.1447811447811448E-2</c:v>
                </c:pt>
                <c:pt idx="18">
                  <c:v>1.1722999222999223E-2</c:v>
                </c:pt>
                <c:pt idx="19">
                  <c:v>1.1969802850305994E-2</c:v>
                </c:pt>
                <c:pt idx="20">
                  <c:v>1.2189799226836264E-2</c:v>
                </c:pt>
                <c:pt idx="21">
                  <c:v>1.2384450566268749E-2</c:v>
                </c:pt>
                <c:pt idx="22">
                  <c:v>1.2555114638447971E-2</c:v>
                </c:pt>
                <c:pt idx="23">
                  <c:v>1.2703053931124106E-2</c:v>
                </c:pt>
                <c:pt idx="24">
                  <c:v>1.2829443863926622E-2</c:v>
                </c:pt>
                <c:pt idx="25">
                  <c:v>1.2935380167018586E-2</c:v>
                </c:pt>
                <c:pt idx="26">
                  <c:v>1.3021885521885521E-2</c:v>
                </c:pt>
                <c:pt idx="27">
                  <c:v>1.3089915548931942E-2</c:v>
                </c:pt>
                <c:pt idx="28">
                  <c:v>1.3140364215633032E-2</c:v>
                </c:pt>
                <c:pt idx="29">
                  <c:v>1.3174068729624285E-2</c:v>
                </c:pt>
                <c:pt idx="30">
                  <c:v>1.3191813973063972E-2</c:v>
                </c:pt>
                <c:pt idx="31">
                  <c:v>1.319433652766986E-2</c:v>
                </c:pt>
                <c:pt idx="32">
                  <c:v>1.3182328333843486E-2</c:v>
                </c:pt>
                <c:pt idx="33">
                  <c:v>1.3156440022111663E-2</c:v>
                </c:pt>
                <c:pt idx="34">
                  <c:v>1.3117283950617283E-2</c:v>
                </c:pt>
                <c:pt idx="35">
                  <c:v>1.3065436978480456E-2</c:v>
                </c:pt>
                <c:pt idx="36">
                  <c:v>1.3001443001443003E-2</c:v>
                </c:pt>
                <c:pt idx="37">
                  <c:v>1.2925815273233113E-2</c:v>
                </c:pt>
                <c:pt idx="38">
                  <c:v>1.2839038533482977E-2</c:v>
                </c:pt>
                <c:pt idx="39">
                  <c:v>1.2741570960749043E-2</c:v>
                </c:pt>
                <c:pt idx="40">
                  <c:v>1.26338459671793E-2</c:v>
                </c:pt>
                <c:pt idx="41">
                  <c:v>1.2516273849607181E-2</c:v>
                </c:pt>
                <c:pt idx="42">
                  <c:v>1.2389243310295941E-2</c:v>
                </c:pt>
                <c:pt idx="43">
                  <c:v>1.2253122859183466E-2</c:v>
                </c:pt>
                <c:pt idx="44">
                  <c:v>1.2108262108262107E-2</c:v>
                </c:pt>
                <c:pt idx="45">
                  <c:v>1.1954992967651195E-2</c:v>
                </c:pt>
              </c:numCache>
            </c:numRef>
          </c:val>
          <c:extLst>
            <c:ext xmlns:c16="http://schemas.microsoft.com/office/drawing/2014/chart" uri="{C3380CC4-5D6E-409C-BE32-E72D297353CC}">
              <c16:uniqueId val="{00000022-AA9F-4562-9DDD-C1F215640106}"/>
            </c:ext>
          </c:extLst>
        </c:ser>
        <c:ser>
          <c:idx val="35"/>
          <c:order val="35"/>
          <c:tx>
            <c:strRef>
              <c:f>'Ej. 3'!$AZ$58</c:f>
              <c:strCache>
                <c:ptCount val="1"/>
                <c:pt idx="0">
                  <c:v>35</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3'!$AZ$59:$AZ$104</c:f>
              <c:numCache>
                <c:formatCode>0.00%</c:formatCode>
                <c:ptCount val="46"/>
                <c:pt idx="0">
                  <c:v>0</c:v>
                </c:pt>
                <c:pt idx="1">
                  <c:v>1.1784511784511786E-3</c:v>
                </c:pt>
                <c:pt idx="2">
                  <c:v>2.267143176234086E-3</c:v>
                </c:pt>
                <c:pt idx="3">
                  <c:v>3.2731622444541106E-3</c:v>
                </c:pt>
                <c:pt idx="4">
                  <c:v>4.202867839231475E-3</c:v>
                </c:pt>
                <c:pt idx="5">
                  <c:v>5.06198347107438E-3</c:v>
                </c:pt>
                <c:pt idx="6">
                  <c:v>5.8556742592219312E-3</c:v>
                </c:pt>
                <c:pt idx="7">
                  <c:v>6.5886134067952244E-3</c:v>
                </c:pt>
                <c:pt idx="8">
                  <c:v>7.2650394003459543E-3</c:v>
                </c:pt>
                <c:pt idx="9">
                  <c:v>7.888805409466567E-3</c:v>
                </c:pt>
                <c:pt idx="10">
                  <c:v>8.4634220997857369E-3</c:v>
                </c:pt>
                <c:pt idx="11">
                  <c:v>8.9920948616600809E-3</c:v>
                </c:pt>
                <c:pt idx="12">
                  <c:v>9.4777562862669255E-3</c:v>
                </c:pt>
                <c:pt idx="13">
                  <c:v>9.9230945821854911E-3</c:v>
                </c:pt>
                <c:pt idx="14">
                  <c:v>1.0330578512396695E-2</c:v>
                </c:pt>
                <c:pt idx="15">
                  <c:v>1.0702479338842974E-2</c:v>
                </c:pt>
                <c:pt idx="16">
                  <c:v>1.1040890185275215E-2</c:v>
                </c:pt>
                <c:pt idx="17">
                  <c:v>1.1347743165924986E-2</c:v>
                </c:pt>
                <c:pt idx="18">
                  <c:v>1.1624824575081866E-2</c:v>
                </c:pt>
                <c:pt idx="19">
                  <c:v>1.1873788388939906E-2</c:v>
                </c:pt>
                <c:pt idx="20">
                  <c:v>1.2096168294515404E-2</c:v>
                </c:pt>
                <c:pt idx="21">
                  <c:v>1.2293388429752066E-2</c:v>
                </c:pt>
                <c:pt idx="22">
                  <c:v>1.2466772993088784E-2</c:v>
                </c:pt>
                <c:pt idx="23">
                  <c:v>1.261755485893417E-2</c:v>
                </c:pt>
                <c:pt idx="24">
                  <c:v>1.2746883316991177E-2</c:v>
                </c:pt>
                <c:pt idx="25">
                  <c:v>1.2855831037649222E-2</c:v>
                </c:pt>
                <c:pt idx="26">
                  <c:v>1.2945400352255792E-2</c:v>
                </c:pt>
                <c:pt idx="27">
                  <c:v>1.3016528925619835E-2</c:v>
                </c:pt>
                <c:pt idx="28">
                  <c:v>1.3070094888276707E-2</c:v>
                </c:pt>
                <c:pt idx="29">
                  <c:v>1.3106921487603307E-2</c:v>
                </c:pt>
                <c:pt idx="30">
                  <c:v>1.312778130959949E-2</c:v>
                </c:pt>
                <c:pt idx="31">
                  <c:v>1.3133400116871191E-2</c:v>
                </c:pt>
                <c:pt idx="32">
                  <c:v>1.3124460342913534E-2</c:v>
                </c:pt>
                <c:pt idx="33">
                  <c:v>1.3101604278074868E-2</c:v>
                </c:pt>
                <c:pt idx="34">
                  <c:v>1.3065436978480456E-2</c:v>
                </c:pt>
                <c:pt idx="35">
                  <c:v>1.3016528925619837E-2</c:v>
                </c:pt>
                <c:pt idx="36">
                  <c:v>1.2955418461180306E-2</c:v>
                </c:pt>
                <c:pt idx="37">
                  <c:v>1.2882614018977657E-2</c:v>
                </c:pt>
                <c:pt idx="38">
                  <c:v>1.2798596173440507E-2</c:v>
                </c:pt>
                <c:pt idx="39">
                  <c:v>1.2703819522001341E-2</c:v>
                </c:pt>
                <c:pt idx="40">
                  <c:v>1.2598714416896235E-2</c:v>
                </c:pt>
                <c:pt idx="41">
                  <c:v>1.2483688560243584E-2</c:v>
                </c:pt>
                <c:pt idx="42">
                  <c:v>1.2359128474830955E-2</c:v>
                </c:pt>
                <c:pt idx="43">
                  <c:v>1.2225400861764501E-2</c:v>
                </c:pt>
                <c:pt idx="44">
                  <c:v>1.2082853855005755E-2</c:v>
                </c:pt>
                <c:pt idx="45">
                  <c:v>1.1931818181818182E-2</c:v>
                </c:pt>
              </c:numCache>
            </c:numRef>
          </c:val>
          <c:extLst>
            <c:ext xmlns:c16="http://schemas.microsoft.com/office/drawing/2014/chart" uri="{C3380CC4-5D6E-409C-BE32-E72D297353CC}">
              <c16:uniqueId val="{00000023-AA9F-4562-9DDD-C1F215640106}"/>
            </c:ext>
          </c:extLst>
        </c:ser>
        <c:ser>
          <c:idx val="36"/>
          <c:order val="36"/>
          <c:tx>
            <c:strRef>
              <c:f>'Ej. 3'!$BA$58</c:f>
              <c:strCache>
                <c:ptCount val="1"/>
                <c:pt idx="0">
                  <c:v>36</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3'!$BA$59:$BA$104</c:f>
              <c:numCache>
                <c:formatCode>0.00%</c:formatCode>
                <c:ptCount val="46"/>
                <c:pt idx="0">
                  <c:v>0</c:v>
                </c:pt>
                <c:pt idx="1">
                  <c:v>1.1575211575211577E-3</c:v>
                </c:pt>
                <c:pt idx="2">
                  <c:v>2.2285051471654348E-3</c:v>
                </c:pt>
                <c:pt idx="3">
                  <c:v>3.2196086741541293E-3</c:v>
                </c:pt>
                <c:pt idx="4">
                  <c:v>4.1368227731864099E-3</c:v>
                </c:pt>
                <c:pt idx="5">
                  <c:v>4.9855539877712825E-3</c:v>
                </c:pt>
                <c:pt idx="6">
                  <c:v>5.7706939525121355E-3</c:v>
                </c:pt>
                <c:pt idx="7">
                  <c:v>6.4966792662352925E-3</c:v>
                </c:pt>
                <c:pt idx="8">
                  <c:v>7.1675432006010533E-3</c:v>
                </c:pt>
                <c:pt idx="9">
                  <c:v>7.7869605142332418E-3</c:v>
                </c:pt>
                <c:pt idx="10">
                  <c:v>8.3582864215275294E-3</c:v>
                </c:pt>
                <c:pt idx="11">
                  <c:v>8.8845905867182481E-3</c:v>
                </c:pt>
                <c:pt idx="12">
                  <c:v>9.36868686868687E-3</c:v>
                </c:pt>
                <c:pt idx="13">
                  <c:v>9.8131594235490345E-3</c:v>
                </c:pt>
                <c:pt idx="14">
                  <c:v>1.022038567493113E-2</c:v>
                </c:pt>
                <c:pt idx="15">
                  <c:v>1.0592556581861395E-2</c:v>
                </c:pt>
                <c:pt idx="16">
                  <c:v>1.0931694568058205E-2</c:v>
                </c:pt>
                <c:pt idx="17">
                  <c:v>1.1239669421487604E-2</c:v>
                </c:pt>
                <c:pt idx="18">
                  <c:v>1.1518212427303338E-2</c:v>
                </c:pt>
                <c:pt idx="19">
                  <c:v>1.1768928959011604E-2</c:v>
                </c:pt>
                <c:pt idx="20">
                  <c:v>1.199330972058245E-2</c:v>
                </c:pt>
                <c:pt idx="21">
                  <c:v>1.2192740805180999E-2</c:v>
                </c:pt>
                <c:pt idx="22">
                  <c:v>1.23685127133403E-2</c:v>
                </c:pt>
                <c:pt idx="23">
                  <c:v>1.2521828454031844E-2</c:v>
                </c:pt>
                <c:pt idx="24">
                  <c:v>1.2653810835629019E-2</c:v>
                </c:pt>
                <c:pt idx="25">
                  <c:v>1.2765509039726628E-2</c:v>
                </c:pt>
                <c:pt idx="26">
                  <c:v>1.2857904558784326E-2</c:v>
                </c:pt>
                <c:pt idx="27">
                  <c:v>1.2931916568280206E-2</c:v>
                </c:pt>
                <c:pt idx="28">
                  <c:v>1.2988406795224979E-2</c:v>
                </c:pt>
                <c:pt idx="29">
                  <c:v>1.3028183937274848E-2</c:v>
                </c:pt>
                <c:pt idx="30">
                  <c:v>1.3052007680106854E-2</c:v>
                </c:pt>
                <c:pt idx="31">
                  <c:v>1.3060592355029262E-2</c:v>
                </c:pt>
                <c:pt idx="32">
                  <c:v>1.3054610273861612E-2</c:v>
                </c:pt>
                <c:pt idx="33">
                  <c:v>1.303469477382521E-2</c:v>
                </c:pt>
                <c:pt idx="34">
                  <c:v>1.3001443001443003E-2</c:v>
                </c:pt>
                <c:pt idx="35">
                  <c:v>1.2955418461180306E-2</c:v>
                </c:pt>
                <c:pt idx="36">
                  <c:v>1.2897153351698809E-2</c:v>
                </c:pt>
                <c:pt idx="37">
                  <c:v>1.2827150710089691E-2</c:v>
                </c:pt>
                <c:pt idx="38">
                  <c:v>1.274588638225002E-2</c:v>
                </c:pt>
                <c:pt idx="39">
                  <c:v>1.2653810835629019E-2</c:v>
                </c:pt>
                <c:pt idx="40">
                  <c:v>1.255135082886279E-2</c:v>
                </c:pt>
                <c:pt idx="41">
                  <c:v>1.2438910951307646E-2</c:v>
                </c:pt>
                <c:pt idx="42">
                  <c:v>1.2316875044147774E-2</c:v>
                </c:pt>
                <c:pt idx="43">
                  <c:v>1.2185607513570692E-2</c:v>
                </c:pt>
                <c:pt idx="44">
                  <c:v>1.2045454545454547E-2</c:v>
                </c:pt>
                <c:pt idx="45">
                  <c:v>1.1896745230078564E-2</c:v>
                </c:pt>
              </c:numCache>
            </c:numRef>
          </c:val>
          <c:extLst>
            <c:ext xmlns:c16="http://schemas.microsoft.com/office/drawing/2014/chart" uri="{C3380CC4-5D6E-409C-BE32-E72D297353CC}">
              <c16:uniqueId val="{00000024-AA9F-4562-9DDD-C1F215640106}"/>
            </c:ext>
          </c:extLst>
        </c:ser>
        <c:ser>
          <c:idx val="37"/>
          <c:order val="37"/>
          <c:tx>
            <c:strRef>
              <c:f>'Ej. 3'!$BB$58</c:f>
              <c:strCache>
                <c:ptCount val="1"/>
                <c:pt idx="0">
                  <c:v>37</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3'!$BB$59:$BB$104</c:f>
              <c:numCache>
                <c:formatCode>0.00%</c:formatCode>
                <c:ptCount val="46"/>
                <c:pt idx="0">
                  <c:v>0</c:v>
                </c:pt>
                <c:pt idx="1">
                  <c:v>1.1365113119499084E-3</c:v>
                </c:pt>
                <c:pt idx="2">
                  <c:v>2.1895724926027957E-3</c:v>
                </c:pt>
                <c:pt idx="3">
                  <c:v>3.165442301805938E-3</c:v>
                </c:pt>
                <c:pt idx="4">
                  <c:v>4.0697688886898054E-3</c:v>
                </c:pt>
                <c:pt idx="5">
                  <c:v>4.9076624834200593E-3</c:v>
                </c:pt>
                <c:pt idx="6">
                  <c:v>5.6837579459143948E-3</c:v>
                </c:pt>
                <c:pt idx="7">
                  <c:v>6.4022687851888948E-3</c:v>
                </c:pt>
                <c:pt idx="8">
                  <c:v>7.0670339761248853E-3</c:v>
                </c:pt>
                <c:pt idx="9">
                  <c:v>7.6815586697009629E-3</c:v>
                </c:pt>
                <c:pt idx="10">
                  <c:v>8.2490497061741431E-3</c:v>
                </c:pt>
                <c:pt idx="11">
                  <c:v>8.7724466891133564E-3</c:v>
                </c:pt>
                <c:pt idx="12">
                  <c:v>9.2544492544492547E-3</c:v>
                </c:pt>
                <c:pt idx="13">
                  <c:v>9.6975410672380368E-3</c:v>
                </c:pt>
                <c:pt idx="14">
                  <c:v>1.0104010995276594E-2</c:v>
                </c:pt>
                <c:pt idx="15">
                  <c:v>1.0475971839608201E-2</c:v>
                </c:pt>
                <c:pt idx="16">
                  <c:v>1.0815376944593641E-2</c:v>
                </c:pt>
                <c:pt idx="17">
                  <c:v>1.1124034962418802E-2</c:v>
                </c:pt>
                <c:pt idx="18">
                  <c:v>1.1403623006928792E-2</c:v>
                </c:pt>
                <c:pt idx="19">
                  <c:v>1.165569839812264E-2</c:v>
                </c:pt>
                <c:pt idx="20">
                  <c:v>1.1881709170385408E-2</c:v>
                </c:pt>
                <c:pt idx="21">
                  <c:v>1.2083003493661801E-2</c:v>
                </c:pt>
                <c:pt idx="22">
                  <c:v>1.2260838136544352E-2</c:v>
                </c:pt>
                <c:pt idx="23">
                  <c:v>1.241638608305275E-2</c:v>
                </c:pt>
                <c:pt idx="24">
                  <c:v>1.2550743400221789E-2</c:v>
                </c:pt>
                <c:pt idx="25">
                  <c:v>1.2664935441084026E-2</c:v>
                </c:pt>
                <c:pt idx="26">
                  <c:v>1.2759922456892154E-2</c:v>
                </c:pt>
                <c:pt idx="27">
                  <c:v>1.2836604683195594E-2</c:v>
                </c:pt>
                <c:pt idx="28">
                  <c:v>1.2895826956433019E-2</c:v>
                </c:pt>
                <c:pt idx="29">
                  <c:v>1.2938382910834703E-2</c:v>
                </c:pt>
                <c:pt idx="30">
                  <c:v>1.2965018799482843E-2</c:v>
                </c:pt>
                <c:pt idx="31">
                  <c:v>1.297643697821951E-2</c:v>
                </c:pt>
                <c:pt idx="32">
                  <c:v>1.297329908660607E-2</c:v>
                </c:pt>
                <c:pt idx="33">
                  <c:v>1.2956228956228957E-2</c:v>
                </c:pt>
                <c:pt idx="34">
                  <c:v>1.2925815273233113E-2</c:v>
                </c:pt>
                <c:pt idx="35">
                  <c:v>1.2882614018977657E-2</c:v>
                </c:pt>
                <c:pt idx="36">
                  <c:v>1.2827150710089691E-2</c:v>
                </c:pt>
                <c:pt idx="37">
                  <c:v>1.2759922456892154E-2</c:v>
                </c:pt>
                <c:pt idx="38">
                  <c:v>1.2681399857157433E-2</c:v>
                </c:pt>
                <c:pt idx="39">
                  <c:v>1.2592028740354101E-2</c:v>
                </c:pt>
                <c:pt idx="40">
                  <c:v>1.2492231775978331E-2</c:v>
                </c:pt>
                <c:pt idx="41">
                  <c:v>1.2382409958167534E-2</c:v>
                </c:pt>
                <c:pt idx="42">
                  <c:v>1.2262943977558477E-2</c:v>
                </c:pt>
                <c:pt idx="43">
                  <c:v>1.2134195490256098E-2</c:v>
                </c:pt>
                <c:pt idx="44">
                  <c:v>1.1996508292804589E-2</c:v>
                </c:pt>
                <c:pt idx="45">
                  <c:v>1.1850209411185022E-2</c:v>
                </c:pt>
              </c:numCache>
            </c:numRef>
          </c:val>
          <c:extLst>
            <c:ext xmlns:c16="http://schemas.microsoft.com/office/drawing/2014/chart" uri="{C3380CC4-5D6E-409C-BE32-E72D297353CC}">
              <c16:uniqueId val="{00000025-AA9F-4562-9DDD-C1F215640106}"/>
            </c:ext>
          </c:extLst>
        </c:ser>
        <c:ser>
          <c:idx val="38"/>
          <c:order val="38"/>
          <c:tx>
            <c:strRef>
              <c:f>'Ej. 3'!$BC$58</c:f>
              <c:strCache>
                <c:ptCount val="1"/>
                <c:pt idx="0">
                  <c:v>38</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3'!$BC$59:$BC$104</c:f>
              <c:numCache>
                <c:formatCode>0.00%</c:formatCode>
                <c:ptCount val="46"/>
                <c:pt idx="0">
                  <c:v>0</c:v>
                </c:pt>
                <c:pt idx="1">
                  <c:v>1.1154277820944487E-3</c:v>
                </c:pt>
                <c:pt idx="2">
                  <c:v>2.1503673094582188E-3</c:v>
                </c:pt>
                <c:pt idx="3">
                  <c:v>3.1107079665837981E-3</c:v>
                </c:pt>
                <c:pt idx="4">
                  <c:v>4.0017782442024865E-3</c:v>
                </c:pt>
                <c:pt idx="5">
                  <c:v>4.8284109594891834E-3</c:v>
                </c:pt>
                <c:pt idx="6">
                  <c:v>5.5949995826028885E-3</c:v>
                </c:pt>
                <c:pt idx="7">
                  <c:v>6.3055470530217995E-3</c:v>
                </c:pt>
                <c:pt idx="8">
                  <c:v>6.963708228530362E-3</c:v>
                </c:pt>
                <c:pt idx="9">
                  <c:v>7.5728269151866838E-3</c:v>
                </c:pt>
                <c:pt idx="10">
                  <c:v>8.1359682685440259E-3</c:v>
                </c:pt>
                <c:pt idx="11">
                  <c:v>8.6559472273757994E-3</c:v>
                </c:pt>
                <c:pt idx="12">
                  <c:v>9.1353535353535346E-3</c:v>
                </c:pt>
                <c:pt idx="13">
                  <c:v>9.5765738189980618E-3</c:v>
                </c:pt>
                <c:pt idx="14">
                  <c:v>9.9818111181747531E-3</c:v>
                </c:pt>
                <c:pt idx="15">
                  <c:v>1.035310220558934E-2</c:v>
                </c:pt>
                <c:pt idx="16">
                  <c:v>1.0692332981895271E-2</c:v>
                </c:pt>
                <c:pt idx="17">
                  <c:v>1.1001252191334836E-2</c:v>
                </c:pt>
                <c:pt idx="18">
                  <c:v>1.1281483667847304E-2</c:v>
                </c:pt>
                <c:pt idx="19">
                  <c:v>1.153453729211305E-2</c:v>
                </c:pt>
                <c:pt idx="20">
                  <c:v>1.1761818815110351E-2</c:v>
                </c:pt>
                <c:pt idx="21">
                  <c:v>1.1964638682666418E-2</c:v>
                </c:pt>
                <c:pt idx="22">
                  <c:v>1.214421997755331E-2</c:v>
                </c:pt>
                <c:pt idx="23">
                  <c:v>1.2301705580394104E-2</c:v>
                </c:pt>
                <c:pt idx="24">
                  <c:v>1.2438164637578127E-2</c:v>
                </c:pt>
                <c:pt idx="25">
                  <c:v>1.2554598413184273E-2</c:v>
                </c:pt>
                <c:pt idx="26">
                  <c:v>1.2651945592286501E-2</c:v>
                </c:pt>
                <c:pt idx="27">
                  <c:v>1.2731087094723459E-2</c:v>
                </c:pt>
                <c:pt idx="28">
                  <c:v>1.2792850451252655E-2</c:v>
                </c:pt>
                <c:pt idx="29">
                  <c:v>1.2838013787810262E-2</c:v>
                </c:pt>
                <c:pt idx="30">
                  <c:v>1.2867309458218547E-2</c:v>
                </c:pt>
                <c:pt idx="31">
                  <c:v>1.2881427361005754E-2</c:v>
                </c:pt>
                <c:pt idx="32">
                  <c:v>1.2881017971927063E-2</c:v>
                </c:pt>
                <c:pt idx="33">
                  <c:v>1.2866695120216248E-2</c:v>
                </c:pt>
                <c:pt idx="34">
                  <c:v>1.2839038533482977E-2</c:v>
                </c:pt>
                <c:pt idx="35">
                  <c:v>1.2798596173440507E-2</c:v>
                </c:pt>
                <c:pt idx="36">
                  <c:v>1.274588638225002E-2</c:v>
                </c:pt>
                <c:pt idx="37">
                  <c:v>1.2681399857157433E-2</c:v>
                </c:pt>
                <c:pt idx="38">
                  <c:v>1.2605601469237832E-2</c:v>
                </c:pt>
                <c:pt idx="39">
                  <c:v>1.2518931940419543E-2</c:v>
                </c:pt>
                <c:pt idx="40">
                  <c:v>1.2421809391506361E-2</c:v>
                </c:pt>
                <c:pt idx="41">
                  <c:v>1.231463077262847E-2</c:v>
                </c:pt>
                <c:pt idx="42">
                  <c:v>1.219777318640955E-2</c:v>
                </c:pt>
                <c:pt idx="43">
                  <c:v>1.2071595113121489E-2</c:v>
                </c:pt>
                <c:pt idx="44">
                  <c:v>1.1936437546193644E-2</c:v>
                </c:pt>
                <c:pt idx="45">
                  <c:v>1.1792625045637094E-2</c:v>
                </c:pt>
              </c:numCache>
            </c:numRef>
          </c:val>
          <c:extLst>
            <c:ext xmlns:c16="http://schemas.microsoft.com/office/drawing/2014/chart" uri="{C3380CC4-5D6E-409C-BE32-E72D297353CC}">
              <c16:uniqueId val="{00000026-AA9F-4562-9DDD-C1F215640106}"/>
            </c:ext>
          </c:extLst>
        </c:ser>
        <c:ser>
          <c:idx val="39"/>
          <c:order val="39"/>
          <c:tx>
            <c:strRef>
              <c:f>'Ej. 3'!$BD$58</c:f>
              <c:strCache>
                <c:ptCount val="1"/>
                <c:pt idx="0">
                  <c:v>39</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3'!$BD$59:$BD$104</c:f>
              <c:numCache>
                <c:formatCode>0.00%</c:formatCode>
                <c:ptCount val="46"/>
                <c:pt idx="0">
                  <c:v>0</c:v>
                </c:pt>
                <c:pt idx="1">
                  <c:v>1.0942760942760942E-3</c:v>
                </c:pt>
                <c:pt idx="2">
                  <c:v>2.1109095388474552E-3</c:v>
                </c:pt>
                <c:pt idx="3">
                  <c:v>3.0554462372644189E-3</c:v>
                </c:pt>
                <c:pt idx="4">
                  <c:v>3.9329161950726428E-3</c:v>
                </c:pt>
                <c:pt idx="5">
                  <c:v>4.7478921445863595E-3</c:v>
                </c:pt>
                <c:pt idx="6">
                  <c:v>5.5045403530252024E-3</c:v>
                </c:pt>
                <c:pt idx="7">
                  <c:v>6.2066648035027485E-3</c:v>
                </c:pt>
                <c:pt idx="8">
                  <c:v>6.8577457358888691E-3</c:v>
                </c:pt>
                <c:pt idx="9">
                  <c:v>7.4609733700642797E-3</c:v>
                </c:pt>
                <c:pt idx="10">
                  <c:v>8.0192774997969816E-3</c:v>
                </c:pt>
                <c:pt idx="11">
                  <c:v>8.5353535353535365E-3</c:v>
                </c:pt>
                <c:pt idx="12">
                  <c:v>9.0116854822737177E-3</c:v>
                </c:pt>
                <c:pt idx="13">
                  <c:v>9.4505662687480868E-3</c:v>
                </c:pt>
                <c:pt idx="14">
                  <c:v>9.8541157717830091E-3</c:v>
                </c:pt>
                <c:pt idx="15">
                  <c:v>1.0224296840458455E-2</c:v>
                </c:pt>
                <c:pt idx="16">
                  <c:v>1.0562929571194033E-2</c:v>
                </c:pt>
                <c:pt idx="17">
                  <c:v>1.0871704053522236E-2</c:v>
                </c:pt>
                <c:pt idx="18">
                  <c:v>1.1152191774201344E-2</c:v>
                </c:pt>
                <c:pt idx="19">
                  <c:v>1.1405855841592519E-2</c:v>
                </c:pt>
                <c:pt idx="20">
                  <c:v>1.1634060170269725E-2</c:v>
                </c:pt>
                <c:pt idx="21">
                  <c:v>1.1838077747168656E-2</c:v>
                </c:pt>
                <c:pt idx="22">
                  <c:v>1.2019098084671857E-2</c:v>
                </c:pt>
                <c:pt idx="23">
                  <c:v>1.21782339524275E-2</c:v>
                </c:pt>
                <c:pt idx="24">
                  <c:v>1.2316527468042619E-2</c:v>
                </c:pt>
                <c:pt idx="25">
                  <c:v>1.24349556167738E-2</c:v>
                </c:pt>
                <c:pt idx="26">
                  <c:v>1.253443526170799E-2</c:v>
                </c:pt>
                <c:pt idx="27">
                  <c:v>1.2615827698472328E-2</c:v>
                </c:pt>
                <c:pt idx="28">
                  <c:v>1.2679942802059491E-2</c:v>
                </c:pt>
                <c:pt idx="29">
                  <c:v>1.2727542807756714E-2</c:v>
                </c:pt>
                <c:pt idx="30">
                  <c:v>1.2759345763298331E-2</c:v>
                </c:pt>
                <c:pt idx="31">
                  <c:v>1.2776028685119595E-2</c:v>
                </c:pt>
                <c:pt idx="32">
                  <c:v>1.277823044788474E-2</c:v>
                </c:pt>
                <c:pt idx="33">
                  <c:v>1.2766554433221101E-2</c:v>
                </c:pt>
                <c:pt idx="34">
                  <c:v>1.2741570960749043E-2</c:v>
                </c:pt>
                <c:pt idx="35">
                  <c:v>1.2703819522001341E-2</c:v>
                </c:pt>
                <c:pt idx="36">
                  <c:v>1.2653810835629019E-2</c:v>
                </c:pt>
                <c:pt idx="37">
                  <c:v>1.2592028740354101E-2</c:v>
                </c:pt>
                <c:pt idx="38">
                  <c:v>1.2518931940419543E-2</c:v>
                </c:pt>
                <c:pt idx="39">
                  <c:v>1.2434955616773798E-2</c:v>
                </c:pt>
                <c:pt idx="40">
                  <c:v>1.2340512915886909E-2</c:v>
                </c:pt>
                <c:pt idx="41">
                  <c:v>1.2235996326905417E-2</c:v>
                </c:pt>
                <c:pt idx="42">
                  <c:v>1.2121778956795792E-2</c:v>
                </c:pt>
                <c:pt idx="43">
                  <c:v>1.1998215712184672E-2</c:v>
                </c:pt>
                <c:pt idx="44">
                  <c:v>1.1865644395764877E-2</c:v>
                </c:pt>
                <c:pt idx="45">
                  <c:v>1.1724386724386724E-2</c:v>
                </c:pt>
              </c:numCache>
            </c:numRef>
          </c:val>
          <c:extLst>
            <c:ext xmlns:c16="http://schemas.microsoft.com/office/drawing/2014/chart" uri="{C3380CC4-5D6E-409C-BE32-E72D297353CC}">
              <c16:uniqueId val="{00000027-AA9F-4562-9DDD-C1F215640106}"/>
            </c:ext>
          </c:extLst>
        </c:ser>
        <c:ser>
          <c:idx val="40"/>
          <c:order val="40"/>
          <c:tx>
            <c:strRef>
              <c:f>'Ej. 3'!$BE$58</c:f>
              <c:strCache>
                <c:ptCount val="1"/>
                <c:pt idx="0">
                  <c:v>40</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3'!$BE$59:$BE$104</c:f>
              <c:numCache>
                <c:formatCode>0.00%</c:formatCode>
                <c:ptCount val="46"/>
                <c:pt idx="0">
                  <c:v>0</c:v>
                </c:pt>
                <c:pt idx="1">
                  <c:v>1.0730612356628618E-3</c:v>
                </c:pt>
                <c:pt idx="2">
                  <c:v>2.0712172227323744E-3</c:v>
                </c:pt>
                <c:pt idx="3">
                  <c:v>2.9996939087848177E-3</c:v>
                </c:pt>
                <c:pt idx="4">
                  <c:v>3.8632421552531743E-3</c:v>
                </c:pt>
                <c:pt idx="5">
                  <c:v>4.6661905247763827E-3</c:v>
                </c:pt>
                <c:pt idx="6">
                  <c:v>5.4124911832421716E-3</c:v>
                </c:pt>
                <c:pt idx="7">
                  <c:v>6.1057599419946278E-3</c:v>
                </c:pt>
                <c:pt idx="8">
                  <c:v>6.7493112947658402E-3</c:v>
                </c:pt>
                <c:pt idx="9">
                  <c:v>7.3461891643709825E-3</c:v>
                </c:pt>
                <c:pt idx="10">
                  <c:v>7.8991939598000212E-3</c:v>
                </c:pt>
                <c:pt idx="11">
                  <c:v>8.410906450122135E-3</c:v>
                </c:pt>
                <c:pt idx="12">
                  <c:v>8.8837088837088844E-3</c:v>
                </c:pt>
                <c:pt idx="13">
                  <c:v>9.319803716601887E-3</c:v>
                </c:pt>
                <c:pt idx="14">
                  <c:v>9.7212302599507978E-3</c:v>
                </c:pt>
                <c:pt idx="15">
                  <c:v>1.0089879511367113E-2</c:v>
                </c:pt>
                <c:pt idx="16">
                  <c:v>1.0427507397204367E-2</c:v>
                </c:pt>
                <c:pt idx="17">
                  <c:v>1.0735746620914083E-2</c:v>
                </c:pt>
                <c:pt idx="18">
                  <c:v>1.1016117285709762E-2</c:v>
                </c:pt>
                <c:pt idx="19">
                  <c:v>1.1270036436959908E-2</c:v>
                </c:pt>
                <c:pt idx="20">
                  <c:v>1.1498826650341801E-2</c:v>
                </c:pt>
                <c:pt idx="21">
                  <c:v>1.1703723775258796E-2</c:v>
                </c:pt>
                <c:pt idx="22">
                  <c:v>1.1885883928894682E-2</c:v>
                </c:pt>
                <c:pt idx="23">
                  <c:v>1.20463898241676E-2</c:v>
                </c:pt>
                <c:pt idx="24">
                  <c:v>1.218625650443832E-2</c:v>
                </c:pt>
                <c:pt idx="25">
                  <c:v>1.2306436548860792E-2</c:v>
                </c:pt>
                <c:pt idx="26">
                  <c:v>1.2407824804519019E-2</c:v>
                </c:pt>
                <c:pt idx="27">
                  <c:v>1.2491262694790509E-2</c:v>
                </c:pt>
                <c:pt idx="28">
                  <c:v>1.2557542147559973E-2</c:v>
                </c:pt>
                <c:pt idx="29">
                  <c:v>1.2607409181849235E-2</c:v>
                </c:pt>
                <c:pt idx="30">
                  <c:v>1.2641567187021729E-2</c:v>
                </c:pt>
                <c:pt idx="31">
                  <c:v>1.2660679924871132E-2</c:v>
                </c:pt>
                <c:pt idx="32">
                  <c:v>1.2665374281535897E-2</c:v>
                </c:pt>
                <c:pt idx="33">
                  <c:v>1.2656242793229095E-2</c:v>
                </c:pt>
                <c:pt idx="34">
                  <c:v>1.26338459671793E-2</c:v>
                </c:pt>
                <c:pt idx="35">
                  <c:v>1.2598714416896235E-2</c:v>
                </c:pt>
                <c:pt idx="36">
                  <c:v>1.255135082886279E-2</c:v>
                </c:pt>
                <c:pt idx="37">
                  <c:v>1.2492231775978331E-2</c:v>
                </c:pt>
                <c:pt idx="38">
                  <c:v>1.2421809391506361E-2</c:v>
                </c:pt>
                <c:pt idx="39">
                  <c:v>1.2340512915886909E-2</c:v>
                </c:pt>
                <c:pt idx="40">
                  <c:v>1.2248750127538005E-2</c:v>
                </c:pt>
                <c:pt idx="41">
                  <c:v>1.2146908667671853E-2</c:v>
                </c:pt>
                <c:pt idx="42">
                  <c:v>1.2035357268173232E-2</c:v>
                </c:pt>
                <c:pt idx="43">
                  <c:v>1.1914446890715602E-2</c:v>
                </c:pt>
                <c:pt idx="44">
                  <c:v>1.1784511784511783E-2</c:v>
                </c:pt>
                <c:pt idx="45">
                  <c:v>1.1645870469399881E-2</c:v>
                </c:pt>
              </c:numCache>
            </c:numRef>
          </c:val>
          <c:extLst>
            <c:ext xmlns:c16="http://schemas.microsoft.com/office/drawing/2014/chart" uri="{C3380CC4-5D6E-409C-BE32-E72D297353CC}">
              <c16:uniqueId val="{00000028-AA9F-4562-9DDD-C1F215640106}"/>
            </c:ext>
          </c:extLst>
        </c:ser>
        <c:ser>
          <c:idx val="41"/>
          <c:order val="41"/>
          <c:tx>
            <c:strRef>
              <c:f>'Ej. 3'!$BF$58</c:f>
              <c:strCache>
                <c:ptCount val="1"/>
                <c:pt idx="0">
                  <c:v>41</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3'!$BF$59:$BF$104</c:f>
              <c:numCache>
                <c:formatCode>0.00%</c:formatCode>
                <c:ptCount val="46"/>
                <c:pt idx="0">
                  <c:v>0</c:v>
                </c:pt>
                <c:pt idx="1">
                  <c:v>1.0517877184543852E-3</c:v>
                </c:pt>
                <c:pt idx="2">
                  <c:v>2.0313067247528138E-3</c:v>
                </c:pt>
                <c:pt idx="3">
                  <c:v>2.9434844310877368E-3</c:v>
                </c:pt>
                <c:pt idx="4">
                  <c:v>3.7928102574567224E-3</c:v>
                </c:pt>
                <c:pt idx="5">
                  <c:v>4.583383239509721E-3</c:v>
                </c:pt>
                <c:pt idx="6">
                  <c:v>5.3189535587988192E-3</c:v>
                </c:pt>
                <c:pt idx="7">
                  <c:v>6.002958881746759E-3</c:v>
                </c:pt>
                <c:pt idx="8">
                  <c:v>6.638556248945859E-3</c:v>
                </c:pt>
                <c:pt idx="9">
                  <c:v>7.2286501377410474E-3</c:v>
                </c:pt>
                <c:pt idx="10">
                  <c:v>7.7759172233325532E-3</c:v>
                </c:pt>
                <c:pt idx="11">
                  <c:v>8.2828282828282824E-3</c:v>
                </c:pt>
                <c:pt idx="12">
                  <c:v>8.7516676195921479E-3</c:v>
                </c:pt>
                <c:pt idx="13">
                  <c:v>9.1845503293314732E-3</c:v>
                </c:pt>
                <c:pt idx="14">
                  <c:v>9.5834376826112351E-3</c:v>
                </c:pt>
                <c:pt idx="15">
                  <c:v>9.9501508592417676E-3</c:v>
                </c:pt>
                <c:pt idx="16">
                  <c:v>1.028638323694145E-2</c:v>
                </c:pt>
                <c:pt idx="17">
                  <c:v>1.0593711408758429E-2</c:v>
                </c:pt>
                <c:pt idx="18">
                  <c:v>1.0873605080076575E-2</c:v>
                </c:pt>
                <c:pt idx="19">
                  <c:v>1.1127435975920825E-2</c:v>
                </c:pt>
                <c:pt idx="20">
                  <c:v>1.1356485872134158E-2</c:v>
                </c:pt>
                <c:pt idx="21">
                  <c:v>1.1561953849343878E-2</c:v>
                </c:pt>
                <c:pt idx="22">
                  <c:v>1.1744962856073966E-2</c:v>
                </c:pt>
                <c:pt idx="23">
                  <c:v>1.1906565656565655E-2</c:v>
                </c:pt>
                <c:pt idx="24">
                  <c:v>1.2047750229568411E-2</c:v>
                </c:pt>
                <c:pt idx="25">
                  <c:v>1.216944467633173E-2</c:v>
                </c:pt>
                <c:pt idx="26">
                  <c:v>1.2272521689075284E-2</c:v>
                </c:pt>
                <c:pt idx="27">
                  <c:v>1.2357802625182305E-2</c:v>
                </c:pt>
                <c:pt idx="28">
                  <c:v>1.2426061227115245E-2</c:v>
                </c:pt>
                <c:pt idx="29">
                  <c:v>1.247802702348157E-2</c:v>
                </c:pt>
                <c:pt idx="30">
                  <c:v>1.2514388442685495E-2</c:v>
                </c:pt>
                <c:pt idx="31">
                  <c:v>1.2535795667108798E-2</c:v>
                </c:pt>
                <c:pt idx="32">
                  <c:v>1.2542863252701359E-2</c:v>
                </c:pt>
                <c:pt idx="33">
                  <c:v>1.2536172536172535E-2</c:v>
                </c:pt>
                <c:pt idx="34">
                  <c:v>1.2516273849607181E-2</c:v>
                </c:pt>
                <c:pt idx="35">
                  <c:v>1.2483688560243584E-2</c:v>
                </c:pt>
                <c:pt idx="36">
                  <c:v>1.2438910951307646E-2</c:v>
                </c:pt>
                <c:pt idx="37">
                  <c:v>1.2382409958167534E-2</c:v>
                </c:pt>
                <c:pt idx="38">
                  <c:v>1.231463077262847E-2</c:v>
                </c:pt>
                <c:pt idx="39">
                  <c:v>1.2235996326905417E-2</c:v>
                </c:pt>
                <c:pt idx="40">
                  <c:v>1.2146908667671853E-2</c:v>
                </c:pt>
                <c:pt idx="41">
                  <c:v>1.2047750229568411E-2</c:v>
                </c:pt>
                <c:pt idx="42">
                  <c:v>1.1938885016650623E-2</c:v>
                </c:pt>
                <c:pt idx="43">
                  <c:v>1.1820659699447579E-2</c:v>
                </c:pt>
                <c:pt idx="44">
                  <c:v>1.1693404634581104E-2</c:v>
                </c:pt>
                <c:pt idx="45">
                  <c:v>1.1557434813248767E-2</c:v>
                </c:pt>
              </c:numCache>
            </c:numRef>
          </c:val>
          <c:extLst>
            <c:ext xmlns:c16="http://schemas.microsoft.com/office/drawing/2014/chart" uri="{C3380CC4-5D6E-409C-BE32-E72D297353CC}">
              <c16:uniqueId val="{00000029-AA9F-4562-9DDD-C1F215640106}"/>
            </c:ext>
          </c:extLst>
        </c:ser>
        <c:ser>
          <c:idx val="42"/>
          <c:order val="42"/>
          <c:tx>
            <c:strRef>
              <c:f>'Ej. 3'!$BG$58</c:f>
              <c:strCache>
                <c:ptCount val="1"/>
                <c:pt idx="0">
                  <c:v>42</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3'!$BG$59:$BG$104</c:f>
              <c:numCache>
                <c:formatCode>0.00%</c:formatCode>
                <c:ptCount val="46"/>
                <c:pt idx="0">
                  <c:v>0</c:v>
                </c:pt>
                <c:pt idx="1">
                  <c:v>1.030459635110798E-3</c:v>
                </c:pt>
                <c:pt idx="2">
                  <c:v>1.9911929209449871E-3</c:v>
                </c:pt>
                <c:pt idx="3">
                  <c:v>2.8868482807876752E-3</c:v>
                </c:pt>
                <c:pt idx="4">
                  <c:v>3.721669927203524E-3</c:v>
                </c:pt>
                <c:pt idx="5">
                  <c:v>4.4995408631772265E-3</c:v>
                </c:pt>
                <c:pt idx="6">
                  <c:v>5.2240205081114169E-3</c:v>
                </c:pt>
                <c:pt idx="7">
                  <c:v>5.8983777165595337E-3</c:v>
                </c:pt>
                <c:pt idx="8">
                  <c:v>6.525619834710744E-3</c:v>
                </c:pt>
                <c:pt idx="9">
                  <c:v>7.1085183384648623E-3</c:v>
                </c:pt>
                <c:pt idx="10">
                  <c:v>7.6496315132678766E-3</c:v>
                </c:pt>
                <c:pt idx="11">
                  <c:v>8.1513245664189063E-3</c:v>
                </c:pt>
                <c:pt idx="12">
                  <c:v>8.6157875046763942E-3</c:v>
                </c:pt>
                <c:pt idx="13">
                  <c:v>9.045051061579986E-3</c:v>
                </c:pt>
                <c:pt idx="14">
                  <c:v>9.4410009182736444E-3</c:v>
                </c:pt>
                <c:pt idx="15">
                  <c:v>9.8053904273999962E-3</c:v>
                </c:pt>
                <c:pt idx="16">
                  <c:v>1.0139852020729763E-2</c:v>
                </c:pt>
                <c:pt idx="17">
                  <c:v>1.0445907456693279E-2</c:v>
                </c:pt>
                <c:pt idx="18">
                  <c:v>1.0724977043158862E-2</c:v>
                </c:pt>
                <c:pt idx="19">
                  <c:v>1.0978387953052631E-2</c:v>
                </c:pt>
                <c:pt idx="20">
                  <c:v>1.1207381735240975E-2</c:v>
                </c:pt>
                <c:pt idx="21">
                  <c:v>1.1413121110090808E-2</c:v>
                </c:pt>
                <c:pt idx="22">
                  <c:v>1.1596696127946128E-2</c:v>
                </c:pt>
                <c:pt idx="23">
                  <c:v>1.1759129759129759E-2</c:v>
                </c:pt>
                <c:pt idx="24">
                  <c:v>1.1901382975763141E-2</c:v>
                </c:pt>
                <c:pt idx="25">
                  <c:v>1.2024359378497778E-2</c:v>
                </c:pt>
                <c:pt idx="26">
                  <c:v>1.2128909415005672E-2</c:v>
                </c:pt>
                <c:pt idx="27">
                  <c:v>1.2215834231644507E-2</c:v>
                </c:pt>
                <c:pt idx="28">
                  <c:v>1.2285889194980104E-2</c:v>
                </c:pt>
                <c:pt idx="29">
                  <c:v>1.2339787115715413E-2</c:v>
                </c:pt>
                <c:pt idx="30">
                  <c:v>1.2378201203958779E-2</c:v>
                </c:pt>
                <c:pt idx="31">
                  <c:v>1.2401767781593435E-2</c:v>
                </c:pt>
                <c:pt idx="32">
                  <c:v>1.2411088774725139E-2</c:v>
                </c:pt>
                <c:pt idx="33">
                  <c:v>1.2406734006734007E-2</c:v>
                </c:pt>
                <c:pt idx="34">
                  <c:v>1.2389243310295941E-2</c:v>
                </c:pt>
                <c:pt idx="35">
                  <c:v>1.2359128474830955E-2</c:v>
                </c:pt>
                <c:pt idx="36">
                  <c:v>1.2316875044147774E-2</c:v>
                </c:pt>
                <c:pt idx="37">
                  <c:v>1.2262943977558477E-2</c:v>
                </c:pt>
                <c:pt idx="38">
                  <c:v>1.219777318640955E-2</c:v>
                </c:pt>
                <c:pt idx="39">
                  <c:v>1.2121778956795792E-2</c:v>
                </c:pt>
                <c:pt idx="40">
                  <c:v>1.2035357268173232E-2</c:v>
                </c:pt>
                <c:pt idx="41">
                  <c:v>1.1938885016650623E-2</c:v>
                </c:pt>
                <c:pt idx="42">
                  <c:v>1.1832721150902968E-2</c:v>
                </c:pt>
                <c:pt idx="43">
                  <c:v>1.1717207727902917E-2</c:v>
                </c:pt>
                <c:pt idx="44">
                  <c:v>1.1592670894996476E-2</c:v>
                </c:pt>
                <c:pt idx="45">
                  <c:v>1.145942180424939E-2</c:v>
                </c:pt>
              </c:numCache>
            </c:numRef>
          </c:val>
          <c:extLst>
            <c:ext xmlns:c16="http://schemas.microsoft.com/office/drawing/2014/chart" uri="{C3380CC4-5D6E-409C-BE32-E72D297353CC}">
              <c16:uniqueId val="{0000002A-AA9F-4562-9DDD-C1F215640106}"/>
            </c:ext>
          </c:extLst>
        </c:ser>
        <c:ser>
          <c:idx val="43"/>
          <c:order val="43"/>
          <c:tx>
            <c:strRef>
              <c:f>'Ej. 3'!$BH$58</c:f>
              <c:strCache>
                <c:ptCount val="1"/>
                <c:pt idx="0">
                  <c:v>43</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3'!$BH$59:$BH$104</c:f>
              <c:numCache>
                <c:formatCode>0.00%</c:formatCode>
                <c:ptCount val="46"/>
                <c:pt idx="0">
                  <c:v>0</c:v>
                </c:pt>
                <c:pt idx="1">
                  <c:v>1.0090807060504031E-3</c:v>
                </c:pt>
                <c:pt idx="2">
                  <c:v>1.9508893650307794E-3</c:v>
                </c:pt>
                <c:pt idx="3">
                  <c:v>2.8298132843587393E-3</c:v>
                </c:pt>
                <c:pt idx="4">
                  <c:v>3.6498663835865643E-3</c:v>
                </c:pt>
                <c:pt idx="5">
                  <c:v>4.414728088970513E-3</c:v>
                </c:pt>
                <c:pt idx="6">
                  <c:v>5.1277774654398039E-3</c:v>
                </c:pt>
                <c:pt idx="7">
                  <c:v>5.7921232527293129E-3</c:v>
                </c:pt>
                <c:pt idx="8">
                  <c:v>6.4106303678496202E-3</c:v>
                </c:pt>
                <c:pt idx="9">
                  <c:v>6.9859433495797147E-3</c:v>
                </c:pt>
                <c:pt idx="10">
                  <c:v>7.520507148866212E-3</c:v>
                </c:pt>
                <c:pt idx="11">
                  <c:v>8.0165856091782024E-3</c:v>
                </c:pt>
                <c:pt idx="12">
                  <c:v>8.4762779308233862E-3</c:v>
                </c:pt>
                <c:pt idx="13">
                  <c:v>8.9015333712303413E-3</c:v>
                </c:pt>
                <c:pt idx="14">
                  <c:v>9.2941643978326598E-3</c:v>
                </c:pt>
                <c:pt idx="15">
                  <c:v>9.6558584803098906E-3</c:v>
                </c:pt>
                <c:pt idx="16">
                  <c:v>9.98818868361755E-3</c:v>
                </c:pt>
                <c:pt idx="17">
                  <c:v>1.0292623201714111E-2</c:v>
                </c:pt>
                <c:pt idx="18">
                  <c:v>1.0570533953544388E-2</c:v>
                </c:pt>
                <c:pt idx="19">
                  <c:v>1.0823204347153517E-2</c:v>
                </c:pt>
                <c:pt idx="20">
                  <c:v>1.1051836304361559E-2</c:v>
                </c:pt>
                <c:pt idx="21">
                  <c:v>1.1257556626874809E-2</c:v>
                </c:pt>
                <c:pt idx="22">
                  <c:v>1.144142277475611E-2</c:v>
                </c:pt>
                <c:pt idx="23">
                  <c:v>1.1604428119579636E-2</c:v>
                </c:pt>
                <c:pt idx="24">
                  <c:v>1.1747506727153948E-2</c:v>
                </c:pt>
                <c:pt idx="25">
                  <c:v>1.1871537718240038E-2</c:v>
                </c:pt>
                <c:pt idx="26">
                  <c:v>1.1977349250076524E-2</c:v>
                </c:pt>
                <c:pt idx="27">
                  <c:v>1.2065722156631249E-2</c:v>
                </c:pt>
                <c:pt idx="28">
                  <c:v>1.2137393281225975E-2</c:v>
                </c:pt>
                <c:pt idx="29">
                  <c:v>1.2193058531442372E-2</c:v>
                </c:pt>
                <c:pt idx="30">
                  <c:v>1.2233375682939817E-2</c:v>
                </c:pt>
                <c:pt idx="31">
                  <c:v>1.2258966955936654E-2</c:v>
                </c:pt>
                <c:pt idx="32">
                  <c:v>1.2270421385572902E-2</c:v>
                </c:pt>
                <c:pt idx="33">
                  <c:v>1.2268297005139112E-2</c:v>
                </c:pt>
                <c:pt idx="34">
                  <c:v>1.2253122859183466E-2</c:v>
                </c:pt>
                <c:pt idx="35">
                  <c:v>1.2225400861764501E-2</c:v>
                </c:pt>
                <c:pt idx="36">
                  <c:v>1.2185607513570692E-2</c:v>
                </c:pt>
                <c:pt idx="37">
                  <c:v>1.2134195490256098E-2</c:v>
                </c:pt>
                <c:pt idx="38">
                  <c:v>1.2071595113121489E-2</c:v>
                </c:pt>
                <c:pt idx="39">
                  <c:v>1.1998215712184672E-2</c:v>
                </c:pt>
                <c:pt idx="40">
                  <c:v>1.1914446890715602E-2</c:v>
                </c:pt>
                <c:pt idx="41">
                  <c:v>1.1820659699447579E-2</c:v>
                </c:pt>
                <c:pt idx="42">
                  <c:v>1.1717207727902917E-2</c:v>
                </c:pt>
                <c:pt idx="43">
                  <c:v>1.1604428119579636E-2</c:v>
                </c:pt>
                <c:pt idx="44">
                  <c:v>1.1482642517125276E-2</c:v>
                </c:pt>
                <c:pt idx="45">
                  <c:v>1.1352157943067036E-2</c:v>
                </c:pt>
              </c:numCache>
            </c:numRef>
          </c:val>
          <c:extLst>
            <c:ext xmlns:c16="http://schemas.microsoft.com/office/drawing/2014/chart" uri="{C3380CC4-5D6E-409C-BE32-E72D297353CC}">
              <c16:uniqueId val="{0000002B-AA9F-4562-9DDD-C1F215640106}"/>
            </c:ext>
          </c:extLst>
        </c:ser>
        <c:ser>
          <c:idx val="44"/>
          <c:order val="44"/>
          <c:tx>
            <c:strRef>
              <c:f>'Ej. 3'!$BI$58</c:f>
              <c:strCache>
                <c:ptCount val="1"/>
                <c:pt idx="0">
                  <c:v>44</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3'!$BI$59:$BI$104</c:f>
              <c:numCache>
                <c:formatCode>0.00%</c:formatCode>
                <c:ptCount val="46"/>
                <c:pt idx="0">
                  <c:v>0</c:v>
                </c:pt>
                <c:pt idx="1">
                  <c:v>9.8765432098765434E-4</c:v>
                </c:pt>
                <c:pt idx="2">
                  <c:v>1.9104084321475629E-3</c:v>
                </c:pt>
                <c:pt idx="3">
                  <c:v>2.7724049000644748E-3</c:v>
                </c:pt>
                <c:pt idx="4">
                  <c:v>3.5774410774410772E-3</c:v>
                </c:pt>
                <c:pt idx="5">
                  <c:v>4.3290043290043281E-3</c:v>
                </c:pt>
                <c:pt idx="6">
                  <c:v>5.0303030303030308E-3</c:v>
                </c:pt>
                <c:pt idx="7">
                  <c:v>5.6842939195880368E-3</c:v>
                </c:pt>
                <c:pt idx="8">
                  <c:v>6.2937062937062933E-3</c:v>
                </c:pt>
                <c:pt idx="9">
                  <c:v>6.8610634648370496E-3</c:v>
                </c:pt>
                <c:pt idx="10">
                  <c:v>7.3887018331462778E-3</c:v>
                </c:pt>
                <c:pt idx="11">
                  <c:v>7.8787878787878792E-3</c:v>
                </c:pt>
                <c:pt idx="12">
                  <c:v>8.3333333333333332E-3</c:v>
                </c:pt>
                <c:pt idx="13">
                  <c:v>8.7542087542087539E-3</c:v>
                </c:pt>
                <c:pt idx="14">
                  <c:v>9.1431556948798325E-3</c:v>
                </c:pt>
                <c:pt idx="15">
                  <c:v>9.5017976373908564E-3</c:v>
                </c:pt>
                <c:pt idx="16">
                  <c:v>9.8316498316498319E-3</c:v>
                </c:pt>
                <c:pt idx="17">
                  <c:v>1.0134128166915052E-2</c:v>
                </c:pt>
                <c:pt idx="18">
                  <c:v>1.0410557184750735E-2</c:v>
                </c:pt>
                <c:pt idx="19">
                  <c:v>1.0662177328843996E-2</c:v>
                </c:pt>
                <c:pt idx="20">
                  <c:v>1.0890151515151516E-2</c:v>
                </c:pt>
                <c:pt idx="21">
                  <c:v>1.1095571095571095E-2</c:v>
                </c:pt>
                <c:pt idx="22">
                  <c:v>1.127946127946128E-2</c:v>
                </c:pt>
                <c:pt idx="23">
                  <c:v>1.1442786069651741E-2</c:v>
                </c:pt>
                <c:pt idx="24">
                  <c:v>1.158645276292335E-2</c:v>
                </c:pt>
                <c:pt idx="25">
                  <c:v>1.1711316059142147E-2</c:v>
                </c:pt>
                <c:pt idx="26">
                  <c:v>1.1818181818181818E-2</c:v>
                </c:pt>
                <c:pt idx="27">
                  <c:v>1.1907810499359794E-2</c:v>
                </c:pt>
                <c:pt idx="28">
                  <c:v>1.1980920314253648E-2</c:v>
                </c:pt>
                <c:pt idx="29">
                  <c:v>1.2038190120381903E-2</c:v>
                </c:pt>
                <c:pt idx="30">
                  <c:v>1.2080262080262078E-2</c:v>
                </c:pt>
                <c:pt idx="31">
                  <c:v>1.2107744107744107E-2</c:v>
                </c:pt>
                <c:pt idx="32">
                  <c:v>1.2121212121212121E-2</c:v>
                </c:pt>
                <c:pt idx="33">
                  <c:v>1.2121212121212121E-2</c:v>
                </c:pt>
                <c:pt idx="34">
                  <c:v>1.2108262108262107E-2</c:v>
                </c:pt>
                <c:pt idx="35">
                  <c:v>1.2082853855005755E-2</c:v>
                </c:pt>
                <c:pt idx="36">
                  <c:v>1.2045454545454547E-2</c:v>
                </c:pt>
                <c:pt idx="37">
                  <c:v>1.1996508292804589E-2</c:v>
                </c:pt>
                <c:pt idx="38">
                  <c:v>1.1936437546193644E-2</c:v>
                </c:pt>
                <c:pt idx="39">
                  <c:v>1.1865644395764877E-2</c:v>
                </c:pt>
                <c:pt idx="40">
                  <c:v>1.1784511784511783E-2</c:v>
                </c:pt>
                <c:pt idx="41">
                  <c:v>1.1693404634581104E-2</c:v>
                </c:pt>
                <c:pt idx="42">
                  <c:v>1.1592670894996476E-2</c:v>
                </c:pt>
                <c:pt idx="43">
                  <c:v>1.1482642517125276E-2</c:v>
                </c:pt>
                <c:pt idx="44">
                  <c:v>1.1363636363636364E-2</c:v>
                </c:pt>
                <c:pt idx="45">
                  <c:v>1.1235955056179775E-2</c:v>
                </c:pt>
              </c:numCache>
            </c:numRef>
          </c:val>
          <c:extLst>
            <c:ext xmlns:c16="http://schemas.microsoft.com/office/drawing/2014/chart" uri="{C3380CC4-5D6E-409C-BE32-E72D297353CC}">
              <c16:uniqueId val="{0000002C-AA9F-4562-9DDD-C1F215640106}"/>
            </c:ext>
          </c:extLst>
        </c:ser>
        <c:ser>
          <c:idx val="45"/>
          <c:order val="45"/>
          <c:tx>
            <c:strRef>
              <c:f>'Ej. 3'!$BJ$58</c:f>
              <c:strCache>
                <c:ptCount val="1"/>
                <c:pt idx="0">
                  <c:v>45</c:v>
                </c:pt>
              </c:strCache>
            </c:strRef>
          </c:tx>
          <c:cat>
            <c:numRef>
              <c:f>'Ej. 3'!$P$59:$P$104</c:f>
              <c:numCache>
                <c:formatCode>@</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formatCode="General">
                  <c:v>29</c:v>
                </c:pt>
                <c:pt idx="30">
                  <c:v>30</c:v>
                </c:pt>
                <c:pt idx="31" formatCode="General">
                  <c:v>31</c:v>
                </c:pt>
                <c:pt idx="32">
                  <c:v>32</c:v>
                </c:pt>
                <c:pt idx="33" formatCode="General">
                  <c:v>33</c:v>
                </c:pt>
                <c:pt idx="34">
                  <c:v>34</c:v>
                </c:pt>
                <c:pt idx="35" formatCode="General">
                  <c:v>35</c:v>
                </c:pt>
                <c:pt idx="36">
                  <c:v>36</c:v>
                </c:pt>
                <c:pt idx="37" formatCode="General">
                  <c:v>37</c:v>
                </c:pt>
                <c:pt idx="38">
                  <c:v>38</c:v>
                </c:pt>
                <c:pt idx="39" formatCode="General">
                  <c:v>39</c:v>
                </c:pt>
                <c:pt idx="40">
                  <c:v>40</c:v>
                </c:pt>
                <c:pt idx="41" formatCode="General">
                  <c:v>41</c:v>
                </c:pt>
                <c:pt idx="42">
                  <c:v>42</c:v>
                </c:pt>
                <c:pt idx="43" formatCode="General">
                  <c:v>43</c:v>
                </c:pt>
                <c:pt idx="44">
                  <c:v>44</c:v>
                </c:pt>
                <c:pt idx="45" formatCode="General">
                  <c:v>45</c:v>
                </c:pt>
              </c:numCache>
            </c:numRef>
          </c:cat>
          <c:val>
            <c:numRef>
              <c:f>'Ej. 3'!$BJ$59:$BJ$104</c:f>
              <c:numCache>
                <c:formatCode>0.00%</c:formatCode>
                <c:ptCount val="46"/>
                <c:pt idx="0">
                  <c:v>0</c:v>
                </c:pt>
                <c:pt idx="1">
                  <c:v>9.6618357487922714E-4</c:v>
                </c:pt>
                <c:pt idx="2">
                  <c:v>1.8697614442295296E-3</c:v>
                </c:pt>
                <c:pt idx="3">
                  <c:v>2.7146464646464648E-3</c:v>
                </c:pt>
                <c:pt idx="4">
                  <c:v>3.5044320758606472E-3</c:v>
                </c:pt>
                <c:pt idx="5">
                  <c:v>4.242424242424242E-3</c:v>
                </c:pt>
                <c:pt idx="6">
                  <c:v>4.9316696375519909E-3</c:v>
                </c:pt>
                <c:pt idx="7">
                  <c:v>5.5749805749805747E-3</c:v>
                </c:pt>
                <c:pt idx="8">
                  <c:v>6.1749571183533445E-3</c:v>
                </c:pt>
                <c:pt idx="9">
                  <c:v>6.7340067340067346E-3</c:v>
                </c:pt>
                <c:pt idx="10">
                  <c:v>7.2543617998163459E-3</c:v>
                </c:pt>
                <c:pt idx="11">
                  <c:v>7.7380952380952384E-3</c:v>
                </c:pt>
                <c:pt idx="12">
                  <c:v>8.1871345029239772E-3</c:v>
                </c:pt>
                <c:pt idx="13">
                  <c:v>8.6032741205154997E-3</c:v>
                </c:pt>
                <c:pt idx="14">
                  <c:v>8.9881869542886485E-3</c:v>
                </c:pt>
                <c:pt idx="15">
                  <c:v>9.3434343434343429E-3</c:v>
                </c:pt>
                <c:pt idx="16">
                  <c:v>9.670475244245736E-3</c:v>
                </c:pt>
                <c:pt idx="17">
                  <c:v>9.9706744868035182E-3</c:v>
                </c:pt>
                <c:pt idx="18">
                  <c:v>1.0245310245310247E-2</c:v>
                </c:pt>
                <c:pt idx="19">
                  <c:v>1.0495580808080808E-2</c:v>
                </c:pt>
                <c:pt idx="20">
                  <c:v>1.0722610722610723E-2</c:v>
                </c:pt>
                <c:pt idx="21">
                  <c:v>1.0927456382001837E-2</c:v>
                </c:pt>
                <c:pt idx="22">
                  <c:v>1.1111111111111112E-2</c:v>
                </c:pt>
                <c:pt idx="23">
                  <c:v>1.1274509803921568E-2</c:v>
                </c:pt>
                <c:pt idx="24">
                  <c:v>1.1418533157663592E-2</c:v>
                </c:pt>
                <c:pt idx="25">
                  <c:v>1.1544011544011546E-2</c:v>
                </c:pt>
                <c:pt idx="26">
                  <c:v>1.1651728553137003E-2</c:v>
                </c:pt>
                <c:pt idx="27">
                  <c:v>1.1742424242424242E-2</c:v>
                </c:pt>
                <c:pt idx="28">
                  <c:v>1.181679811816798E-2</c:v>
                </c:pt>
                <c:pt idx="29">
                  <c:v>1.1875511875511877E-2</c:v>
                </c:pt>
                <c:pt idx="30">
                  <c:v>1.1919191919191918E-2</c:v>
                </c:pt>
                <c:pt idx="31">
                  <c:v>1.194843168527379E-2</c:v>
                </c:pt>
                <c:pt idx="32">
                  <c:v>1.1963793781975601E-2</c:v>
                </c:pt>
                <c:pt idx="33">
                  <c:v>1.1965811965811967E-2</c:v>
                </c:pt>
                <c:pt idx="34">
                  <c:v>1.1954992967651195E-2</c:v>
                </c:pt>
                <c:pt idx="35">
                  <c:v>1.1931818181818182E-2</c:v>
                </c:pt>
                <c:pt idx="36">
                  <c:v>1.1896745230078564E-2</c:v>
                </c:pt>
                <c:pt idx="37">
                  <c:v>1.1850209411185022E-2</c:v>
                </c:pt>
                <c:pt idx="38">
                  <c:v>1.1792625045637094E-2</c:v>
                </c:pt>
                <c:pt idx="39">
                  <c:v>1.1724386724386724E-2</c:v>
                </c:pt>
                <c:pt idx="40">
                  <c:v>1.1645870469399881E-2</c:v>
                </c:pt>
                <c:pt idx="41">
                  <c:v>1.1557434813248767E-2</c:v>
                </c:pt>
                <c:pt idx="42">
                  <c:v>1.145942180424939E-2</c:v>
                </c:pt>
                <c:pt idx="43">
                  <c:v>1.1352157943067036E-2</c:v>
                </c:pt>
                <c:pt idx="44">
                  <c:v>1.1235955056179775E-2</c:v>
                </c:pt>
                <c:pt idx="45">
                  <c:v>1.1111111111111112E-2</c:v>
                </c:pt>
              </c:numCache>
            </c:numRef>
          </c:val>
          <c:extLst>
            <c:ext xmlns:c16="http://schemas.microsoft.com/office/drawing/2014/chart" uri="{C3380CC4-5D6E-409C-BE32-E72D297353CC}">
              <c16:uniqueId val="{00000000-13D6-45A6-91B0-657932974CCE}"/>
            </c:ext>
          </c:extLst>
        </c:ser>
        <c:bandFmts/>
        <c:axId val="1114250287"/>
        <c:axId val="1114261103"/>
        <c:axId val="657986511"/>
      </c:surfaceChart>
      <c:catAx>
        <c:axId val="1114250287"/>
        <c:scaling>
          <c:orientation val="minMax"/>
        </c:scaling>
        <c:delete val="0"/>
        <c:axPos val="b"/>
        <c:numFmt formatCode="@" sourceLinked="1"/>
        <c:majorTickMark val="out"/>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114261103"/>
        <c:crosses val="autoZero"/>
        <c:auto val="1"/>
        <c:lblAlgn val="ctr"/>
        <c:lblOffset val="100"/>
        <c:noMultiLvlLbl val="0"/>
      </c:catAx>
      <c:valAx>
        <c:axId val="1114261103"/>
        <c:scaling>
          <c:orientation val="minMax"/>
          <c:max val="1.5000000000000003E-2"/>
        </c:scaling>
        <c:delete val="0"/>
        <c:axPos val="l"/>
        <c:majorGridlines>
          <c:spPr>
            <a:ln w="9525" cap="flat" cmpd="sng" algn="ctr">
              <a:solidFill>
                <a:schemeClr val="tx1">
                  <a:lumMod val="15000"/>
                  <a:lumOff val="85000"/>
                </a:schemeClr>
              </a:solidFill>
              <a:round/>
            </a:ln>
            <a:effectLst/>
          </c:spPr>
        </c:majorGridlines>
        <c:title>
          <c:tx>
            <c:rich>
              <a:bodyPr/>
              <a:lstStyle/>
              <a:p>
                <a:pPr>
                  <a:defRPr/>
                </a:pPr>
                <a:r>
                  <a:rPr lang="es-ES" b="0">
                    <a:latin typeface="Abadi Extra Light" panose="020B0204020104020204" pitchFamily="34" charset="0"/>
                  </a:rPr>
                  <a:t>Temas parte A</a:t>
                </a:r>
              </a:p>
            </c:rich>
          </c:tx>
          <c:layout>
            <c:manualLayout>
              <c:xMode val="edge"/>
              <c:yMode val="edge"/>
              <c:x val="1.2293853893263342E-2"/>
              <c:y val="0.45075950767330153"/>
            </c:manualLayout>
          </c:layout>
          <c:overlay val="0"/>
        </c:title>
        <c:numFmt formatCode="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114250287"/>
        <c:crosses val="autoZero"/>
        <c:crossBetween val="midCat"/>
        <c:majorUnit val="1.0000000000000002E-3"/>
      </c:valAx>
      <c:serAx>
        <c:axId val="657986511"/>
        <c:scaling>
          <c:orientation val="maxMin"/>
        </c:scaling>
        <c:delete val="0"/>
        <c:axPos val="b"/>
        <c:majorTickMark val="out"/>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114261103"/>
        <c:crosses val="autoZero"/>
        <c:tickLblSkip val="1"/>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n-US"/>
              <a:t>Posibilidades. </a:t>
            </a:r>
            <a:r>
              <a:rPr lang="en-GB"/>
              <a:t>Cuarto ejercicio. Parte 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endParaRPr lang="es-ES"/>
        </a:p>
      </c:txPr>
    </c:title>
    <c:autoTitleDeleted val="0"/>
    <c:plotArea>
      <c:layout/>
      <c:scatterChart>
        <c:scatterStyle val="lineMarker"/>
        <c:varyColors val="0"/>
        <c:ser>
          <c:idx val="0"/>
          <c:order val="0"/>
          <c:tx>
            <c:strRef>
              <c:f>'Ej. 4'!$C$14</c:f>
              <c:strCache>
                <c:ptCount val="1"/>
                <c:pt idx="0">
                  <c:v>Posibilidades</c:v>
                </c:pt>
              </c:strCache>
            </c:strRef>
          </c:tx>
          <c:spPr>
            <a:ln w="19050" cap="rnd">
              <a:solidFill>
                <a:schemeClr val="accent1"/>
              </a:solidFill>
              <a:round/>
            </a:ln>
            <a:effectLst/>
          </c:spPr>
          <c:marker>
            <c:symbol val="none"/>
          </c:marker>
          <c:xVal>
            <c:numRef>
              <c:f>'Ej. 4'!$B$15:$B$45</c:f>
              <c:numCache>
                <c:formatCode>General</c:formatCode>
                <c:ptCount val="31"/>
                <c:pt idx="0">
                  <c:v>30</c:v>
                </c:pt>
                <c:pt idx="1">
                  <c:v>29</c:v>
                </c:pt>
                <c:pt idx="2">
                  <c:v>28</c:v>
                </c:pt>
                <c:pt idx="3">
                  <c:v>27</c:v>
                </c:pt>
                <c:pt idx="4">
                  <c:v>26</c:v>
                </c:pt>
                <c:pt idx="5">
                  <c:v>25</c:v>
                </c:pt>
                <c:pt idx="6">
                  <c:v>24</c:v>
                </c:pt>
                <c:pt idx="7">
                  <c:v>23</c:v>
                </c:pt>
                <c:pt idx="8">
                  <c:v>22</c:v>
                </c:pt>
                <c:pt idx="9">
                  <c:v>21</c:v>
                </c:pt>
                <c:pt idx="10">
                  <c:v>20</c:v>
                </c:pt>
                <c:pt idx="11">
                  <c:v>19</c:v>
                </c:pt>
                <c:pt idx="12">
                  <c:v>18</c:v>
                </c:pt>
                <c:pt idx="13">
                  <c:v>17</c:v>
                </c:pt>
                <c:pt idx="14">
                  <c:v>16</c:v>
                </c:pt>
                <c:pt idx="15">
                  <c:v>15</c:v>
                </c:pt>
                <c:pt idx="16">
                  <c:v>14</c:v>
                </c:pt>
                <c:pt idx="17">
                  <c:v>13</c:v>
                </c:pt>
                <c:pt idx="18">
                  <c:v>12</c:v>
                </c:pt>
                <c:pt idx="19">
                  <c:v>11</c:v>
                </c:pt>
                <c:pt idx="20">
                  <c:v>10</c:v>
                </c:pt>
                <c:pt idx="21">
                  <c:v>9</c:v>
                </c:pt>
                <c:pt idx="22">
                  <c:v>8</c:v>
                </c:pt>
                <c:pt idx="23">
                  <c:v>7</c:v>
                </c:pt>
                <c:pt idx="24">
                  <c:v>6</c:v>
                </c:pt>
                <c:pt idx="25">
                  <c:v>5</c:v>
                </c:pt>
                <c:pt idx="26">
                  <c:v>4</c:v>
                </c:pt>
                <c:pt idx="27">
                  <c:v>3</c:v>
                </c:pt>
                <c:pt idx="28">
                  <c:v>2</c:v>
                </c:pt>
                <c:pt idx="29">
                  <c:v>1</c:v>
                </c:pt>
                <c:pt idx="30">
                  <c:v>0</c:v>
                </c:pt>
              </c:numCache>
            </c:numRef>
          </c:xVal>
          <c:yVal>
            <c:numRef>
              <c:f>'Ej. 4'!$C$15:$C$45</c:f>
              <c:numCache>
                <c:formatCode>0.00%</c:formatCode>
                <c:ptCount val="31"/>
                <c:pt idx="0">
                  <c:v>1</c:v>
                </c:pt>
                <c:pt idx="1">
                  <c:v>1</c:v>
                </c:pt>
                <c:pt idx="2">
                  <c:v>0.99770114942528743</c:v>
                </c:pt>
                <c:pt idx="3">
                  <c:v>0.99310344827586206</c:v>
                </c:pt>
                <c:pt idx="4">
                  <c:v>0.98620689655172411</c:v>
                </c:pt>
                <c:pt idx="5">
                  <c:v>0.97701149425287359</c:v>
                </c:pt>
                <c:pt idx="6">
                  <c:v>0.96551724137931039</c:v>
                </c:pt>
                <c:pt idx="7">
                  <c:v>0.95172413793103461</c:v>
                </c:pt>
                <c:pt idx="8">
                  <c:v>0.93563218390804592</c:v>
                </c:pt>
                <c:pt idx="9">
                  <c:v>0.91724137931034477</c:v>
                </c:pt>
                <c:pt idx="10">
                  <c:v>0.89655172413793105</c:v>
                </c:pt>
                <c:pt idx="11">
                  <c:v>0.87356321839080453</c:v>
                </c:pt>
                <c:pt idx="12">
                  <c:v>0.84827586206896555</c:v>
                </c:pt>
                <c:pt idx="13">
                  <c:v>0.82068965517241377</c:v>
                </c:pt>
                <c:pt idx="14">
                  <c:v>0.79080459770114941</c:v>
                </c:pt>
                <c:pt idx="15">
                  <c:v>0.75862068965517238</c:v>
                </c:pt>
                <c:pt idx="16">
                  <c:v>0.72413793103448276</c:v>
                </c:pt>
                <c:pt idx="17">
                  <c:v>0.68735632183908046</c:v>
                </c:pt>
                <c:pt idx="18">
                  <c:v>0.64827586206896548</c:v>
                </c:pt>
                <c:pt idx="19">
                  <c:v>0.60689655172413792</c:v>
                </c:pt>
                <c:pt idx="20">
                  <c:v>0.56321839080459768</c:v>
                </c:pt>
                <c:pt idx="21">
                  <c:v>0.51724137931034475</c:v>
                </c:pt>
                <c:pt idx="22">
                  <c:v>0.46896551724137925</c:v>
                </c:pt>
                <c:pt idx="23">
                  <c:v>0.41839080459770117</c:v>
                </c:pt>
                <c:pt idx="24">
                  <c:v>0.36551724137931035</c:v>
                </c:pt>
                <c:pt idx="25">
                  <c:v>0.31034482758620691</c:v>
                </c:pt>
                <c:pt idx="26">
                  <c:v>0.25287356321839083</c:v>
                </c:pt>
                <c:pt idx="27">
                  <c:v>0.19310344827586207</c:v>
                </c:pt>
                <c:pt idx="28">
                  <c:v>0.13103448275862067</c:v>
                </c:pt>
                <c:pt idx="29">
                  <c:v>6.6666666666666666E-2</c:v>
                </c:pt>
                <c:pt idx="30">
                  <c:v>0</c:v>
                </c:pt>
              </c:numCache>
            </c:numRef>
          </c:yVal>
          <c:smooth val="0"/>
          <c:extLst>
            <c:ext xmlns:c16="http://schemas.microsoft.com/office/drawing/2014/chart" uri="{C3380CC4-5D6E-409C-BE32-E72D297353CC}">
              <c16:uniqueId val="{00000000-6F39-4456-832E-CE2D75ECFF00}"/>
            </c:ext>
          </c:extLst>
        </c:ser>
        <c:dLbls>
          <c:showLegendKey val="0"/>
          <c:showVal val="0"/>
          <c:showCatName val="0"/>
          <c:showSerName val="0"/>
          <c:showPercent val="0"/>
          <c:showBubbleSize val="0"/>
        </c:dLbls>
        <c:axId val="123414240"/>
        <c:axId val="2114846432"/>
      </c:scatterChart>
      <c:valAx>
        <c:axId val="12341424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2114846432"/>
        <c:crosses val="autoZero"/>
        <c:crossBetween val="midCat"/>
        <c:majorUnit val="1"/>
      </c:valAx>
      <c:valAx>
        <c:axId val="21148464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234142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n-US"/>
              <a:t>Posibilidades. </a:t>
            </a:r>
            <a:r>
              <a:rPr lang="en-GB"/>
              <a:t>Cuarto ejercicio. Parte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endParaRPr lang="es-ES"/>
        </a:p>
      </c:txPr>
    </c:title>
    <c:autoTitleDeleted val="0"/>
    <c:plotArea>
      <c:layout/>
      <c:scatterChart>
        <c:scatterStyle val="lineMarker"/>
        <c:varyColors val="0"/>
        <c:ser>
          <c:idx val="0"/>
          <c:order val="0"/>
          <c:tx>
            <c:strRef>
              <c:f>'Ej. 4'!$E$14</c:f>
              <c:strCache>
                <c:ptCount val="1"/>
                <c:pt idx="0">
                  <c:v>Posibilidades</c:v>
                </c:pt>
              </c:strCache>
            </c:strRef>
          </c:tx>
          <c:spPr>
            <a:ln w="19050" cap="rnd">
              <a:solidFill>
                <a:schemeClr val="accent1"/>
              </a:solidFill>
              <a:round/>
            </a:ln>
            <a:effectLst/>
          </c:spPr>
          <c:marker>
            <c:symbol val="none"/>
          </c:marker>
          <c:xVal>
            <c:numRef>
              <c:f>'Ej. 4'!$D$15:$D$41</c:f>
              <c:numCache>
                <c:formatCode>General</c:formatCode>
                <c:ptCount val="27"/>
                <c:pt idx="0">
                  <c:v>26</c:v>
                </c:pt>
                <c:pt idx="1">
                  <c:v>25</c:v>
                </c:pt>
                <c:pt idx="2">
                  <c:v>24</c:v>
                </c:pt>
                <c:pt idx="3">
                  <c:v>23</c:v>
                </c:pt>
                <c:pt idx="4">
                  <c:v>22</c:v>
                </c:pt>
                <c:pt idx="5">
                  <c:v>21</c:v>
                </c:pt>
                <c:pt idx="6">
                  <c:v>20</c:v>
                </c:pt>
                <c:pt idx="7">
                  <c:v>19</c:v>
                </c:pt>
                <c:pt idx="8">
                  <c:v>18</c:v>
                </c:pt>
                <c:pt idx="9">
                  <c:v>17</c:v>
                </c:pt>
                <c:pt idx="10">
                  <c:v>16</c:v>
                </c:pt>
                <c:pt idx="11">
                  <c:v>15</c:v>
                </c:pt>
                <c:pt idx="12">
                  <c:v>14</c:v>
                </c:pt>
                <c:pt idx="13">
                  <c:v>13</c:v>
                </c:pt>
                <c:pt idx="14">
                  <c:v>12</c:v>
                </c:pt>
                <c:pt idx="15">
                  <c:v>11</c:v>
                </c:pt>
                <c:pt idx="16">
                  <c:v>10</c:v>
                </c:pt>
                <c:pt idx="17">
                  <c:v>9</c:v>
                </c:pt>
                <c:pt idx="18">
                  <c:v>8</c:v>
                </c:pt>
                <c:pt idx="19">
                  <c:v>7</c:v>
                </c:pt>
                <c:pt idx="20">
                  <c:v>6</c:v>
                </c:pt>
                <c:pt idx="21">
                  <c:v>5</c:v>
                </c:pt>
                <c:pt idx="22">
                  <c:v>4</c:v>
                </c:pt>
                <c:pt idx="23">
                  <c:v>3</c:v>
                </c:pt>
                <c:pt idx="24">
                  <c:v>2</c:v>
                </c:pt>
                <c:pt idx="25">
                  <c:v>1</c:v>
                </c:pt>
                <c:pt idx="26">
                  <c:v>0</c:v>
                </c:pt>
              </c:numCache>
            </c:numRef>
          </c:xVal>
          <c:yVal>
            <c:numRef>
              <c:f>'Ej. 4'!$E$15:$E$41</c:f>
              <c:numCache>
                <c:formatCode>0.00%</c:formatCode>
                <c:ptCount val="27"/>
                <c:pt idx="0">
                  <c:v>1</c:v>
                </c:pt>
                <c:pt idx="1">
                  <c:v>1</c:v>
                </c:pt>
                <c:pt idx="2">
                  <c:v>0.99692307692307702</c:v>
                </c:pt>
                <c:pt idx="3">
                  <c:v>0.99076923076923074</c:v>
                </c:pt>
                <c:pt idx="4">
                  <c:v>0.98153846153846147</c:v>
                </c:pt>
                <c:pt idx="5">
                  <c:v>0.96923076923076923</c:v>
                </c:pt>
                <c:pt idx="6">
                  <c:v>0.9538461538461539</c:v>
                </c:pt>
                <c:pt idx="7">
                  <c:v>0.93538461538461537</c:v>
                </c:pt>
                <c:pt idx="8">
                  <c:v>0.91384615384615386</c:v>
                </c:pt>
                <c:pt idx="9">
                  <c:v>0.88923076923076927</c:v>
                </c:pt>
                <c:pt idx="10">
                  <c:v>0.86153846153846159</c:v>
                </c:pt>
                <c:pt idx="11">
                  <c:v>0.8307692307692307</c:v>
                </c:pt>
                <c:pt idx="12">
                  <c:v>0.79692307692307696</c:v>
                </c:pt>
                <c:pt idx="13">
                  <c:v>0.76</c:v>
                </c:pt>
                <c:pt idx="14">
                  <c:v>0.72</c:v>
                </c:pt>
                <c:pt idx="15">
                  <c:v>0.67692307692307696</c:v>
                </c:pt>
                <c:pt idx="16">
                  <c:v>0.63076923076923075</c:v>
                </c:pt>
                <c:pt idx="17">
                  <c:v>0.58153846153846156</c:v>
                </c:pt>
                <c:pt idx="18">
                  <c:v>0.52923076923076928</c:v>
                </c:pt>
                <c:pt idx="19">
                  <c:v>0.47384615384615381</c:v>
                </c:pt>
                <c:pt idx="20">
                  <c:v>0.41538461538461541</c:v>
                </c:pt>
                <c:pt idx="21">
                  <c:v>0.35384615384615387</c:v>
                </c:pt>
                <c:pt idx="22">
                  <c:v>0.28923076923076924</c:v>
                </c:pt>
                <c:pt idx="23">
                  <c:v>0.22153846153846152</c:v>
                </c:pt>
                <c:pt idx="24">
                  <c:v>0.15076923076923077</c:v>
                </c:pt>
                <c:pt idx="25">
                  <c:v>7.6923076923076927E-2</c:v>
                </c:pt>
                <c:pt idx="26">
                  <c:v>0</c:v>
                </c:pt>
              </c:numCache>
            </c:numRef>
          </c:yVal>
          <c:smooth val="0"/>
          <c:extLst>
            <c:ext xmlns:c16="http://schemas.microsoft.com/office/drawing/2014/chart" uri="{C3380CC4-5D6E-409C-BE32-E72D297353CC}">
              <c16:uniqueId val="{00000000-01DC-4394-9595-379F14C67BB4}"/>
            </c:ext>
          </c:extLst>
        </c:ser>
        <c:dLbls>
          <c:showLegendKey val="0"/>
          <c:showVal val="0"/>
          <c:showCatName val="0"/>
          <c:showSerName val="0"/>
          <c:showPercent val="0"/>
          <c:showBubbleSize val="0"/>
        </c:dLbls>
        <c:axId val="168315216"/>
        <c:axId val="2114826464"/>
      </c:scatterChart>
      <c:valAx>
        <c:axId val="168315216"/>
        <c:scaling>
          <c:orientation val="minMax"/>
          <c:max val="26"/>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2114826464"/>
        <c:crosses val="autoZero"/>
        <c:crossBetween val="midCat"/>
        <c:majorUnit val="1"/>
      </c:valAx>
      <c:valAx>
        <c:axId val="211482646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1683152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s-ES"/>
              <a:t>Probabilidades Cuarto Ejercicio</a:t>
            </a:r>
          </a:p>
        </c:rich>
      </c:tx>
      <c:overlay val="0"/>
      <c:spPr>
        <a:noFill/>
        <a:ln>
          <a:noFill/>
        </a:ln>
        <a:effectLst/>
      </c:spPr>
    </c:title>
    <c:autoTitleDeleted val="0"/>
    <c:view3D>
      <c:rotX val="15"/>
      <c:rotY val="45"/>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3DChart>
        <c:wireframe val="1"/>
        <c:ser>
          <c:idx val="0"/>
          <c:order val="0"/>
          <c:tx>
            <c:strRef>
              <c:f>'Ej. 4'!$P$7</c:f>
              <c:strCache>
                <c:ptCount val="1"/>
                <c:pt idx="0">
                  <c:v>0</c:v>
                </c:pt>
              </c:strCache>
            </c:strRef>
          </c:tx>
          <c:spPr>
            <a:ln w="6350" cap="flat" cmpd="sng" algn="ctr">
              <a:solidFill>
                <a:schemeClr val="accent5">
                  <a:tint val="35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4'!$Q$7:$AU$7</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F642-43DD-8808-F18B690471CB}"/>
            </c:ext>
          </c:extLst>
        </c:ser>
        <c:ser>
          <c:idx val="1"/>
          <c:order val="1"/>
          <c:tx>
            <c:strRef>
              <c:f>'Ej. 4'!$P$8</c:f>
              <c:strCache>
                <c:ptCount val="1"/>
                <c:pt idx="0">
                  <c:v>1</c:v>
                </c:pt>
              </c:strCache>
            </c:strRef>
          </c:tx>
          <c:spPr>
            <a:ln w="6350" cap="flat" cmpd="sng" algn="ctr">
              <a:solidFill>
                <a:schemeClr val="accent5">
                  <a:tint val="40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4'!$Q$8:$AU$8</c:f>
              <c:numCache>
                <c:formatCode>0.00%</c:formatCode>
                <c:ptCount val="31"/>
                <c:pt idx="0">
                  <c:v>0</c:v>
                </c:pt>
                <c:pt idx="1">
                  <c:v>5.1282051282051282E-3</c:v>
                </c:pt>
                <c:pt idx="2">
                  <c:v>1.0079575596816975E-2</c:v>
                </c:pt>
                <c:pt idx="3">
                  <c:v>1.4854111405835544E-2</c:v>
                </c:pt>
                <c:pt idx="4">
                  <c:v>1.9451812555260833E-2</c:v>
                </c:pt>
                <c:pt idx="5">
                  <c:v>2.387267904509284E-2</c:v>
                </c:pt>
                <c:pt idx="6">
                  <c:v>2.8116710875331567E-2</c:v>
                </c:pt>
                <c:pt idx="7">
                  <c:v>3.2183908045977018E-2</c:v>
                </c:pt>
                <c:pt idx="8">
                  <c:v>3.6074270557029178E-2</c:v>
                </c:pt>
                <c:pt idx="9">
                  <c:v>3.9787798408488062E-2</c:v>
                </c:pt>
                <c:pt idx="10">
                  <c:v>4.3324491600353669E-2</c:v>
                </c:pt>
                <c:pt idx="11">
                  <c:v>4.6684350132626E-2</c:v>
                </c:pt>
                <c:pt idx="12">
                  <c:v>4.986737400530504E-2</c:v>
                </c:pt>
                <c:pt idx="13">
                  <c:v>5.2873563218390811E-2</c:v>
                </c:pt>
                <c:pt idx="14">
                  <c:v>5.5702917771883291E-2</c:v>
                </c:pt>
                <c:pt idx="15">
                  <c:v>5.8355437665782495E-2</c:v>
                </c:pt>
                <c:pt idx="16">
                  <c:v>6.0831122900088422E-2</c:v>
                </c:pt>
                <c:pt idx="17">
                  <c:v>6.3129973474801065E-2</c:v>
                </c:pt>
                <c:pt idx="18">
                  <c:v>6.5251989389920426E-2</c:v>
                </c:pt>
                <c:pt idx="19">
                  <c:v>6.7197170645446502E-2</c:v>
                </c:pt>
                <c:pt idx="20">
                  <c:v>6.8965517241379309E-2</c:v>
                </c:pt>
                <c:pt idx="21">
                  <c:v>7.0557029177718833E-2</c:v>
                </c:pt>
                <c:pt idx="22">
                  <c:v>7.1971706454465073E-2</c:v>
                </c:pt>
                <c:pt idx="23">
                  <c:v>7.3209549071618057E-2</c:v>
                </c:pt>
                <c:pt idx="24">
                  <c:v>7.4270557029177731E-2</c:v>
                </c:pt>
                <c:pt idx="25">
                  <c:v>7.515473032714412E-2</c:v>
                </c:pt>
                <c:pt idx="26">
                  <c:v>7.586206896551724E-2</c:v>
                </c:pt>
                <c:pt idx="27">
                  <c:v>7.6392572944297091E-2</c:v>
                </c:pt>
                <c:pt idx="28">
                  <c:v>7.6746242263483658E-2</c:v>
                </c:pt>
                <c:pt idx="29">
                  <c:v>7.6923076923076927E-2</c:v>
                </c:pt>
                <c:pt idx="30">
                  <c:v>7.6923076923076927E-2</c:v>
                </c:pt>
              </c:numCache>
            </c:numRef>
          </c:val>
          <c:extLst>
            <c:ext xmlns:c16="http://schemas.microsoft.com/office/drawing/2014/chart" uri="{C3380CC4-5D6E-409C-BE32-E72D297353CC}">
              <c16:uniqueId val="{00000001-F642-43DD-8808-F18B690471CB}"/>
            </c:ext>
          </c:extLst>
        </c:ser>
        <c:ser>
          <c:idx val="2"/>
          <c:order val="2"/>
          <c:tx>
            <c:strRef>
              <c:f>'Ej. 4'!$P$9</c:f>
              <c:strCache>
                <c:ptCount val="1"/>
                <c:pt idx="0">
                  <c:v>2</c:v>
                </c:pt>
              </c:strCache>
            </c:strRef>
          </c:tx>
          <c:spPr>
            <a:ln w="6350" cap="flat" cmpd="sng" algn="ctr">
              <a:solidFill>
                <a:schemeClr val="accent5">
                  <a:tint val="44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4'!$Q$9:$AU$9</c:f>
              <c:numCache>
                <c:formatCode>0.00%</c:formatCode>
                <c:ptCount val="31"/>
                <c:pt idx="0">
                  <c:v>0</c:v>
                </c:pt>
                <c:pt idx="1">
                  <c:v>1.0051282051282051E-2</c:v>
                </c:pt>
                <c:pt idx="2">
                  <c:v>1.975596816976127E-2</c:v>
                </c:pt>
                <c:pt idx="3">
                  <c:v>2.9114058355437664E-2</c:v>
                </c:pt>
                <c:pt idx="4">
                  <c:v>3.8125552608311235E-2</c:v>
                </c:pt>
                <c:pt idx="5">
                  <c:v>4.6790450928381966E-2</c:v>
                </c:pt>
                <c:pt idx="6">
                  <c:v>5.5108753315649871E-2</c:v>
                </c:pt>
                <c:pt idx="7">
                  <c:v>6.3080459770114949E-2</c:v>
                </c:pt>
                <c:pt idx="8">
                  <c:v>7.0705570291777181E-2</c:v>
                </c:pt>
                <c:pt idx="9">
                  <c:v>7.7984084880636587E-2</c:v>
                </c:pt>
                <c:pt idx="10">
                  <c:v>8.4916003536693194E-2</c:v>
                </c:pt>
                <c:pt idx="11">
                  <c:v>9.1501326259946947E-2</c:v>
                </c:pt>
                <c:pt idx="12">
                  <c:v>9.7740053050397874E-2</c:v>
                </c:pt>
                <c:pt idx="13">
                  <c:v>0.10363218390804597</c:v>
                </c:pt>
                <c:pt idx="14">
                  <c:v>0.10917771883289125</c:v>
                </c:pt>
                <c:pt idx="15">
                  <c:v>0.11437665782493368</c:v>
                </c:pt>
                <c:pt idx="16">
                  <c:v>0.11922900088417329</c:v>
                </c:pt>
                <c:pt idx="17">
                  <c:v>0.12373474801061007</c:v>
                </c:pt>
                <c:pt idx="18">
                  <c:v>0.12789389920424404</c:v>
                </c:pt>
                <c:pt idx="19">
                  <c:v>0.13170645446507515</c:v>
                </c:pt>
                <c:pt idx="20">
                  <c:v>0.13517241379310344</c:v>
                </c:pt>
                <c:pt idx="21">
                  <c:v>0.13829177718832891</c:v>
                </c:pt>
                <c:pt idx="22">
                  <c:v>0.14106454465075155</c:v>
                </c:pt>
                <c:pt idx="23">
                  <c:v>0.14349071618037137</c:v>
                </c:pt>
                <c:pt idx="24">
                  <c:v>0.14557029177718833</c:v>
                </c:pt>
                <c:pt idx="25">
                  <c:v>0.14730327144120248</c:v>
                </c:pt>
                <c:pt idx="26">
                  <c:v>0.14868965517241378</c:v>
                </c:pt>
                <c:pt idx="27">
                  <c:v>0.14972944297082227</c:v>
                </c:pt>
                <c:pt idx="28">
                  <c:v>0.15042263483642795</c:v>
                </c:pt>
                <c:pt idx="29">
                  <c:v>0.15076923076923077</c:v>
                </c:pt>
                <c:pt idx="30">
                  <c:v>0.15076923076923077</c:v>
                </c:pt>
              </c:numCache>
            </c:numRef>
          </c:val>
          <c:extLst>
            <c:ext xmlns:c16="http://schemas.microsoft.com/office/drawing/2014/chart" uri="{C3380CC4-5D6E-409C-BE32-E72D297353CC}">
              <c16:uniqueId val="{00000002-F642-43DD-8808-F18B690471CB}"/>
            </c:ext>
          </c:extLst>
        </c:ser>
        <c:ser>
          <c:idx val="3"/>
          <c:order val="3"/>
          <c:tx>
            <c:strRef>
              <c:f>'Ej. 4'!$P$10</c:f>
              <c:strCache>
                <c:ptCount val="1"/>
                <c:pt idx="0">
                  <c:v>3</c:v>
                </c:pt>
              </c:strCache>
            </c:strRef>
          </c:tx>
          <c:spPr>
            <a:ln w="6350" cap="flat" cmpd="sng" algn="ctr">
              <a:solidFill>
                <a:schemeClr val="accent5">
                  <a:tint val="49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4'!$Q$10:$AU$10</c:f>
              <c:numCache>
                <c:formatCode>0.00%</c:formatCode>
                <c:ptCount val="31"/>
                <c:pt idx="0">
                  <c:v>0</c:v>
                </c:pt>
                <c:pt idx="1">
                  <c:v>1.4769230769230767E-2</c:v>
                </c:pt>
                <c:pt idx="2">
                  <c:v>2.9029177718832885E-2</c:v>
                </c:pt>
                <c:pt idx="3">
                  <c:v>4.2779840848806358E-2</c:v>
                </c:pt>
                <c:pt idx="4">
                  <c:v>5.6021220159151196E-2</c:v>
                </c:pt>
                <c:pt idx="5">
                  <c:v>6.8753315649867364E-2</c:v>
                </c:pt>
                <c:pt idx="6">
                  <c:v>8.0976127320954897E-2</c:v>
                </c:pt>
                <c:pt idx="7">
                  <c:v>9.2689655172413787E-2</c:v>
                </c:pt>
                <c:pt idx="8">
                  <c:v>0.10389389920424401</c:v>
                </c:pt>
                <c:pt idx="9">
                  <c:v>0.1145888594164456</c:v>
                </c:pt>
                <c:pt idx="10">
                  <c:v>0.12477453580901855</c:v>
                </c:pt>
                <c:pt idx="11">
                  <c:v>0.13445092838196285</c:v>
                </c:pt>
                <c:pt idx="12">
                  <c:v>0.14361803713527849</c:v>
                </c:pt>
                <c:pt idx="13">
                  <c:v>0.15227586206896551</c:v>
                </c:pt>
                <c:pt idx="14">
                  <c:v>0.16042440318302387</c:v>
                </c:pt>
                <c:pt idx="15">
                  <c:v>0.16806366047745355</c:v>
                </c:pt>
                <c:pt idx="16">
                  <c:v>0.17519363395225462</c:v>
                </c:pt>
                <c:pt idx="17">
                  <c:v>0.18181432360742703</c:v>
                </c:pt>
                <c:pt idx="18">
                  <c:v>0.18792572944297081</c:v>
                </c:pt>
                <c:pt idx="19">
                  <c:v>0.1935278514588859</c:v>
                </c:pt>
                <c:pt idx="20">
                  <c:v>0.19862068965517241</c:v>
                </c:pt>
                <c:pt idx="21">
                  <c:v>0.20320424403183021</c:v>
                </c:pt>
                <c:pt idx="22">
                  <c:v>0.20727851458885937</c:v>
                </c:pt>
                <c:pt idx="23">
                  <c:v>0.21084350132625995</c:v>
                </c:pt>
                <c:pt idx="24">
                  <c:v>0.21389920424403183</c:v>
                </c:pt>
                <c:pt idx="25">
                  <c:v>0.21644562334217504</c:v>
                </c:pt>
                <c:pt idx="26">
                  <c:v>0.21848275862068964</c:v>
                </c:pt>
                <c:pt idx="27">
                  <c:v>0.22001061007957556</c:v>
                </c:pt>
                <c:pt idx="28">
                  <c:v>0.22102917771883288</c:v>
                </c:pt>
                <c:pt idx="29">
                  <c:v>0.22153846153846152</c:v>
                </c:pt>
                <c:pt idx="30">
                  <c:v>0.22153846153846152</c:v>
                </c:pt>
              </c:numCache>
            </c:numRef>
          </c:val>
          <c:extLst>
            <c:ext xmlns:c16="http://schemas.microsoft.com/office/drawing/2014/chart" uri="{C3380CC4-5D6E-409C-BE32-E72D297353CC}">
              <c16:uniqueId val="{00000003-F642-43DD-8808-F18B690471CB}"/>
            </c:ext>
          </c:extLst>
        </c:ser>
        <c:ser>
          <c:idx val="4"/>
          <c:order val="4"/>
          <c:tx>
            <c:strRef>
              <c:f>'Ej. 4'!$P$11</c:f>
              <c:strCache>
                <c:ptCount val="1"/>
                <c:pt idx="0">
                  <c:v>4</c:v>
                </c:pt>
              </c:strCache>
            </c:strRef>
          </c:tx>
          <c:spPr>
            <a:ln w="6350" cap="flat" cmpd="sng" algn="ctr">
              <a:solidFill>
                <a:schemeClr val="accent5">
                  <a:tint val="54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4'!$Q$11:$AU$11</c:f>
              <c:numCache>
                <c:formatCode>0.00%</c:formatCode>
                <c:ptCount val="31"/>
                <c:pt idx="0">
                  <c:v>0</c:v>
                </c:pt>
                <c:pt idx="1">
                  <c:v>1.9282051282051283E-2</c:v>
                </c:pt>
                <c:pt idx="2">
                  <c:v>3.7899204244031828E-2</c:v>
                </c:pt>
                <c:pt idx="3">
                  <c:v>5.5851458885941646E-2</c:v>
                </c:pt>
                <c:pt idx="4">
                  <c:v>7.3138815207780733E-2</c:v>
                </c:pt>
                <c:pt idx="5">
                  <c:v>8.9761273209549075E-2</c:v>
                </c:pt>
                <c:pt idx="6">
                  <c:v>0.10571883289124669</c:v>
                </c:pt>
                <c:pt idx="7">
                  <c:v>0.12101149425287357</c:v>
                </c:pt>
                <c:pt idx="8">
                  <c:v>0.13563925729442969</c:v>
                </c:pt>
                <c:pt idx="9">
                  <c:v>0.14960212201591511</c:v>
                </c:pt>
                <c:pt idx="10">
                  <c:v>0.16290008841732978</c:v>
                </c:pt>
                <c:pt idx="11">
                  <c:v>0.17553315649867374</c:v>
                </c:pt>
                <c:pt idx="12">
                  <c:v>0.18750132625994695</c:v>
                </c:pt>
                <c:pt idx="13">
                  <c:v>0.19880459770114944</c:v>
                </c:pt>
                <c:pt idx="14">
                  <c:v>0.20944297082228117</c:v>
                </c:pt>
                <c:pt idx="15">
                  <c:v>0.21941644562334217</c:v>
                </c:pt>
                <c:pt idx="16">
                  <c:v>0.22872502210433246</c:v>
                </c:pt>
                <c:pt idx="17">
                  <c:v>0.23736870026525198</c:v>
                </c:pt>
                <c:pt idx="18">
                  <c:v>0.2453474801061008</c:v>
                </c:pt>
                <c:pt idx="19">
                  <c:v>0.25266136162687886</c:v>
                </c:pt>
                <c:pt idx="20">
                  <c:v>0.25931034482758619</c:v>
                </c:pt>
                <c:pt idx="21">
                  <c:v>0.26529442970822281</c:v>
                </c:pt>
                <c:pt idx="22">
                  <c:v>0.27061361626878866</c:v>
                </c:pt>
                <c:pt idx="23">
                  <c:v>0.27526790450928385</c:v>
                </c:pt>
                <c:pt idx="24">
                  <c:v>0.27925729442970826</c:v>
                </c:pt>
                <c:pt idx="25">
                  <c:v>0.2825817860300619</c:v>
                </c:pt>
                <c:pt idx="26">
                  <c:v>0.28524137931034482</c:v>
                </c:pt>
                <c:pt idx="27">
                  <c:v>0.28723607427055703</c:v>
                </c:pt>
                <c:pt idx="28">
                  <c:v>0.28856587091069852</c:v>
                </c:pt>
                <c:pt idx="29">
                  <c:v>0.28923076923076924</c:v>
                </c:pt>
                <c:pt idx="30">
                  <c:v>0.28923076923076924</c:v>
                </c:pt>
              </c:numCache>
            </c:numRef>
          </c:val>
          <c:extLst>
            <c:ext xmlns:c16="http://schemas.microsoft.com/office/drawing/2014/chart" uri="{C3380CC4-5D6E-409C-BE32-E72D297353CC}">
              <c16:uniqueId val="{00000004-F642-43DD-8808-F18B690471CB}"/>
            </c:ext>
          </c:extLst>
        </c:ser>
        <c:ser>
          <c:idx val="5"/>
          <c:order val="5"/>
          <c:tx>
            <c:strRef>
              <c:f>'Ej. 4'!$P$12</c:f>
              <c:strCache>
                <c:ptCount val="1"/>
                <c:pt idx="0">
                  <c:v>5</c:v>
                </c:pt>
              </c:strCache>
            </c:strRef>
          </c:tx>
          <c:spPr>
            <a:ln w="6350" cap="flat" cmpd="sng" algn="ctr">
              <a:solidFill>
                <a:schemeClr val="accent5">
                  <a:tint val="58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4'!$Q$12:$AU$12</c:f>
              <c:numCache>
                <c:formatCode>0.00%</c:formatCode>
                <c:ptCount val="31"/>
                <c:pt idx="0">
                  <c:v>0</c:v>
                </c:pt>
                <c:pt idx="1">
                  <c:v>2.3589743589743591E-2</c:v>
                </c:pt>
                <c:pt idx="2">
                  <c:v>4.6366047745358088E-2</c:v>
                </c:pt>
                <c:pt idx="3">
                  <c:v>6.83289124668435E-2</c:v>
                </c:pt>
                <c:pt idx="4">
                  <c:v>8.9478337754199833E-2</c:v>
                </c:pt>
                <c:pt idx="5">
                  <c:v>0.10981432360742706</c:v>
                </c:pt>
                <c:pt idx="6">
                  <c:v>0.12933687002652522</c:v>
                </c:pt>
                <c:pt idx="7">
                  <c:v>0.14804597701149427</c:v>
                </c:pt>
                <c:pt idx="8">
                  <c:v>0.16594164456233421</c:v>
                </c:pt>
                <c:pt idx="9">
                  <c:v>0.18302387267904507</c:v>
                </c:pt>
                <c:pt idx="10">
                  <c:v>0.19929266136162688</c:v>
                </c:pt>
                <c:pt idx="11">
                  <c:v>0.21474801061007959</c:v>
                </c:pt>
                <c:pt idx="12">
                  <c:v>0.22938992042440318</c:v>
                </c:pt>
                <c:pt idx="13">
                  <c:v>0.24321839080459773</c:v>
                </c:pt>
                <c:pt idx="14">
                  <c:v>0.25623342175066316</c:v>
                </c:pt>
                <c:pt idx="15">
                  <c:v>0.2684350132625995</c:v>
                </c:pt>
                <c:pt idx="16">
                  <c:v>0.27982316534040674</c:v>
                </c:pt>
                <c:pt idx="17">
                  <c:v>0.2903978779840849</c:v>
                </c:pt>
                <c:pt idx="18">
                  <c:v>0.30015915119363396</c:v>
                </c:pt>
                <c:pt idx="19">
                  <c:v>0.30910698496905392</c:v>
                </c:pt>
                <c:pt idx="20">
                  <c:v>0.31724137931034485</c:v>
                </c:pt>
                <c:pt idx="21">
                  <c:v>0.32456233421750663</c:v>
                </c:pt>
                <c:pt idx="22">
                  <c:v>0.33106984969053932</c:v>
                </c:pt>
                <c:pt idx="23">
                  <c:v>0.33676392572944303</c:v>
                </c:pt>
                <c:pt idx="24">
                  <c:v>0.34164456233421753</c:v>
                </c:pt>
                <c:pt idx="25">
                  <c:v>0.34571175950486299</c:v>
                </c:pt>
                <c:pt idx="26">
                  <c:v>0.34896551724137931</c:v>
                </c:pt>
                <c:pt idx="27">
                  <c:v>0.35140583554376659</c:v>
                </c:pt>
                <c:pt idx="28">
                  <c:v>0.35303271441202483</c:v>
                </c:pt>
                <c:pt idx="29">
                  <c:v>0.35384615384615387</c:v>
                </c:pt>
                <c:pt idx="30">
                  <c:v>0.35384615384615387</c:v>
                </c:pt>
              </c:numCache>
            </c:numRef>
          </c:val>
          <c:extLst>
            <c:ext xmlns:c16="http://schemas.microsoft.com/office/drawing/2014/chart" uri="{C3380CC4-5D6E-409C-BE32-E72D297353CC}">
              <c16:uniqueId val="{00000005-F642-43DD-8808-F18B690471CB}"/>
            </c:ext>
          </c:extLst>
        </c:ser>
        <c:ser>
          <c:idx val="6"/>
          <c:order val="6"/>
          <c:tx>
            <c:strRef>
              <c:f>'Ej. 4'!$P$13</c:f>
              <c:strCache>
                <c:ptCount val="1"/>
                <c:pt idx="0">
                  <c:v>6</c:v>
                </c:pt>
              </c:strCache>
            </c:strRef>
          </c:tx>
          <c:spPr>
            <a:ln w="6350" cap="flat" cmpd="sng" algn="ctr">
              <a:solidFill>
                <a:schemeClr val="accent5">
                  <a:tint val="63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4'!$Q$13:$AU$13</c:f>
              <c:numCache>
                <c:formatCode>0.00%</c:formatCode>
                <c:ptCount val="31"/>
                <c:pt idx="0">
                  <c:v>0</c:v>
                </c:pt>
                <c:pt idx="1">
                  <c:v>2.7692307692307693E-2</c:v>
                </c:pt>
                <c:pt idx="2">
                  <c:v>5.4429708222811665E-2</c:v>
                </c:pt>
                <c:pt idx="3">
                  <c:v>8.0212201591511934E-2</c:v>
                </c:pt>
                <c:pt idx="4">
                  <c:v>0.1050397877984085</c:v>
                </c:pt>
                <c:pt idx="5">
                  <c:v>0.12891246684350133</c:v>
                </c:pt>
                <c:pt idx="6">
                  <c:v>0.15183023872679047</c:v>
                </c:pt>
                <c:pt idx="7">
                  <c:v>0.17379310344827589</c:v>
                </c:pt>
                <c:pt idx="8">
                  <c:v>0.19480106100795755</c:v>
                </c:pt>
                <c:pt idx="9">
                  <c:v>0.21485411140583552</c:v>
                </c:pt>
                <c:pt idx="10">
                  <c:v>0.23395225464190983</c:v>
                </c:pt>
                <c:pt idx="11">
                  <c:v>0.25209549071618037</c:v>
                </c:pt>
                <c:pt idx="12">
                  <c:v>0.26928381962864723</c:v>
                </c:pt>
                <c:pt idx="13">
                  <c:v>0.28551724137931034</c:v>
                </c:pt>
                <c:pt idx="14">
                  <c:v>0.30079575596816976</c:v>
                </c:pt>
                <c:pt idx="15">
                  <c:v>0.31511936339522545</c:v>
                </c:pt>
                <c:pt idx="16">
                  <c:v>0.32848806366047745</c:v>
                </c:pt>
                <c:pt idx="17">
                  <c:v>0.34090185676392576</c:v>
                </c:pt>
                <c:pt idx="18">
                  <c:v>0.35236074270557033</c:v>
                </c:pt>
                <c:pt idx="19">
                  <c:v>0.36286472148541116</c:v>
                </c:pt>
                <c:pt idx="20">
                  <c:v>0.3724137931034483</c:v>
                </c:pt>
                <c:pt idx="21">
                  <c:v>0.3810079575596817</c:v>
                </c:pt>
                <c:pt idx="22">
                  <c:v>0.38864721485411141</c:v>
                </c:pt>
                <c:pt idx="23">
                  <c:v>0.39533156498673749</c:v>
                </c:pt>
                <c:pt idx="24">
                  <c:v>0.40106100795755972</c:v>
                </c:pt>
                <c:pt idx="25">
                  <c:v>0.40583554376657827</c:v>
                </c:pt>
                <c:pt idx="26">
                  <c:v>0.40965517241379312</c:v>
                </c:pt>
                <c:pt idx="27">
                  <c:v>0.41251989389920424</c:v>
                </c:pt>
                <c:pt idx="28">
                  <c:v>0.41442970822281172</c:v>
                </c:pt>
                <c:pt idx="29">
                  <c:v>0.41538461538461541</c:v>
                </c:pt>
                <c:pt idx="30">
                  <c:v>0.41538461538461541</c:v>
                </c:pt>
              </c:numCache>
            </c:numRef>
          </c:val>
          <c:extLst>
            <c:ext xmlns:c16="http://schemas.microsoft.com/office/drawing/2014/chart" uri="{C3380CC4-5D6E-409C-BE32-E72D297353CC}">
              <c16:uniqueId val="{00000006-F642-43DD-8808-F18B690471CB}"/>
            </c:ext>
          </c:extLst>
        </c:ser>
        <c:ser>
          <c:idx val="7"/>
          <c:order val="7"/>
          <c:tx>
            <c:strRef>
              <c:f>'Ej. 4'!$P$14</c:f>
              <c:strCache>
                <c:ptCount val="1"/>
                <c:pt idx="0">
                  <c:v>7</c:v>
                </c:pt>
              </c:strCache>
            </c:strRef>
          </c:tx>
          <c:spPr>
            <a:ln w="6350" cap="flat" cmpd="sng" algn="ctr">
              <a:solidFill>
                <a:schemeClr val="accent5">
                  <a:tint val="68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4'!$Q$14:$AU$14</c:f>
              <c:numCache>
                <c:formatCode>0.00%</c:formatCode>
                <c:ptCount val="31"/>
                <c:pt idx="0">
                  <c:v>0</c:v>
                </c:pt>
                <c:pt idx="1">
                  <c:v>3.1589743589743584E-2</c:v>
                </c:pt>
                <c:pt idx="2">
                  <c:v>6.2090185676392559E-2</c:v>
                </c:pt>
                <c:pt idx="3">
                  <c:v>9.1501326259946947E-2</c:v>
                </c:pt>
                <c:pt idx="4">
                  <c:v>0.11982316534040673</c:v>
                </c:pt>
                <c:pt idx="5">
                  <c:v>0.14705570291777187</c:v>
                </c:pt>
                <c:pt idx="6">
                  <c:v>0.17319893899204242</c:v>
                </c:pt>
                <c:pt idx="7">
                  <c:v>0.19825287356321838</c:v>
                </c:pt>
                <c:pt idx="8">
                  <c:v>0.22221750663129969</c:v>
                </c:pt>
                <c:pt idx="9">
                  <c:v>0.24509283819628641</c:v>
                </c:pt>
                <c:pt idx="10">
                  <c:v>0.26687886825817858</c:v>
                </c:pt>
                <c:pt idx="11">
                  <c:v>0.28757559681697609</c:v>
                </c:pt>
                <c:pt idx="12">
                  <c:v>0.30718302387267898</c:v>
                </c:pt>
                <c:pt idx="13">
                  <c:v>0.32570114942528733</c:v>
                </c:pt>
                <c:pt idx="14">
                  <c:v>0.34312997347480101</c:v>
                </c:pt>
                <c:pt idx="15">
                  <c:v>0.35946949602122014</c:v>
                </c:pt>
                <c:pt idx="16">
                  <c:v>0.3747197170645446</c:v>
                </c:pt>
                <c:pt idx="17">
                  <c:v>0.38888063660477451</c:v>
                </c:pt>
                <c:pt idx="18">
                  <c:v>0.40195225464190981</c:v>
                </c:pt>
                <c:pt idx="19">
                  <c:v>0.41393457117595039</c:v>
                </c:pt>
                <c:pt idx="20">
                  <c:v>0.42482758620689653</c:v>
                </c:pt>
                <c:pt idx="21">
                  <c:v>0.43463129973474796</c:v>
                </c:pt>
                <c:pt idx="22">
                  <c:v>0.44334571175950482</c:v>
                </c:pt>
                <c:pt idx="23">
                  <c:v>0.45097082228116714</c:v>
                </c:pt>
                <c:pt idx="24">
                  <c:v>0.45750663129973473</c:v>
                </c:pt>
                <c:pt idx="25">
                  <c:v>0.46295313881520778</c:v>
                </c:pt>
                <c:pt idx="26">
                  <c:v>0.46731034482758615</c:v>
                </c:pt>
                <c:pt idx="27">
                  <c:v>0.47057824933686998</c:v>
                </c:pt>
                <c:pt idx="28">
                  <c:v>0.47275685234305925</c:v>
                </c:pt>
                <c:pt idx="29">
                  <c:v>0.47384615384615381</c:v>
                </c:pt>
                <c:pt idx="30">
                  <c:v>0.47384615384615381</c:v>
                </c:pt>
              </c:numCache>
            </c:numRef>
          </c:val>
          <c:extLst>
            <c:ext xmlns:c16="http://schemas.microsoft.com/office/drawing/2014/chart" uri="{C3380CC4-5D6E-409C-BE32-E72D297353CC}">
              <c16:uniqueId val="{00000007-F642-43DD-8808-F18B690471CB}"/>
            </c:ext>
          </c:extLst>
        </c:ser>
        <c:ser>
          <c:idx val="8"/>
          <c:order val="8"/>
          <c:tx>
            <c:strRef>
              <c:f>'Ej. 4'!$P$15</c:f>
              <c:strCache>
                <c:ptCount val="1"/>
                <c:pt idx="0">
                  <c:v>8</c:v>
                </c:pt>
              </c:strCache>
            </c:strRef>
          </c:tx>
          <c:spPr>
            <a:ln w="6350" cap="flat" cmpd="sng" algn="ctr">
              <a:solidFill>
                <a:schemeClr val="accent5">
                  <a:tint val="72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4'!$Q$15:$AU$15</c:f>
              <c:numCache>
                <c:formatCode>0.00%</c:formatCode>
                <c:ptCount val="31"/>
                <c:pt idx="0">
                  <c:v>0</c:v>
                </c:pt>
                <c:pt idx="1">
                  <c:v>3.5282051282051287E-2</c:v>
                </c:pt>
                <c:pt idx="2">
                  <c:v>6.9347480106100798E-2</c:v>
                </c:pt>
                <c:pt idx="3">
                  <c:v>0.10219628647214855</c:v>
                </c:pt>
                <c:pt idx="4">
                  <c:v>0.13382847038019455</c:v>
                </c:pt>
                <c:pt idx="5">
                  <c:v>0.16424403183023875</c:v>
                </c:pt>
                <c:pt idx="6">
                  <c:v>0.19344297082228118</c:v>
                </c:pt>
                <c:pt idx="7">
                  <c:v>0.22142528735632186</c:v>
                </c:pt>
                <c:pt idx="8">
                  <c:v>0.24819098143236074</c:v>
                </c:pt>
                <c:pt idx="9">
                  <c:v>0.27374005305039789</c:v>
                </c:pt>
                <c:pt idx="10">
                  <c:v>0.29807250221043324</c:v>
                </c:pt>
                <c:pt idx="11">
                  <c:v>0.32118832891246685</c:v>
                </c:pt>
                <c:pt idx="12">
                  <c:v>0.3430875331564987</c:v>
                </c:pt>
                <c:pt idx="13">
                  <c:v>0.36377011494252876</c:v>
                </c:pt>
                <c:pt idx="14">
                  <c:v>0.38323607427055706</c:v>
                </c:pt>
                <c:pt idx="15">
                  <c:v>0.40148541114058356</c:v>
                </c:pt>
                <c:pt idx="16">
                  <c:v>0.41851812555260837</c:v>
                </c:pt>
                <c:pt idx="17">
                  <c:v>0.43433421750663131</c:v>
                </c:pt>
                <c:pt idx="18">
                  <c:v>0.44893368700265257</c:v>
                </c:pt>
                <c:pt idx="19">
                  <c:v>0.46231653404067197</c:v>
                </c:pt>
                <c:pt idx="20">
                  <c:v>0.47448275862068973</c:v>
                </c:pt>
                <c:pt idx="21">
                  <c:v>0.48543236074270557</c:v>
                </c:pt>
                <c:pt idx="22">
                  <c:v>0.49516534040671972</c:v>
                </c:pt>
                <c:pt idx="23">
                  <c:v>0.50368169761273218</c:v>
                </c:pt>
                <c:pt idx="24">
                  <c:v>0.51098143236074278</c:v>
                </c:pt>
                <c:pt idx="25">
                  <c:v>0.51706454465075158</c:v>
                </c:pt>
                <c:pt idx="26">
                  <c:v>0.52193103448275868</c:v>
                </c:pt>
                <c:pt idx="27">
                  <c:v>0.52558090185676398</c:v>
                </c:pt>
                <c:pt idx="28">
                  <c:v>0.52801414677276759</c:v>
                </c:pt>
                <c:pt idx="29">
                  <c:v>0.52923076923076928</c:v>
                </c:pt>
                <c:pt idx="30">
                  <c:v>0.52923076923076928</c:v>
                </c:pt>
              </c:numCache>
            </c:numRef>
          </c:val>
          <c:extLst>
            <c:ext xmlns:c16="http://schemas.microsoft.com/office/drawing/2014/chart" uri="{C3380CC4-5D6E-409C-BE32-E72D297353CC}">
              <c16:uniqueId val="{00000008-F642-43DD-8808-F18B690471CB}"/>
            </c:ext>
          </c:extLst>
        </c:ser>
        <c:ser>
          <c:idx val="9"/>
          <c:order val="9"/>
          <c:tx>
            <c:strRef>
              <c:f>'Ej. 4'!$P$16</c:f>
              <c:strCache>
                <c:ptCount val="1"/>
                <c:pt idx="0">
                  <c:v>9</c:v>
                </c:pt>
              </c:strCache>
            </c:strRef>
          </c:tx>
          <c:spPr>
            <a:ln w="6350" cap="flat" cmpd="sng" algn="ctr">
              <a:solidFill>
                <a:schemeClr val="accent5">
                  <a:tint val="77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4'!$Q$16:$AU$16</c:f>
              <c:numCache>
                <c:formatCode>0.00%</c:formatCode>
                <c:ptCount val="31"/>
                <c:pt idx="0">
                  <c:v>0</c:v>
                </c:pt>
                <c:pt idx="1">
                  <c:v>3.8769230769230771E-2</c:v>
                </c:pt>
                <c:pt idx="2">
                  <c:v>7.620159151193634E-2</c:v>
                </c:pt>
                <c:pt idx="3">
                  <c:v>0.11229708222811671</c:v>
                </c:pt>
                <c:pt idx="4">
                  <c:v>0.1470557029177719</c:v>
                </c:pt>
                <c:pt idx="5">
                  <c:v>0.18047745358090186</c:v>
                </c:pt>
                <c:pt idx="6">
                  <c:v>0.21256233421750664</c:v>
                </c:pt>
                <c:pt idx="7">
                  <c:v>0.24331034482758623</c:v>
                </c:pt>
                <c:pt idx="8">
                  <c:v>0.27272148541114055</c:v>
                </c:pt>
                <c:pt idx="9">
                  <c:v>0.30079575596816971</c:v>
                </c:pt>
                <c:pt idx="10">
                  <c:v>0.32753315649867376</c:v>
                </c:pt>
                <c:pt idx="11">
                  <c:v>0.35293368700265254</c:v>
                </c:pt>
                <c:pt idx="12">
                  <c:v>0.3769973474801061</c:v>
                </c:pt>
                <c:pt idx="13">
                  <c:v>0.39972413793103451</c:v>
                </c:pt>
                <c:pt idx="14">
                  <c:v>0.42111405835543769</c:v>
                </c:pt>
                <c:pt idx="15">
                  <c:v>0.44116710875331566</c:v>
                </c:pt>
                <c:pt idx="16">
                  <c:v>0.45988328912466847</c:v>
                </c:pt>
                <c:pt idx="17">
                  <c:v>0.47726259946949601</c:v>
                </c:pt>
                <c:pt idx="18">
                  <c:v>0.49330503978779844</c:v>
                </c:pt>
                <c:pt idx="19">
                  <c:v>0.5080106100795756</c:v>
                </c:pt>
                <c:pt idx="20">
                  <c:v>0.52137931034482765</c:v>
                </c:pt>
                <c:pt idx="21">
                  <c:v>0.53341114058355432</c:v>
                </c:pt>
                <c:pt idx="22">
                  <c:v>0.54410610079575594</c:v>
                </c:pt>
                <c:pt idx="23">
                  <c:v>0.5534641909814324</c:v>
                </c:pt>
                <c:pt idx="24">
                  <c:v>0.56148541114058359</c:v>
                </c:pt>
                <c:pt idx="25">
                  <c:v>0.56816976127320962</c:v>
                </c:pt>
                <c:pt idx="26">
                  <c:v>0.57351724137931037</c:v>
                </c:pt>
                <c:pt idx="27">
                  <c:v>0.57752785145888597</c:v>
                </c:pt>
                <c:pt idx="28">
                  <c:v>0.5802015915119364</c:v>
                </c:pt>
                <c:pt idx="29">
                  <c:v>0.58153846153846156</c:v>
                </c:pt>
                <c:pt idx="30">
                  <c:v>0.58153846153846156</c:v>
                </c:pt>
              </c:numCache>
            </c:numRef>
          </c:val>
          <c:extLst>
            <c:ext xmlns:c16="http://schemas.microsoft.com/office/drawing/2014/chart" uri="{C3380CC4-5D6E-409C-BE32-E72D297353CC}">
              <c16:uniqueId val="{00000009-F642-43DD-8808-F18B690471CB}"/>
            </c:ext>
          </c:extLst>
        </c:ser>
        <c:ser>
          <c:idx val="10"/>
          <c:order val="10"/>
          <c:tx>
            <c:strRef>
              <c:f>'Ej. 4'!$P$17</c:f>
              <c:strCache>
                <c:ptCount val="1"/>
                <c:pt idx="0">
                  <c:v>10</c:v>
                </c:pt>
              </c:strCache>
            </c:strRef>
          </c:tx>
          <c:spPr>
            <a:ln w="6350" cap="flat" cmpd="sng" algn="ctr">
              <a:solidFill>
                <a:schemeClr val="accent5">
                  <a:tint val="82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4'!$Q$17:$AU$17</c:f>
              <c:numCache>
                <c:formatCode>0.00%</c:formatCode>
                <c:ptCount val="31"/>
                <c:pt idx="0">
                  <c:v>0</c:v>
                </c:pt>
                <c:pt idx="1">
                  <c:v>4.205128205128205E-2</c:v>
                </c:pt>
                <c:pt idx="2">
                  <c:v>8.2652519893899198E-2</c:v>
                </c:pt>
                <c:pt idx="3">
                  <c:v>0.12180371352785145</c:v>
                </c:pt>
                <c:pt idx="4">
                  <c:v>0.15950486295313882</c:v>
                </c:pt>
                <c:pt idx="5">
                  <c:v>0.19575596816976126</c:v>
                </c:pt>
                <c:pt idx="6">
                  <c:v>0.23055702917771884</c:v>
                </c:pt>
                <c:pt idx="7">
                  <c:v>0.26390804597701151</c:v>
                </c:pt>
                <c:pt idx="8">
                  <c:v>0.29580901856763919</c:v>
                </c:pt>
                <c:pt idx="9">
                  <c:v>0.32625994694960209</c:v>
                </c:pt>
                <c:pt idx="10">
                  <c:v>0.35526083112290008</c:v>
                </c:pt>
                <c:pt idx="11">
                  <c:v>0.38281167108753311</c:v>
                </c:pt>
                <c:pt idx="12">
                  <c:v>0.4089124668435013</c:v>
                </c:pt>
                <c:pt idx="13">
                  <c:v>0.43356321839080458</c:v>
                </c:pt>
                <c:pt idx="14">
                  <c:v>0.45676392572944297</c:v>
                </c:pt>
                <c:pt idx="15">
                  <c:v>0.47851458885941639</c:v>
                </c:pt>
                <c:pt idx="16">
                  <c:v>0.49881520778072502</c:v>
                </c:pt>
                <c:pt idx="17">
                  <c:v>0.5176657824933687</c:v>
                </c:pt>
                <c:pt idx="18">
                  <c:v>0.53506631299734753</c:v>
                </c:pt>
                <c:pt idx="19">
                  <c:v>0.55101679929266134</c:v>
                </c:pt>
                <c:pt idx="20">
                  <c:v>0.56551724137931036</c:v>
                </c:pt>
                <c:pt idx="21">
                  <c:v>0.57856763925729437</c:v>
                </c:pt>
                <c:pt idx="22">
                  <c:v>0.59016799292661359</c:v>
                </c:pt>
                <c:pt idx="23">
                  <c:v>0.60031830238726791</c:v>
                </c:pt>
                <c:pt idx="24">
                  <c:v>0.60901856763925732</c:v>
                </c:pt>
                <c:pt idx="25">
                  <c:v>0.61626878868258184</c:v>
                </c:pt>
                <c:pt idx="26">
                  <c:v>0.62206896551724133</c:v>
                </c:pt>
                <c:pt idx="27">
                  <c:v>0.62641909814323604</c:v>
                </c:pt>
                <c:pt idx="28">
                  <c:v>0.62931918656056585</c:v>
                </c:pt>
                <c:pt idx="29">
                  <c:v>0.63076923076923075</c:v>
                </c:pt>
                <c:pt idx="30">
                  <c:v>0.63076923076923075</c:v>
                </c:pt>
              </c:numCache>
            </c:numRef>
          </c:val>
          <c:extLst>
            <c:ext xmlns:c16="http://schemas.microsoft.com/office/drawing/2014/chart" uri="{C3380CC4-5D6E-409C-BE32-E72D297353CC}">
              <c16:uniqueId val="{0000000A-F642-43DD-8808-F18B690471CB}"/>
            </c:ext>
          </c:extLst>
        </c:ser>
        <c:ser>
          <c:idx val="11"/>
          <c:order val="11"/>
          <c:tx>
            <c:strRef>
              <c:f>'Ej. 4'!$P$18</c:f>
              <c:strCache>
                <c:ptCount val="1"/>
                <c:pt idx="0">
                  <c:v>11</c:v>
                </c:pt>
              </c:strCache>
            </c:strRef>
          </c:tx>
          <c:spPr>
            <a:ln w="6350" cap="flat" cmpd="sng" algn="ctr">
              <a:solidFill>
                <a:schemeClr val="accent5">
                  <a:tint val="86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4'!$Q$18:$AU$18</c:f>
              <c:numCache>
                <c:formatCode>0.00%</c:formatCode>
                <c:ptCount val="31"/>
                <c:pt idx="0">
                  <c:v>0</c:v>
                </c:pt>
                <c:pt idx="1">
                  <c:v>4.5128205128205132E-2</c:v>
                </c:pt>
                <c:pt idx="2">
                  <c:v>8.8700265251989388E-2</c:v>
                </c:pt>
                <c:pt idx="3">
                  <c:v>0.1307161803713528</c:v>
                </c:pt>
                <c:pt idx="4">
                  <c:v>0.17117595048629533</c:v>
                </c:pt>
                <c:pt idx="5">
                  <c:v>0.210079575596817</c:v>
                </c:pt>
                <c:pt idx="6">
                  <c:v>0.24742705570291779</c:v>
                </c:pt>
                <c:pt idx="7">
                  <c:v>0.28321839080459771</c:v>
                </c:pt>
                <c:pt idx="8">
                  <c:v>0.31745358090185671</c:v>
                </c:pt>
                <c:pt idx="9">
                  <c:v>0.35013262599469491</c:v>
                </c:pt>
                <c:pt idx="10">
                  <c:v>0.38125552608311231</c:v>
                </c:pt>
                <c:pt idx="11">
                  <c:v>0.41082228116710878</c:v>
                </c:pt>
                <c:pt idx="12">
                  <c:v>0.43883289124668434</c:v>
                </c:pt>
                <c:pt idx="13">
                  <c:v>0.4652873563218391</c:v>
                </c:pt>
                <c:pt idx="14">
                  <c:v>0.49018567639257299</c:v>
                </c:pt>
                <c:pt idx="15">
                  <c:v>0.51352785145888591</c:v>
                </c:pt>
                <c:pt idx="16">
                  <c:v>0.53531388152077808</c:v>
                </c:pt>
                <c:pt idx="17">
                  <c:v>0.55554376657824933</c:v>
                </c:pt>
                <c:pt idx="18">
                  <c:v>0.57421750663129978</c:v>
                </c:pt>
                <c:pt idx="19">
                  <c:v>0.5913351016799292</c:v>
                </c:pt>
                <c:pt idx="20">
                  <c:v>0.60689655172413792</c:v>
                </c:pt>
                <c:pt idx="21">
                  <c:v>0.62090185676392573</c:v>
                </c:pt>
                <c:pt idx="22">
                  <c:v>0.63335101679929262</c:v>
                </c:pt>
                <c:pt idx="23">
                  <c:v>0.64424403183023882</c:v>
                </c:pt>
                <c:pt idx="24">
                  <c:v>0.65358090185676398</c:v>
                </c:pt>
                <c:pt idx="25">
                  <c:v>0.66136162687886835</c:v>
                </c:pt>
                <c:pt idx="26">
                  <c:v>0.66758620689655179</c:v>
                </c:pt>
                <c:pt idx="27">
                  <c:v>0.67225464190981432</c:v>
                </c:pt>
                <c:pt idx="28">
                  <c:v>0.67536693191865615</c:v>
                </c:pt>
                <c:pt idx="29">
                  <c:v>0.67692307692307696</c:v>
                </c:pt>
                <c:pt idx="30">
                  <c:v>0.67692307692307696</c:v>
                </c:pt>
              </c:numCache>
            </c:numRef>
          </c:val>
          <c:extLst>
            <c:ext xmlns:c16="http://schemas.microsoft.com/office/drawing/2014/chart" uri="{C3380CC4-5D6E-409C-BE32-E72D297353CC}">
              <c16:uniqueId val="{0000000B-F642-43DD-8808-F18B690471CB}"/>
            </c:ext>
          </c:extLst>
        </c:ser>
        <c:ser>
          <c:idx val="12"/>
          <c:order val="12"/>
          <c:tx>
            <c:strRef>
              <c:f>'Ej. 4'!$P$19</c:f>
              <c:strCache>
                <c:ptCount val="1"/>
                <c:pt idx="0">
                  <c:v>12</c:v>
                </c:pt>
              </c:strCache>
            </c:strRef>
          </c:tx>
          <c:spPr>
            <a:ln w="6350" cap="flat" cmpd="sng" algn="ctr">
              <a:solidFill>
                <a:schemeClr val="accent5">
                  <a:tint val="91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4'!$Q$19:$AU$19</c:f>
              <c:numCache>
                <c:formatCode>0.00%</c:formatCode>
                <c:ptCount val="31"/>
                <c:pt idx="0">
                  <c:v>0</c:v>
                </c:pt>
                <c:pt idx="1">
                  <c:v>4.8000000000000001E-2</c:v>
                </c:pt>
                <c:pt idx="2">
                  <c:v>9.4344827586206881E-2</c:v>
                </c:pt>
                <c:pt idx="3">
                  <c:v>0.13903448275862068</c:v>
                </c:pt>
                <c:pt idx="4">
                  <c:v>0.18206896551724139</c:v>
                </c:pt>
                <c:pt idx="5">
                  <c:v>0.22344827586206897</c:v>
                </c:pt>
                <c:pt idx="6">
                  <c:v>0.26317241379310347</c:v>
                </c:pt>
                <c:pt idx="7">
                  <c:v>0.30124137931034484</c:v>
                </c:pt>
                <c:pt idx="8">
                  <c:v>0.33765517241379306</c:v>
                </c:pt>
                <c:pt idx="9">
                  <c:v>0.37241379310344819</c:v>
                </c:pt>
                <c:pt idx="10">
                  <c:v>0.40551724137931033</c:v>
                </c:pt>
                <c:pt idx="11">
                  <c:v>0.43696551724137928</c:v>
                </c:pt>
                <c:pt idx="12">
                  <c:v>0.46675862068965512</c:v>
                </c:pt>
                <c:pt idx="13">
                  <c:v>0.49489655172413793</c:v>
                </c:pt>
                <c:pt idx="14">
                  <c:v>0.52137931034482754</c:v>
                </c:pt>
                <c:pt idx="15">
                  <c:v>0.54620689655172405</c:v>
                </c:pt>
                <c:pt idx="16">
                  <c:v>0.56937931034482758</c:v>
                </c:pt>
                <c:pt idx="17">
                  <c:v>0.59089655172413791</c:v>
                </c:pt>
                <c:pt idx="18">
                  <c:v>0.61075862068965514</c:v>
                </c:pt>
                <c:pt idx="19">
                  <c:v>0.62896551724137928</c:v>
                </c:pt>
                <c:pt idx="20">
                  <c:v>0.64551724137931032</c:v>
                </c:pt>
                <c:pt idx="21">
                  <c:v>0.66041379310344817</c:v>
                </c:pt>
                <c:pt idx="22">
                  <c:v>0.67365517241379302</c:v>
                </c:pt>
                <c:pt idx="23">
                  <c:v>0.6852413793103449</c:v>
                </c:pt>
                <c:pt idx="24">
                  <c:v>0.69517241379310346</c:v>
                </c:pt>
                <c:pt idx="25">
                  <c:v>0.70344827586206893</c:v>
                </c:pt>
                <c:pt idx="26">
                  <c:v>0.7100689655172413</c:v>
                </c:pt>
                <c:pt idx="27">
                  <c:v>0.71503448275862069</c:v>
                </c:pt>
                <c:pt idx="28">
                  <c:v>0.71834482758620688</c:v>
                </c:pt>
                <c:pt idx="29">
                  <c:v>0.72</c:v>
                </c:pt>
                <c:pt idx="30">
                  <c:v>0.72</c:v>
                </c:pt>
              </c:numCache>
            </c:numRef>
          </c:val>
          <c:extLst>
            <c:ext xmlns:c16="http://schemas.microsoft.com/office/drawing/2014/chart" uri="{C3380CC4-5D6E-409C-BE32-E72D297353CC}">
              <c16:uniqueId val="{0000000C-F642-43DD-8808-F18B690471CB}"/>
            </c:ext>
          </c:extLst>
        </c:ser>
        <c:ser>
          <c:idx val="13"/>
          <c:order val="13"/>
          <c:tx>
            <c:strRef>
              <c:f>'Ej. 4'!$P$20</c:f>
              <c:strCache>
                <c:ptCount val="1"/>
                <c:pt idx="0">
                  <c:v>13</c:v>
                </c:pt>
              </c:strCache>
            </c:strRef>
          </c:tx>
          <c:spPr>
            <a:ln w="6350" cap="flat" cmpd="sng" algn="ctr">
              <a:solidFill>
                <a:schemeClr val="accent5">
                  <a:tint val="96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4'!$Q$20:$AU$20</c:f>
              <c:numCache>
                <c:formatCode>0.00%</c:formatCode>
                <c:ptCount val="31"/>
                <c:pt idx="0">
                  <c:v>0</c:v>
                </c:pt>
                <c:pt idx="1">
                  <c:v>5.0666666666666665E-2</c:v>
                </c:pt>
                <c:pt idx="2">
                  <c:v>9.9586206896551718E-2</c:v>
                </c:pt>
                <c:pt idx="3">
                  <c:v>0.14675862068965517</c:v>
                </c:pt>
                <c:pt idx="4">
                  <c:v>0.19218390804597704</c:v>
                </c:pt>
                <c:pt idx="5">
                  <c:v>0.23586206896551726</c:v>
                </c:pt>
                <c:pt idx="6">
                  <c:v>0.27779310344827585</c:v>
                </c:pt>
                <c:pt idx="7">
                  <c:v>0.31797701149425289</c:v>
                </c:pt>
                <c:pt idx="8">
                  <c:v>0.35641379310344823</c:v>
                </c:pt>
                <c:pt idx="9">
                  <c:v>0.39310344827586202</c:v>
                </c:pt>
                <c:pt idx="10">
                  <c:v>0.42804597701149422</c:v>
                </c:pt>
                <c:pt idx="11">
                  <c:v>0.46124137931034481</c:v>
                </c:pt>
                <c:pt idx="12">
                  <c:v>0.49268965517241375</c:v>
                </c:pt>
                <c:pt idx="13">
                  <c:v>0.52239080459770115</c:v>
                </c:pt>
                <c:pt idx="14">
                  <c:v>0.55034482758620695</c:v>
                </c:pt>
                <c:pt idx="15">
                  <c:v>0.57655172413793099</c:v>
                </c:pt>
                <c:pt idx="16">
                  <c:v>0.60101149425287359</c:v>
                </c:pt>
                <c:pt idx="17">
                  <c:v>0.62372413793103443</c:v>
                </c:pt>
                <c:pt idx="18">
                  <c:v>0.64468965517241383</c:v>
                </c:pt>
                <c:pt idx="19">
                  <c:v>0.66390804597701147</c:v>
                </c:pt>
                <c:pt idx="20">
                  <c:v>0.68137931034482757</c:v>
                </c:pt>
                <c:pt idx="21">
                  <c:v>0.69710344827586201</c:v>
                </c:pt>
                <c:pt idx="22">
                  <c:v>0.71108045977011491</c:v>
                </c:pt>
                <c:pt idx="23">
                  <c:v>0.72331034482758627</c:v>
                </c:pt>
                <c:pt idx="24">
                  <c:v>0.73379310344827586</c:v>
                </c:pt>
                <c:pt idx="25">
                  <c:v>0.74252873563218391</c:v>
                </c:pt>
                <c:pt idx="26">
                  <c:v>0.74951724137931031</c:v>
                </c:pt>
                <c:pt idx="27">
                  <c:v>0.75475862068965516</c:v>
                </c:pt>
                <c:pt idx="28">
                  <c:v>0.75825287356321847</c:v>
                </c:pt>
                <c:pt idx="29">
                  <c:v>0.76</c:v>
                </c:pt>
                <c:pt idx="30">
                  <c:v>0.76</c:v>
                </c:pt>
              </c:numCache>
            </c:numRef>
          </c:val>
          <c:extLst>
            <c:ext xmlns:c16="http://schemas.microsoft.com/office/drawing/2014/chart" uri="{C3380CC4-5D6E-409C-BE32-E72D297353CC}">
              <c16:uniqueId val="{0000000D-F642-43DD-8808-F18B690471CB}"/>
            </c:ext>
          </c:extLst>
        </c:ser>
        <c:ser>
          <c:idx val="14"/>
          <c:order val="14"/>
          <c:tx>
            <c:strRef>
              <c:f>'Ej. 4'!$P$21</c:f>
              <c:strCache>
                <c:ptCount val="1"/>
                <c:pt idx="0">
                  <c:v>14</c:v>
                </c:pt>
              </c:strCache>
            </c:strRef>
          </c:tx>
          <c:spPr>
            <a:ln w="6350" cap="flat" cmpd="sng" algn="ctr">
              <a:solidFill>
                <a:schemeClr val="accent5"/>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4'!$Q$21:$AU$21</c:f>
              <c:numCache>
                <c:formatCode>0.00%</c:formatCode>
                <c:ptCount val="31"/>
                <c:pt idx="0">
                  <c:v>0</c:v>
                </c:pt>
                <c:pt idx="1">
                  <c:v>5.3128205128205132E-2</c:v>
                </c:pt>
                <c:pt idx="2">
                  <c:v>0.10442440318302386</c:v>
                </c:pt>
                <c:pt idx="3">
                  <c:v>0.15388859416445624</c:v>
                </c:pt>
                <c:pt idx="4">
                  <c:v>0.20152077807250224</c:v>
                </c:pt>
                <c:pt idx="5">
                  <c:v>0.24732095490716183</c:v>
                </c:pt>
                <c:pt idx="6">
                  <c:v>0.29128912466843504</c:v>
                </c:pt>
                <c:pt idx="7">
                  <c:v>0.33342528735632188</c:v>
                </c:pt>
                <c:pt idx="8">
                  <c:v>0.37372944297082222</c:v>
                </c:pt>
                <c:pt idx="9">
                  <c:v>0.4122015915119363</c:v>
                </c:pt>
                <c:pt idx="10">
                  <c:v>0.44884173297966401</c:v>
                </c:pt>
                <c:pt idx="11">
                  <c:v>0.48364986737400534</c:v>
                </c:pt>
                <c:pt idx="12">
                  <c:v>0.51662599469496018</c:v>
                </c:pt>
                <c:pt idx="13">
                  <c:v>0.54777011494252881</c:v>
                </c:pt>
                <c:pt idx="14">
                  <c:v>0.57708222811671095</c:v>
                </c:pt>
                <c:pt idx="15">
                  <c:v>0.6045623342175066</c:v>
                </c:pt>
                <c:pt idx="16">
                  <c:v>0.63021043324491599</c:v>
                </c:pt>
                <c:pt idx="17">
                  <c:v>0.654026525198939</c:v>
                </c:pt>
                <c:pt idx="18">
                  <c:v>0.67601061007957564</c:v>
                </c:pt>
                <c:pt idx="19">
                  <c:v>0.69616268788682578</c:v>
                </c:pt>
                <c:pt idx="20">
                  <c:v>0.71448275862068966</c:v>
                </c:pt>
                <c:pt idx="21">
                  <c:v>0.73097082228116705</c:v>
                </c:pt>
                <c:pt idx="22">
                  <c:v>0.74562687886825818</c:v>
                </c:pt>
                <c:pt idx="23">
                  <c:v>0.75845092838196304</c:v>
                </c:pt>
                <c:pt idx="24">
                  <c:v>0.76944297082228119</c:v>
                </c:pt>
                <c:pt idx="25">
                  <c:v>0.77860300618921319</c:v>
                </c:pt>
                <c:pt idx="26">
                  <c:v>0.78593103448275858</c:v>
                </c:pt>
                <c:pt idx="27">
                  <c:v>0.79142705570291783</c:v>
                </c:pt>
                <c:pt idx="28">
                  <c:v>0.79509106984969058</c:v>
                </c:pt>
                <c:pt idx="29">
                  <c:v>0.79692307692307696</c:v>
                </c:pt>
                <c:pt idx="30">
                  <c:v>0.79692307692307696</c:v>
                </c:pt>
              </c:numCache>
            </c:numRef>
          </c:val>
          <c:extLst>
            <c:ext xmlns:c16="http://schemas.microsoft.com/office/drawing/2014/chart" uri="{C3380CC4-5D6E-409C-BE32-E72D297353CC}">
              <c16:uniqueId val="{0000000E-F642-43DD-8808-F18B690471CB}"/>
            </c:ext>
          </c:extLst>
        </c:ser>
        <c:ser>
          <c:idx val="15"/>
          <c:order val="15"/>
          <c:tx>
            <c:strRef>
              <c:f>'Ej. 4'!$P$22</c:f>
              <c:strCache>
                <c:ptCount val="1"/>
                <c:pt idx="0">
                  <c:v>15</c:v>
                </c:pt>
              </c:strCache>
            </c:strRef>
          </c:tx>
          <c:spPr>
            <a:ln w="6350" cap="flat" cmpd="sng" algn="ctr">
              <a:solidFill>
                <a:schemeClr val="accent5">
                  <a:shade val="95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4'!$Q$22:$AU$22</c:f>
              <c:numCache>
                <c:formatCode>0.00%</c:formatCode>
                <c:ptCount val="31"/>
                <c:pt idx="0">
                  <c:v>0</c:v>
                </c:pt>
                <c:pt idx="1">
                  <c:v>5.5384615384615379E-2</c:v>
                </c:pt>
                <c:pt idx="2">
                  <c:v>0.10885941644562332</c:v>
                </c:pt>
                <c:pt idx="3">
                  <c:v>0.16042440318302387</c:v>
                </c:pt>
                <c:pt idx="4">
                  <c:v>0.21007957559681698</c:v>
                </c:pt>
                <c:pt idx="5">
                  <c:v>0.25782493368700266</c:v>
                </c:pt>
                <c:pt idx="6">
                  <c:v>0.30366047745358088</c:v>
                </c:pt>
                <c:pt idx="7">
                  <c:v>0.34758620689655173</c:v>
                </c:pt>
                <c:pt idx="8">
                  <c:v>0.38960212201591504</c:v>
                </c:pt>
                <c:pt idx="9">
                  <c:v>0.42970822281167098</c:v>
                </c:pt>
                <c:pt idx="10">
                  <c:v>0.46790450928381955</c:v>
                </c:pt>
                <c:pt idx="11">
                  <c:v>0.50419098143236074</c:v>
                </c:pt>
                <c:pt idx="12">
                  <c:v>0.53856763925729434</c:v>
                </c:pt>
                <c:pt idx="13">
                  <c:v>0.57103448275862068</c:v>
                </c:pt>
                <c:pt idx="14">
                  <c:v>0.60159151193633953</c:v>
                </c:pt>
                <c:pt idx="15">
                  <c:v>0.6302387267904509</c:v>
                </c:pt>
                <c:pt idx="16">
                  <c:v>0.65697612732095489</c:v>
                </c:pt>
                <c:pt idx="17">
                  <c:v>0.68180371352785141</c:v>
                </c:pt>
                <c:pt idx="18">
                  <c:v>0.70472148541114055</c:v>
                </c:pt>
                <c:pt idx="19">
                  <c:v>0.7257294429708222</c:v>
                </c:pt>
                <c:pt idx="20">
                  <c:v>0.74482758620689649</c:v>
                </c:pt>
                <c:pt idx="21">
                  <c:v>0.76201591511936329</c:v>
                </c:pt>
                <c:pt idx="22">
                  <c:v>0.77729442970822271</c:v>
                </c:pt>
                <c:pt idx="23">
                  <c:v>0.79066312997347488</c:v>
                </c:pt>
                <c:pt idx="24">
                  <c:v>0.80212201591511934</c:v>
                </c:pt>
                <c:pt idx="25">
                  <c:v>0.81167108753315642</c:v>
                </c:pt>
                <c:pt idx="26">
                  <c:v>0.81931034482758613</c:v>
                </c:pt>
                <c:pt idx="27">
                  <c:v>0.82503978779840836</c:v>
                </c:pt>
                <c:pt idx="28">
                  <c:v>0.82885941644562333</c:v>
                </c:pt>
                <c:pt idx="29">
                  <c:v>0.8307692307692307</c:v>
                </c:pt>
                <c:pt idx="30">
                  <c:v>0.8307692307692307</c:v>
                </c:pt>
              </c:numCache>
            </c:numRef>
          </c:val>
          <c:extLst>
            <c:ext xmlns:c16="http://schemas.microsoft.com/office/drawing/2014/chart" uri="{C3380CC4-5D6E-409C-BE32-E72D297353CC}">
              <c16:uniqueId val="{0000000F-F642-43DD-8808-F18B690471CB}"/>
            </c:ext>
          </c:extLst>
        </c:ser>
        <c:ser>
          <c:idx val="16"/>
          <c:order val="16"/>
          <c:tx>
            <c:strRef>
              <c:f>'Ej. 4'!$P$23</c:f>
              <c:strCache>
                <c:ptCount val="1"/>
                <c:pt idx="0">
                  <c:v>16</c:v>
                </c:pt>
              </c:strCache>
            </c:strRef>
          </c:tx>
          <c:spPr>
            <a:ln w="6350" cap="flat" cmpd="sng" algn="ctr">
              <a:solidFill>
                <a:schemeClr val="accent5">
                  <a:shade val="90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4'!$Q$23:$AU$23</c:f>
              <c:numCache>
                <c:formatCode>0.00%</c:formatCode>
                <c:ptCount val="31"/>
                <c:pt idx="0">
                  <c:v>0</c:v>
                </c:pt>
                <c:pt idx="1">
                  <c:v>5.7435897435897436E-2</c:v>
                </c:pt>
                <c:pt idx="2">
                  <c:v>0.11289124668435012</c:v>
                </c:pt>
                <c:pt idx="3">
                  <c:v>0.1663660477453581</c:v>
                </c:pt>
                <c:pt idx="4">
                  <c:v>0.21786030061892134</c:v>
                </c:pt>
                <c:pt idx="5">
                  <c:v>0.2673740053050398</c:v>
                </c:pt>
                <c:pt idx="6">
                  <c:v>0.31490716180371353</c:v>
                </c:pt>
                <c:pt idx="7">
                  <c:v>0.36045977011494257</c:v>
                </c:pt>
                <c:pt idx="8">
                  <c:v>0.40403183023872674</c:v>
                </c:pt>
                <c:pt idx="9">
                  <c:v>0.44562334217506627</c:v>
                </c:pt>
                <c:pt idx="10">
                  <c:v>0.48523430592396111</c:v>
                </c:pt>
                <c:pt idx="11">
                  <c:v>0.52286472148541119</c:v>
                </c:pt>
                <c:pt idx="12">
                  <c:v>0.55851458885941641</c:v>
                </c:pt>
                <c:pt idx="13">
                  <c:v>0.59218390804597709</c:v>
                </c:pt>
                <c:pt idx="14">
                  <c:v>0.62387267904509291</c:v>
                </c:pt>
                <c:pt idx="15">
                  <c:v>0.65358090185676387</c:v>
                </c:pt>
                <c:pt idx="16">
                  <c:v>0.6813085764809903</c:v>
                </c:pt>
                <c:pt idx="17">
                  <c:v>0.70705570291777187</c:v>
                </c:pt>
                <c:pt idx="18">
                  <c:v>0.73082228116710879</c:v>
                </c:pt>
                <c:pt idx="19">
                  <c:v>0.75260831122900085</c:v>
                </c:pt>
                <c:pt idx="20">
                  <c:v>0.77241379310344838</c:v>
                </c:pt>
                <c:pt idx="21">
                  <c:v>0.79023872679045093</c:v>
                </c:pt>
                <c:pt idx="22">
                  <c:v>0.80608311229000884</c:v>
                </c:pt>
                <c:pt idx="23">
                  <c:v>0.81994694960212222</c:v>
                </c:pt>
                <c:pt idx="24">
                  <c:v>0.83183023872679052</c:v>
                </c:pt>
                <c:pt idx="25">
                  <c:v>0.84173297966401417</c:v>
                </c:pt>
                <c:pt idx="26">
                  <c:v>0.84965517241379318</c:v>
                </c:pt>
                <c:pt idx="27">
                  <c:v>0.85559681697612733</c:v>
                </c:pt>
                <c:pt idx="28">
                  <c:v>0.85955791335101694</c:v>
                </c:pt>
                <c:pt idx="29">
                  <c:v>0.86153846153846159</c:v>
                </c:pt>
                <c:pt idx="30">
                  <c:v>0.86153846153846159</c:v>
                </c:pt>
              </c:numCache>
            </c:numRef>
          </c:val>
          <c:extLst>
            <c:ext xmlns:c16="http://schemas.microsoft.com/office/drawing/2014/chart" uri="{C3380CC4-5D6E-409C-BE32-E72D297353CC}">
              <c16:uniqueId val="{00000010-F642-43DD-8808-F18B690471CB}"/>
            </c:ext>
          </c:extLst>
        </c:ser>
        <c:ser>
          <c:idx val="17"/>
          <c:order val="17"/>
          <c:tx>
            <c:strRef>
              <c:f>'Ej. 4'!$P$24</c:f>
              <c:strCache>
                <c:ptCount val="1"/>
                <c:pt idx="0">
                  <c:v>17</c:v>
                </c:pt>
              </c:strCache>
            </c:strRef>
          </c:tx>
          <c:spPr>
            <a:ln w="6350" cap="flat" cmpd="sng" algn="ctr">
              <a:solidFill>
                <a:schemeClr val="accent5">
                  <a:shade val="86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4'!$Q$24:$AU$24</c:f>
              <c:numCache>
                <c:formatCode>0.00%</c:formatCode>
                <c:ptCount val="31"/>
                <c:pt idx="0">
                  <c:v>0</c:v>
                </c:pt>
                <c:pt idx="1">
                  <c:v>5.928205128205128E-2</c:v>
                </c:pt>
                <c:pt idx="2">
                  <c:v>0.11651989389920424</c:v>
                </c:pt>
                <c:pt idx="3">
                  <c:v>0.17171352785145888</c:v>
                </c:pt>
                <c:pt idx="4">
                  <c:v>0.22486295313881524</c:v>
                </c:pt>
                <c:pt idx="5">
                  <c:v>0.27596816976127325</c:v>
                </c:pt>
                <c:pt idx="6">
                  <c:v>0.32502917771883294</c:v>
                </c:pt>
                <c:pt idx="7">
                  <c:v>0.37204597701149428</c:v>
                </c:pt>
                <c:pt idx="8">
                  <c:v>0.41701856763925726</c:v>
                </c:pt>
                <c:pt idx="9">
                  <c:v>0.45994694960212196</c:v>
                </c:pt>
                <c:pt idx="10">
                  <c:v>0.50083112290008847</c:v>
                </c:pt>
                <c:pt idx="11">
                  <c:v>0.53967108753315651</c:v>
                </c:pt>
                <c:pt idx="12">
                  <c:v>0.57646684350132626</c:v>
                </c:pt>
                <c:pt idx="13">
                  <c:v>0.61121839080459772</c:v>
                </c:pt>
                <c:pt idx="14">
                  <c:v>0.64392572944297088</c:v>
                </c:pt>
                <c:pt idx="15">
                  <c:v>0.67458885941644564</c:v>
                </c:pt>
                <c:pt idx="16">
                  <c:v>0.7032077807250221</c:v>
                </c:pt>
                <c:pt idx="17">
                  <c:v>0.72978249336870027</c:v>
                </c:pt>
                <c:pt idx="18">
                  <c:v>0.75431299734748014</c:v>
                </c:pt>
                <c:pt idx="19">
                  <c:v>0.77679929266136161</c:v>
                </c:pt>
                <c:pt idx="20">
                  <c:v>0.79724137931034489</c:v>
                </c:pt>
                <c:pt idx="21">
                  <c:v>0.81563925729442965</c:v>
                </c:pt>
                <c:pt idx="22">
                  <c:v>0.83199292661361623</c:v>
                </c:pt>
                <c:pt idx="23">
                  <c:v>0.84630238726790463</c:v>
                </c:pt>
                <c:pt idx="24">
                  <c:v>0.85856763925729451</c:v>
                </c:pt>
                <c:pt idx="25">
                  <c:v>0.8687886825817861</c:v>
                </c:pt>
                <c:pt idx="26">
                  <c:v>0.87696551724137928</c:v>
                </c:pt>
                <c:pt idx="27">
                  <c:v>0.88309814323607427</c:v>
                </c:pt>
                <c:pt idx="28">
                  <c:v>0.88718656056587097</c:v>
                </c:pt>
                <c:pt idx="29">
                  <c:v>0.88923076923076927</c:v>
                </c:pt>
                <c:pt idx="30">
                  <c:v>0.88923076923076927</c:v>
                </c:pt>
              </c:numCache>
            </c:numRef>
          </c:val>
          <c:extLst>
            <c:ext xmlns:c16="http://schemas.microsoft.com/office/drawing/2014/chart" uri="{C3380CC4-5D6E-409C-BE32-E72D297353CC}">
              <c16:uniqueId val="{00000011-F642-43DD-8808-F18B690471CB}"/>
            </c:ext>
          </c:extLst>
        </c:ser>
        <c:ser>
          <c:idx val="18"/>
          <c:order val="18"/>
          <c:tx>
            <c:strRef>
              <c:f>'Ej. 4'!$P$25</c:f>
              <c:strCache>
                <c:ptCount val="1"/>
                <c:pt idx="0">
                  <c:v>18</c:v>
                </c:pt>
              </c:strCache>
            </c:strRef>
          </c:tx>
          <c:spPr>
            <a:ln w="6350" cap="flat" cmpd="sng" algn="ctr">
              <a:solidFill>
                <a:schemeClr val="accent5">
                  <a:shade val="81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4'!$Q$25:$AU$25</c:f>
              <c:numCache>
                <c:formatCode>0.00%</c:formatCode>
                <c:ptCount val="31"/>
                <c:pt idx="0">
                  <c:v>0</c:v>
                </c:pt>
                <c:pt idx="1">
                  <c:v>6.092307692307692E-2</c:v>
                </c:pt>
                <c:pt idx="2">
                  <c:v>0.11974535809018566</c:v>
                </c:pt>
                <c:pt idx="3">
                  <c:v>0.17646684350132627</c:v>
                </c:pt>
                <c:pt idx="4">
                  <c:v>0.23108753315649869</c:v>
                </c:pt>
                <c:pt idx="5">
                  <c:v>0.28360742705570291</c:v>
                </c:pt>
                <c:pt idx="6">
                  <c:v>0.33402652519893899</c:v>
                </c:pt>
                <c:pt idx="7">
                  <c:v>0.38234482758620691</c:v>
                </c:pt>
                <c:pt idx="8">
                  <c:v>0.42856233421750656</c:v>
                </c:pt>
                <c:pt idx="9">
                  <c:v>0.47267904509283815</c:v>
                </c:pt>
                <c:pt idx="10">
                  <c:v>0.51469496021220162</c:v>
                </c:pt>
                <c:pt idx="11">
                  <c:v>0.55461007957559683</c:v>
                </c:pt>
                <c:pt idx="12">
                  <c:v>0.59242440318302381</c:v>
                </c:pt>
                <c:pt idx="13">
                  <c:v>0.62813793103448279</c:v>
                </c:pt>
                <c:pt idx="14">
                  <c:v>0.66175066312997344</c:v>
                </c:pt>
                <c:pt idx="15">
                  <c:v>0.69326259946949598</c:v>
                </c:pt>
                <c:pt idx="16">
                  <c:v>0.72267374005305041</c:v>
                </c:pt>
                <c:pt idx="17">
                  <c:v>0.74998408488063661</c:v>
                </c:pt>
                <c:pt idx="18">
                  <c:v>0.77519363395225471</c:v>
                </c:pt>
                <c:pt idx="19">
                  <c:v>0.79830238726790448</c:v>
                </c:pt>
                <c:pt idx="20">
                  <c:v>0.81931034482758625</c:v>
                </c:pt>
                <c:pt idx="21">
                  <c:v>0.83821750663129968</c:v>
                </c:pt>
                <c:pt idx="22">
                  <c:v>0.85502387267904501</c:v>
                </c:pt>
                <c:pt idx="23">
                  <c:v>0.86972944297082244</c:v>
                </c:pt>
                <c:pt idx="24">
                  <c:v>0.88233421750663132</c:v>
                </c:pt>
                <c:pt idx="25">
                  <c:v>0.89283819628647221</c:v>
                </c:pt>
                <c:pt idx="26">
                  <c:v>0.90124137931034487</c:v>
                </c:pt>
                <c:pt idx="27">
                  <c:v>0.90754376657824931</c:v>
                </c:pt>
                <c:pt idx="28">
                  <c:v>0.91174535809018575</c:v>
                </c:pt>
                <c:pt idx="29">
                  <c:v>0.91384615384615386</c:v>
                </c:pt>
                <c:pt idx="30">
                  <c:v>0.91384615384615386</c:v>
                </c:pt>
              </c:numCache>
            </c:numRef>
          </c:val>
          <c:extLst>
            <c:ext xmlns:c16="http://schemas.microsoft.com/office/drawing/2014/chart" uri="{C3380CC4-5D6E-409C-BE32-E72D297353CC}">
              <c16:uniqueId val="{00000012-F642-43DD-8808-F18B690471CB}"/>
            </c:ext>
          </c:extLst>
        </c:ser>
        <c:ser>
          <c:idx val="19"/>
          <c:order val="19"/>
          <c:tx>
            <c:strRef>
              <c:f>'Ej. 4'!$P$26</c:f>
              <c:strCache>
                <c:ptCount val="1"/>
                <c:pt idx="0">
                  <c:v>19</c:v>
                </c:pt>
              </c:strCache>
            </c:strRef>
          </c:tx>
          <c:spPr>
            <a:ln w="6350" cap="flat" cmpd="sng" algn="ctr">
              <a:solidFill>
                <a:schemeClr val="accent5">
                  <a:shade val="76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4'!$Q$26:$AU$26</c:f>
              <c:numCache>
                <c:formatCode>0.00%</c:formatCode>
                <c:ptCount val="31"/>
                <c:pt idx="0">
                  <c:v>0</c:v>
                </c:pt>
                <c:pt idx="1">
                  <c:v>6.2358974358974355E-2</c:v>
                </c:pt>
                <c:pt idx="2">
                  <c:v>0.12256763925729441</c:v>
                </c:pt>
                <c:pt idx="3">
                  <c:v>0.18062599469496021</c:v>
                </c:pt>
                <c:pt idx="4">
                  <c:v>0.23653404067197173</c:v>
                </c:pt>
                <c:pt idx="5">
                  <c:v>0.29029177718832894</c:v>
                </c:pt>
                <c:pt idx="6">
                  <c:v>0.34189920424403181</c:v>
                </c:pt>
                <c:pt idx="7">
                  <c:v>0.39135632183908048</c:v>
                </c:pt>
                <c:pt idx="8">
                  <c:v>0.43866312997347473</c:v>
                </c:pt>
                <c:pt idx="9">
                  <c:v>0.48381962864721478</c:v>
                </c:pt>
                <c:pt idx="10">
                  <c:v>0.52682581786030058</c:v>
                </c:pt>
                <c:pt idx="11">
                  <c:v>0.56768169761273213</c:v>
                </c:pt>
                <c:pt idx="12">
                  <c:v>0.60638726790450925</c:v>
                </c:pt>
                <c:pt idx="13">
                  <c:v>0.64294252873563218</c:v>
                </c:pt>
                <c:pt idx="14">
                  <c:v>0.6773474801061008</c:v>
                </c:pt>
                <c:pt idx="15">
                  <c:v>0.7096021220159151</c:v>
                </c:pt>
                <c:pt idx="16">
                  <c:v>0.7397064544650751</c:v>
                </c:pt>
                <c:pt idx="17">
                  <c:v>0.7676604774535809</c:v>
                </c:pt>
                <c:pt idx="18">
                  <c:v>0.79346419098143239</c:v>
                </c:pt>
                <c:pt idx="19">
                  <c:v>0.81711759504862946</c:v>
                </c:pt>
                <c:pt idx="20">
                  <c:v>0.83862068965517245</c:v>
                </c:pt>
                <c:pt idx="21">
                  <c:v>0.8579734748010609</c:v>
                </c:pt>
                <c:pt idx="22">
                  <c:v>0.87517595048629526</c:v>
                </c:pt>
                <c:pt idx="23">
                  <c:v>0.89022811671087543</c:v>
                </c:pt>
                <c:pt idx="24">
                  <c:v>0.90312997347480106</c:v>
                </c:pt>
                <c:pt idx="25">
                  <c:v>0.9138815207780725</c:v>
                </c:pt>
                <c:pt idx="26">
                  <c:v>0.92248275862068962</c:v>
                </c:pt>
                <c:pt idx="27">
                  <c:v>0.92893368700265244</c:v>
                </c:pt>
                <c:pt idx="28">
                  <c:v>0.93323430592396117</c:v>
                </c:pt>
                <c:pt idx="29">
                  <c:v>0.93538461538461537</c:v>
                </c:pt>
                <c:pt idx="30">
                  <c:v>0.93538461538461537</c:v>
                </c:pt>
              </c:numCache>
            </c:numRef>
          </c:val>
          <c:extLst>
            <c:ext xmlns:c16="http://schemas.microsoft.com/office/drawing/2014/chart" uri="{C3380CC4-5D6E-409C-BE32-E72D297353CC}">
              <c16:uniqueId val="{00000013-F642-43DD-8808-F18B690471CB}"/>
            </c:ext>
          </c:extLst>
        </c:ser>
        <c:ser>
          <c:idx val="20"/>
          <c:order val="20"/>
          <c:tx>
            <c:strRef>
              <c:f>'Ej. 4'!$P$27</c:f>
              <c:strCache>
                <c:ptCount val="1"/>
                <c:pt idx="0">
                  <c:v>20</c:v>
                </c:pt>
              </c:strCache>
            </c:strRef>
          </c:tx>
          <c:spPr>
            <a:ln w="6350" cap="flat" cmpd="sng" algn="ctr">
              <a:solidFill>
                <a:schemeClr val="accent5">
                  <a:shade val="72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4'!$Q$27:$AU$27</c:f>
              <c:numCache>
                <c:formatCode>0.00%</c:formatCode>
                <c:ptCount val="31"/>
                <c:pt idx="0">
                  <c:v>0</c:v>
                </c:pt>
                <c:pt idx="1">
                  <c:v>6.3589743589743591E-2</c:v>
                </c:pt>
                <c:pt idx="2">
                  <c:v>0.1249867374005305</c:v>
                </c:pt>
                <c:pt idx="3">
                  <c:v>0.18419098143236076</c:v>
                </c:pt>
                <c:pt idx="4">
                  <c:v>0.24120247568523434</c:v>
                </c:pt>
                <c:pt idx="5">
                  <c:v>0.29602122015915122</c:v>
                </c:pt>
                <c:pt idx="6">
                  <c:v>0.34864721485411143</c:v>
                </c:pt>
                <c:pt idx="7">
                  <c:v>0.39908045977011497</c:v>
                </c:pt>
                <c:pt idx="8">
                  <c:v>0.44732095490716178</c:v>
                </c:pt>
                <c:pt idx="9">
                  <c:v>0.49336870026525192</c:v>
                </c:pt>
                <c:pt idx="10">
                  <c:v>0.53722369584438556</c:v>
                </c:pt>
                <c:pt idx="11">
                  <c:v>0.57888594164456231</c:v>
                </c:pt>
                <c:pt idx="12">
                  <c:v>0.61835543766578249</c:v>
                </c:pt>
                <c:pt idx="13">
                  <c:v>0.65563218390804601</c:v>
                </c:pt>
                <c:pt idx="14">
                  <c:v>0.69071618037135285</c:v>
                </c:pt>
                <c:pt idx="15">
                  <c:v>0.72360742705570291</c:v>
                </c:pt>
                <c:pt idx="16">
                  <c:v>0.75430592396109641</c:v>
                </c:pt>
                <c:pt idx="17">
                  <c:v>0.78281167108753313</c:v>
                </c:pt>
                <c:pt idx="18">
                  <c:v>0.80912466843501329</c:v>
                </c:pt>
                <c:pt idx="19">
                  <c:v>0.83324491600353667</c:v>
                </c:pt>
                <c:pt idx="20">
                  <c:v>0.85517241379310349</c:v>
                </c:pt>
                <c:pt idx="21">
                  <c:v>0.87490716180371353</c:v>
                </c:pt>
                <c:pt idx="22">
                  <c:v>0.8924491600353669</c:v>
                </c:pt>
                <c:pt idx="23">
                  <c:v>0.90779840848806381</c:v>
                </c:pt>
                <c:pt idx="24">
                  <c:v>0.92095490716180384</c:v>
                </c:pt>
                <c:pt idx="25">
                  <c:v>0.93191865605658719</c:v>
                </c:pt>
                <c:pt idx="26">
                  <c:v>0.94068965517241387</c:v>
                </c:pt>
                <c:pt idx="27">
                  <c:v>0.94726790450928389</c:v>
                </c:pt>
                <c:pt idx="28">
                  <c:v>0.95165340406719734</c:v>
                </c:pt>
                <c:pt idx="29">
                  <c:v>0.9538461538461539</c:v>
                </c:pt>
                <c:pt idx="30">
                  <c:v>0.9538461538461539</c:v>
                </c:pt>
              </c:numCache>
            </c:numRef>
          </c:val>
          <c:extLst>
            <c:ext xmlns:c16="http://schemas.microsoft.com/office/drawing/2014/chart" uri="{C3380CC4-5D6E-409C-BE32-E72D297353CC}">
              <c16:uniqueId val="{00000014-F642-43DD-8808-F18B690471CB}"/>
            </c:ext>
          </c:extLst>
        </c:ser>
        <c:ser>
          <c:idx val="21"/>
          <c:order val="21"/>
          <c:tx>
            <c:strRef>
              <c:f>'Ej. 4'!$P$28</c:f>
              <c:strCache>
                <c:ptCount val="1"/>
                <c:pt idx="0">
                  <c:v>21</c:v>
                </c:pt>
              </c:strCache>
            </c:strRef>
          </c:tx>
          <c:spPr>
            <a:ln w="6350" cap="flat" cmpd="sng" algn="ctr">
              <a:solidFill>
                <a:schemeClr val="accent5">
                  <a:shade val="67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4'!$Q$28:$AU$28</c:f>
              <c:numCache>
                <c:formatCode>0.00%</c:formatCode>
                <c:ptCount val="31"/>
                <c:pt idx="0">
                  <c:v>0</c:v>
                </c:pt>
                <c:pt idx="1">
                  <c:v>6.4615384615384616E-2</c:v>
                </c:pt>
                <c:pt idx="2">
                  <c:v>0.12700265251989387</c:v>
                </c:pt>
                <c:pt idx="3">
                  <c:v>0.18716180371352784</c:v>
                </c:pt>
                <c:pt idx="4">
                  <c:v>0.24509283819628649</c:v>
                </c:pt>
                <c:pt idx="5">
                  <c:v>0.30079575596816976</c:v>
                </c:pt>
                <c:pt idx="6">
                  <c:v>0.3542705570291777</c:v>
                </c:pt>
                <c:pt idx="7">
                  <c:v>0.40551724137931039</c:v>
                </c:pt>
                <c:pt idx="8">
                  <c:v>0.4545358090185676</c:v>
                </c:pt>
                <c:pt idx="9">
                  <c:v>0.50132625994694957</c:v>
                </c:pt>
                <c:pt idx="10">
                  <c:v>0.54588859416445623</c:v>
                </c:pt>
                <c:pt idx="11">
                  <c:v>0.58822281167108748</c:v>
                </c:pt>
                <c:pt idx="12">
                  <c:v>0.62832891246684341</c:v>
                </c:pt>
                <c:pt idx="13">
                  <c:v>0.66620689655172416</c:v>
                </c:pt>
                <c:pt idx="14">
                  <c:v>0.70185676392572949</c:v>
                </c:pt>
                <c:pt idx="15">
                  <c:v>0.7352785145888594</c:v>
                </c:pt>
                <c:pt idx="16">
                  <c:v>0.76647214854111401</c:v>
                </c:pt>
                <c:pt idx="17">
                  <c:v>0.79543766578249331</c:v>
                </c:pt>
                <c:pt idx="18">
                  <c:v>0.82217506631299742</c:v>
                </c:pt>
                <c:pt idx="19">
                  <c:v>0.84668435013262588</c:v>
                </c:pt>
                <c:pt idx="20">
                  <c:v>0.86896551724137927</c:v>
                </c:pt>
                <c:pt idx="21">
                  <c:v>0.88901856763925724</c:v>
                </c:pt>
                <c:pt idx="22">
                  <c:v>0.9068435013262599</c:v>
                </c:pt>
                <c:pt idx="23">
                  <c:v>0.92244031830238737</c:v>
                </c:pt>
                <c:pt idx="24">
                  <c:v>0.93580901856763932</c:v>
                </c:pt>
                <c:pt idx="25">
                  <c:v>0.94694960212201595</c:v>
                </c:pt>
                <c:pt idx="26">
                  <c:v>0.95586206896551718</c:v>
                </c:pt>
                <c:pt idx="27">
                  <c:v>0.9625464190981432</c:v>
                </c:pt>
                <c:pt idx="28">
                  <c:v>0.96700265251989392</c:v>
                </c:pt>
                <c:pt idx="29">
                  <c:v>0.96923076923076923</c:v>
                </c:pt>
                <c:pt idx="30">
                  <c:v>0.96923076923076923</c:v>
                </c:pt>
              </c:numCache>
            </c:numRef>
          </c:val>
          <c:extLst>
            <c:ext xmlns:c16="http://schemas.microsoft.com/office/drawing/2014/chart" uri="{C3380CC4-5D6E-409C-BE32-E72D297353CC}">
              <c16:uniqueId val="{00000015-F642-43DD-8808-F18B690471CB}"/>
            </c:ext>
          </c:extLst>
        </c:ser>
        <c:ser>
          <c:idx val="22"/>
          <c:order val="22"/>
          <c:tx>
            <c:strRef>
              <c:f>'Ej. 4'!$P$29</c:f>
              <c:strCache>
                <c:ptCount val="1"/>
                <c:pt idx="0">
                  <c:v>22</c:v>
                </c:pt>
              </c:strCache>
            </c:strRef>
          </c:tx>
          <c:spPr>
            <a:ln w="6350" cap="flat" cmpd="sng" algn="ctr">
              <a:solidFill>
                <a:schemeClr val="accent5">
                  <a:shade val="62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4'!$Q$29:$AU$29</c:f>
              <c:numCache>
                <c:formatCode>0.00%</c:formatCode>
                <c:ptCount val="31"/>
                <c:pt idx="0">
                  <c:v>0</c:v>
                </c:pt>
                <c:pt idx="1">
                  <c:v>6.5435897435897436E-2</c:v>
                </c:pt>
                <c:pt idx="2">
                  <c:v>0.1286153846153846</c:v>
                </c:pt>
                <c:pt idx="3">
                  <c:v>0.18953846153846152</c:v>
                </c:pt>
                <c:pt idx="4">
                  <c:v>0.24820512820512822</c:v>
                </c:pt>
                <c:pt idx="5">
                  <c:v>0.30461538461538462</c:v>
                </c:pt>
                <c:pt idx="6">
                  <c:v>0.35876923076923073</c:v>
                </c:pt>
                <c:pt idx="7">
                  <c:v>0.41066666666666668</c:v>
                </c:pt>
                <c:pt idx="8">
                  <c:v>0.4603076923076922</c:v>
                </c:pt>
                <c:pt idx="9">
                  <c:v>0.50769230769230755</c:v>
                </c:pt>
                <c:pt idx="10">
                  <c:v>0.55282051282051281</c:v>
                </c:pt>
                <c:pt idx="11">
                  <c:v>0.59569230769230763</c:v>
                </c:pt>
                <c:pt idx="12">
                  <c:v>0.63630769230769224</c:v>
                </c:pt>
                <c:pt idx="13">
                  <c:v>0.67466666666666664</c:v>
                </c:pt>
                <c:pt idx="14">
                  <c:v>0.71076923076923071</c:v>
                </c:pt>
                <c:pt idx="15">
                  <c:v>0.74461538461538457</c:v>
                </c:pt>
                <c:pt idx="16">
                  <c:v>0.7762051282051281</c:v>
                </c:pt>
                <c:pt idx="17">
                  <c:v>0.80553846153846143</c:v>
                </c:pt>
                <c:pt idx="18">
                  <c:v>0.83261538461538454</c:v>
                </c:pt>
                <c:pt idx="19">
                  <c:v>0.85743589743589732</c:v>
                </c:pt>
                <c:pt idx="20">
                  <c:v>0.88</c:v>
                </c:pt>
                <c:pt idx="21">
                  <c:v>0.90030769230769214</c:v>
                </c:pt>
                <c:pt idx="22">
                  <c:v>0.91835897435897429</c:v>
                </c:pt>
                <c:pt idx="23">
                  <c:v>0.93415384615384622</c:v>
                </c:pt>
                <c:pt idx="24">
                  <c:v>0.94769230769230772</c:v>
                </c:pt>
                <c:pt idx="25">
                  <c:v>0.9589743589743589</c:v>
                </c:pt>
                <c:pt idx="26">
                  <c:v>0.96799999999999986</c:v>
                </c:pt>
                <c:pt idx="27">
                  <c:v>0.97476923076923072</c:v>
                </c:pt>
                <c:pt idx="28">
                  <c:v>0.97928205128205126</c:v>
                </c:pt>
                <c:pt idx="29">
                  <c:v>0.98153846153846147</c:v>
                </c:pt>
                <c:pt idx="30">
                  <c:v>0.98153846153846147</c:v>
                </c:pt>
              </c:numCache>
            </c:numRef>
          </c:val>
          <c:extLst>
            <c:ext xmlns:c16="http://schemas.microsoft.com/office/drawing/2014/chart" uri="{C3380CC4-5D6E-409C-BE32-E72D297353CC}">
              <c16:uniqueId val="{00000016-F642-43DD-8808-F18B690471CB}"/>
            </c:ext>
          </c:extLst>
        </c:ser>
        <c:ser>
          <c:idx val="23"/>
          <c:order val="23"/>
          <c:tx>
            <c:strRef>
              <c:f>'Ej. 4'!$P$30</c:f>
              <c:strCache>
                <c:ptCount val="1"/>
                <c:pt idx="0">
                  <c:v>23</c:v>
                </c:pt>
              </c:strCache>
            </c:strRef>
          </c:tx>
          <c:spPr>
            <a:ln w="6350" cap="flat" cmpd="sng" algn="ctr">
              <a:solidFill>
                <a:schemeClr val="accent5">
                  <a:shade val="58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4'!$Q$30:$AU$30</c:f>
              <c:numCache>
                <c:formatCode>0.00%</c:formatCode>
                <c:ptCount val="31"/>
                <c:pt idx="0">
                  <c:v>0</c:v>
                </c:pt>
                <c:pt idx="1">
                  <c:v>6.6051282051282051E-2</c:v>
                </c:pt>
                <c:pt idx="2">
                  <c:v>0.12982493368700262</c:v>
                </c:pt>
                <c:pt idx="3">
                  <c:v>0.19132095490716181</c:v>
                </c:pt>
                <c:pt idx="4">
                  <c:v>0.25053934571175951</c:v>
                </c:pt>
                <c:pt idx="5">
                  <c:v>0.30748010610079574</c:v>
                </c:pt>
                <c:pt idx="6">
                  <c:v>0.36214323607427057</c:v>
                </c:pt>
                <c:pt idx="7">
                  <c:v>0.4145287356321839</c:v>
                </c:pt>
                <c:pt idx="8">
                  <c:v>0.46463660477453572</c:v>
                </c:pt>
                <c:pt idx="9">
                  <c:v>0.51246684350132621</c:v>
                </c:pt>
                <c:pt idx="10">
                  <c:v>0.55801945181255519</c:v>
                </c:pt>
                <c:pt idx="11">
                  <c:v>0.60129442970822278</c:v>
                </c:pt>
                <c:pt idx="12">
                  <c:v>0.64229177718832886</c:v>
                </c:pt>
                <c:pt idx="13">
                  <c:v>0.68101149425287355</c:v>
                </c:pt>
                <c:pt idx="14">
                  <c:v>0.71745358090185674</c:v>
                </c:pt>
                <c:pt idx="15">
                  <c:v>0.75161803713527842</c:v>
                </c:pt>
                <c:pt idx="16">
                  <c:v>0.78350486295313881</c:v>
                </c:pt>
                <c:pt idx="17">
                  <c:v>0.8131140583554376</c:v>
                </c:pt>
                <c:pt idx="18">
                  <c:v>0.8404456233421751</c:v>
                </c:pt>
                <c:pt idx="19">
                  <c:v>0.86549955791335087</c:v>
                </c:pt>
                <c:pt idx="20">
                  <c:v>0.88827586206896547</c:v>
                </c:pt>
                <c:pt idx="21">
                  <c:v>0.90877453580901846</c:v>
                </c:pt>
                <c:pt idx="22">
                  <c:v>0.92699557913351005</c:v>
                </c:pt>
                <c:pt idx="23">
                  <c:v>0.94293899204244036</c:v>
                </c:pt>
                <c:pt idx="24">
                  <c:v>0.95660477453580905</c:v>
                </c:pt>
                <c:pt idx="25">
                  <c:v>0.96799292661361624</c:v>
                </c:pt>
                <c:pt idx="26">
                  <c:v>0.97710344827586204</c:v>
                </c:pt>
                <c:pt idx="27">
                  <c:v>0.98393633952254633</c:v>
                </c:pt>
                <c:pt idx="28">
                  <c:v>0.98849160035366934</c:v>
                </c:pt>
                <c:pt idx="29">
                  <c:v>0.99076923076923074</c:v>
                </c:pt>
                <c:pt idx="30">
                  <c:v>0.99076923076923074</c:v>
                </c:pt>
              </c:numCache>
            </c:numRef>
          </c:val>
          <c:extLst>
            <c:ext xmlns:c16="http://schemas.microsoft.com/office/drawing/2014/chart" uri="{C3380CC4-5D6E-409C-BE32-E72D297353CC}">
              <c16:uniqueId val="{00000017-F642-43DD-8808-F18B690471CB}"/>
            </c:ext>
          </c:extLst>
        </c:ser>
        <c:ser>
          <c:idx val="24"/>
          <c:order val="24"/>
          <c:tx>
            <c:strRef>
              <c:f>'Ej. 4'!$P$31</c:f>
              <c:strCache>
                <c:ptCount val="1"/>
                <c:pt idx="0">
                  <c:v>24</c:v>
                </c:pt>
              </c:strCache>
            </c:strRef>
          </c:tx>
          <c:spPr>
            <a:ln w="6350" cap="flat" cmpd="sng" algn="ctr">
              <a:solidFill>
                <a:schemeClr val="accent5">
                  <a:shade val="53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4'!$Q$31:$AU$31</c:f>
              <c:numCache>
                <c:formatCode>0.00%</c:formatCode>
                <c:ptCount val="31"/>
                <c:pt idx="0">
                  <c:v>0</c:v>
                </c:pt>
                <c:pt idx="1">
                  <c:v>6.6461538461538461E-2</c:v>
                </c:pt>
                <c:pt idx="2">
                  <c:v>0.13063129973474802</c:v>
                </c:pt>
                <c:pt idx="3">
                  <c:v>0.19250928381962867</c:v>
                </c:pt>
                <c:pt idx="4">
                  <c:v>0.25209549071618043</c:v>
                </c:pt>
                <c:pt idx="5">
                  <c:v>0.30938992042440322</c:v>
                </c:pt>
                <c:pt idx="6">
                  <c:v>0.36439257294429711</c:v>
                </c:pt>
                <c:pt idx="7">
                  <c:v>0.41710344827586215</c:v>
                </c:pt>
                <c:pt idx="8">
                  <c:v>0.46752254641909813</c:v>
                </c:pt>
                <c:pt idx="9">
                  <c:v>0.51564986737400531</c:v>
                </c:pt>
                <c:pt idx="10">
                  <c:v>0.56148541114058359</c:v>
                </c:pt>
                <c:pt idx="11">
                  <c:v>0.60502917771883291</c:v>
                </c:pt>
                <c:pt idx="12">
                  <c:v>0.64628116710875338</c:v>
                </c:pt>
                <c:pt idx="13">
                  <c:v>0.6852413793103449</c:v>
                </c:pt>
                <c:pt idx="14">
                  <c:v>0.72190981432360746</c:v>
                </c:pt>
                <c:pt idx="15">
                  <c:v>0.75628647214854117</c:v>
                </c:pt>
                <c:pt idx="16">
                  <c:v>0.78837135278514592</c:v>
                </c:pt>
                <c:pt idx="17">
                  <c:v>0.81816445623342182</c:v>
                </c:pt>
                <c:pt idx="18">
                  <c:v>0.84566578249336877</c:v>
                </c:pt>
                <c:pt idx="19">
                  <c:v>0.87087533156498675</c:v>
                </c:pt>
                <c:pt idx="20">
                  <c:v>0.89379310344827601</c:v>
                </c:pt>
                <c:pt idx="21">
                  <c:v>0.91441909814323608</c:v>
                </c:pt>
                <c:pt idx="22">
                  <c:v>0.93275331564986741</c:v>
                </c:pt>
                <c:pt idx="23">
                  <c:v>0.94879575596817001</c:v>
                </c:pt>
                <c:pt idx="24">
                  <c:v>0.96254641909814342</c:v>
                </c:pt>
                <c:pt idx="25">
                  <c:v>0.97400530503978788</c:v>
                </c:pt>
                <c:pt idx="26">
                  <c:v>0.98317241379310349</c:v>
                </c:pt>
                <c:pt idx="27">
                  <c:v>0.99004774535809026</c:v>
                </c:pt>
                <c:pt idx="28">
                  <c:v>0.99463129973474818</c:v>
                </c:pt>
                <c:pt idx="29">
                  <c:v>0.99692307692307702</c:v>
                </c:pt>
                <c:pt idx="30">
                  <c:v>0.99692307692307702</c:v>
                </c:pt>
              </c:numCache>
            </c:numRef>
          </c:val>
          <c:extLst>
            <c:ext xmlns:c16="http://schemas.microsoft.com/office/drawing/2014/chart" uri="{C3380CC4-5D6E-409C-BE32-E72D297353CC}">
              <c16:uniqueId val="{00000018-F642-43DD-8808-F18B690471CB}"/>
            </c:ext>
          </c:extLst>
        </c:ser>
        <c:ser>
          <c:idx val="25"/>
          <c:order val="25"/>
          <c:tx>
            <c:strRef>
              <c:f>'Ej. 4'!$P$32</c:f>
              <c:strCache>
                <c:ptCount val="1"/>
                <c:pt idx="0">
                  <c:v>25</c:v>
                </c:pt>
              </c:strCache>
            </c:strRef>
          </c:tx>
          <c:spPr>
            <a:ln w="6350" cap="flat" cmpd="sng" algn="ctr">
              <a:solidFill>
                <a:schemeClr val="accent5">
                  <a:shade val="48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4'!$Q$32:$AU$32</c:f>
              <c:numCache>
                <c:formatCode>0.00%</c:formatCode>
                <c:ptCount val="31"/>
                <c:pt idx="0">
                  <c:v>0</c:v>
                </c:pt>
                <c:pt idx="1">
                  <c:v>6.6666666666666666E-2</c:v>
                </c:pt>
                <c:pt idx="2">
                  <c:v>0.13103448275862067</c:v>
                </c:pt>
                <c:pt idx="3">
                  <c:v>0.19310344827586207</c:v>
                </c:pt>
                <c:pt idx="4">
                  <c:v>0.25287356321839083</c:v>
                </c:pt>
                <c:pt idx="5">
                  <c:v>0.31034482758620691</c:v>
                </c:pt>
                <c:pt idx="6">
                  <c:v>0.36551724137931035</c:v>
                </c:pt>
                <c:pt idx="7">
                  <c:v>0.41839080459770117</c:v>
                </c:pt>
                <c:pt idx="8">
                  <c:v>0.46896551724137925</c:v>
                </c:pt>
                <c:pt idx="9">
                  <c:v>0.51724137931034475</c:v>
                </c:pt>
                <c:pt idx="10">
                  <c:v>0.56321839080459768</c:v>
                </c:pt>
                <c:pt idx="11">
                  <c:v>0.60689655172413792</c:v>
                </c:pt>
                <c:pt idx="12">
                  <c:v>0.64827586206896548</c:v>
                </c:pt>
                <c:pt idx="13">
                  <c:v>0.68735632183908046</c:v>
                </c:pt>
                <c:pt idx="14">
                  <c:v>0.72413793103448276</c:v>
                </c:pt>
                <c:pt idx="15">
                  <c:v>0.75862068965517238</c:v>
                </c:pt>
                <c:pt idx="16">
                  <c:v>0.79080459770114941</c:v>
                </c:pt>
                <c:pt idx="17">
                  <c:v>0.82068965517241377</c:v>
                </c:pt>
                <c:pt idx="18">
                  <c:v>0.84827586206896555</c:v>
                </c:pt>
                <c:pt idx="19">
                  <c:v>0.87356321839080453</c:v>
                </c:pt>
                <c:pt idx="20">
                  <c:v>0.89655172413793105</c:v>
                </c:pt>
                <c:pt idx="21">
                  <c:v>0.91724137931034477</c:v>
                </c:pt>
                <c:pt idx="22">
                  <c:v>0.93563218390804592</c:v>
                </c:pt>
                <c:pt idx="23">
                  <c:v>0.95172413793103461</c:v>
                </c:pt>
                <c:pt idx="24">
                  <c:v>0.96551724137931039</c:v>
                </c:pt>
                <c:pt idx="25">
                  <c:v>0.97701149425287359</c:v>
                </c:pt>
                <c:pt idx="26">
                  <c:v>0.98620689655172411</c:v>
                </c:pt>
                <c:pt idx="27">
                  <c:v>0.99310344827586206</c:v>
                </c:pt>
                <c:pt idx="28">
                  <c:v>0.99770114942528743</c:v>
                </c:pt>
                <c:pt idx="29">
                  <c:v>1</c:v>
                </c:pt>
                <c:pt idx="30">
                  <c:v>1</c:v>
                </c:pt>
              </c:numCache>
            </c:numRef>
          </c:val>
          <c:extLst>
            <c:ext xmlns:c16="http://schemas.microsoft.com/office/drawing/2014/chart" uri="{C3380CC4-5D6E-409C-BE32-E72D297353CC}">
              <c16:uniqueId val="{00000019-F642-43DD-8808-F18B690471CB}"/>
            </c:ext>
          </c:extLst>
        </c:ser>
        <c:ser>
          <c:idx val="26"/>
          <c:order val="26"/>
          <c:tx>
            <c:strRef>
              <c:f>'Ej. 4'!$P$33</c:f>
              <c:strCache>
                <c:ptCount val="1"/>
                <c:pt idx="0">
                  <c:v>26</c:v>
                </c:pt>
              </c:strCache>
            </c:strRef>
          </c:tx>
          <c:spPr>
            <a:ln w="6350" cap="flat" cmpd="sng" algn="ctr">
              <a:solidFill>
                <a:schemeClr val="accent5">
                  <a:shade val="44000"/>
                </a:schemeClr>
              </a:solidFill>
              <a:prstDash val="solid"/>
              <a:round/>
            </a:ln>
            <a:effectLst/>
          </c:spPr>
          <c:cat>
            <c:numRef>
              <c:f>'Ej. 4'!$Q$6:$AU$6</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4'!$Q$33:$AU$33</c:f>
              <c:numCache>
                <c:formatCode>0.00%</c:formatCode>
                <c:ptCount val="31"/>
                <c:pt idx="0">
                  <c:v>0</c:v>
                </c:pt>
                <c:pt idx="1">
                  <c:v>6.6666666666666666E-2</c:v>
                </c:pt>
                <c:pt idx="2">
                  <c:v>0.13103448275862067</c:v>
                </c:pt>
                <c:pt idx="3">
                  <c:v>0.19310344827586207</c:v>
                </c:pt>
                <c:pt idx="4">
                  <c:v>0.25287356321839083</c:v>
                </c:pt>
                <c:pt idx="5">
                  <c:v>0.31034482758620691</c:v>
                </c:pt>
                <c:pt idx="6">
                  <c:v>0.36551724137931035</c:v>
                </c:pt>
                <c:pt idx="7">
                  <c:v>0.41839080459770117</c:v>
                </c:pt>
                <c:pt idx="8">
                  <c:v>0.46896551724137925</c:v>
                </c:pt>
                <c:pt idx="9">
                  <c:v>0.51724137931034475</c:v>
                </c:pt>
                <c:pt idx="10">
                  <c:v>0.56321839080459768</c:v>
                </c:pt>
                <c:pt idx="11">
                  <c:v>0.60689655172413792</c:v>
                </c:pt>
                <c:pt idx="12">
                  <c:v>0.64827586206896548</c:v>
                </c:pt>
                <c:pt idx="13">
                  <c:v>0.68735632183908046</c:v>
                </c:pt>
                <c:pt idx="14">
                  <c:v>0.72413793103448276</c:v>
                </c:pt>
                <c:pt idx="15">
                  <c:v>0.75862068965517238</c:v>
                </c:pt>
                <c:pt idx="16">
                  <c:v>0.79080459770114941</c:v>
                </c:pt>
                <c:pt idx="17">
                  <c:v>0.82068965517241377</c:v>
                </c:pt>
                <c:pt idx="18">
                  <c:v>0.84827586206896555</c:v>
                </c:pt>
                <c:pt idx="19">
                  <c:v>0.87356321839080453</c:v>
                </c:pt>
                <c:pt idx="20">
                  <c:v>0.89655172413793105</c:v>
                </c:pt>
                <c:pt idx="21">
                  <c:v>0.91724137931034477</c:v>
                </c:pt>
                <c:pt idx="22">
                  <c:v>0.93563218390804592</c:v>
                </c:pt>
                <c:pt idx="23">
                  <c:v>0.95172413793103461</c:v>
                </c:pt>
                <c:pt idx="24">
                  <c:v>0.96551724137931039</c:v>
                </c:pt>
                <c:pt idx="25">
                  <c:v>0.97701149425287359</c:v>
                </c:pt>
                <c:pt idx="26">
                  <c:v>0.98620689655172411</c:v>
                </c:pt>
                <c:pt idx="27">
                  <c:v>0.99310344827586206</c:v>
                </c:pt>
                <c:pt idx="28">
                  <c:v>0.99770114942528743</c:v>
                </c:pt>
                <c:pt idx="29">
                  <c:v>1</c:v>
                </c:pt>
                <c:pt idx="30">
                  <c:v>1</c:v>
                </c:pt>
              </c:numCache>
            </c:numRef>
          </c:val>
          <c:extLst>
            <c:ext xmlns:c16="http://schemas.microsoft.com/office/drawing/2014/chart" uri="{C3380CC4-5D6E-409C-BE32-E72D297353CC}">
              <c16:uniqueId val="{0000001A-F642-43DD-8808-F18B690471CB}"/>
            </c:ext>
          </c:extLst>
        </c:ser>
        <c:bandFmts>
          <c:bandFmt>
            <c:idx val="0"/>
            <c:spPr>
              <a:ln w="6350" cap="flat" cmpd="sng" algn="ctr">
                <a:solidFill>
                  <a:schemeClr val="accent5">
                    <a:tint val="42000"/>
                  </a:schemeClr>
                </a:solidFill>
                <a:prstDash val="solid"/>
                <a:round/>
              </a:ln>
              <a:effectLst/>
            </c:spPr>
          </c:bandFmt>
          <c:bandFmt>
            <c:idx val="1"/>
            <c:spPr>
              <a:ln w="6350" cap="flat" cmpd="sng" algn="ctr">
                <a:solidFill>
                  <a:schemeClr val="accent5">
                    <a:tint val="54000"/>
                  </a:schemeClr>
                </a:solidFill>
                <a:prstDash val="solid"/>
                <a:round/>
              </a:ln>
              <a:effectLst/>
            </c:spPr>
          </c:bandFmt>
          <c:bandFmt>
            <c:idx val="2"/>
            <c:spPr>
              <a:ln w="6350" cap="flat" cmpd="sng" algn="ctr">
                <a:solidFill>
                  <a:schemeClr val="accent5">
                    <a:tint val="65000"/>
                  </a:schemeClr>
                </a:solidFill>
                <a:prstDash val="solid"/>
                <a:round/>
              </a:ln>
              <a:effectLst/>
            </c:spPr>
          </c:bandFmt>
          <c:bandFmt>
            <c:idx val="3"/>
            <c:spPr>
              <a:ln w="6350" cap="flat" cmpd="sng" algn="ctr">
                <a:solidFill>
                  <a:schemeClr val="accent5">
                    <a:tint val="77000"/>
                  </a:schemeClr>
                </a:solidFill>
                <a:prstDash val="solid"/>
                <a:round/>
              </a:ln>
              <a:effectLst/>
            </c:spPr>
          </c:bandFmt>
          <c:bandFmt>
            <c:idx val="4"/>
            <c:spPr>
              <a:ln w="6350" cap="flat" cmpd="sng" algn="ctr">
                <a:solidFill>
                  <a:schemeClr val="accent5">
                    <a:tint val="89000"/>
                  </a:schemeClr>
                </a:solidFill>
                <a:prstDash val="solid"/>
                <a:round/>
              </a:ln>
              <a:effectLst/>
            </c:spPr>
          </c:bandFmt>
          <c:bandFmt>
            <c:idx val="5"/>
            <c:spPr>
              <a:ln w="6350" cap="flat" cmpd="sng" algn="ctr">
                <a:solidFill>
                  <a:schemeClr val="accent5"/>
                </a:solidFill>
                <a:prstDash val="solid"/>
                <a:round/>
              </a:ln>
              <a:effectLst/>
            </c:spPr>
          </c:bandFmt>
          <c:bandFmt>
            <c:idx val="6"/>
            <c:spPr>
              <a:ln w="6350" cap="flat" cmpd="sng" algn="ctr">
                <a:solidFill>
                  <a:schemeClr val="accent5">
                    <a:shade val="88000"/>
                  </a:schemeClr>
                </a:solidFill>
                <a:prstDash val="solid"/>
                <a:round/>
              </a:ln>
              <a:effectLst/>
            </c:spPr>
          </c:bandFmt>
          <c:bandFmt>
            <c:idx val="7"/>
            <c:spPr>
              <a:ln w="6350" cap="flat" cmpd="sng" algn="ctr">
                <a:solidFill>
                  <a:schemeClr val="accent5">
                    <a:shade val="76000"/>
                  </a:schemeClr>
                </a:solidFill>
                <a:prstDash val="solid"/>
                <a:round/>
              </a:ln>
              <a:effectLst/>
            </c:spPr>
          </c:bandFmt>
          <c:bandFmt>
            <c:idx val="8"/>
            <c:spPr>
              <a:ln w="6350" cap="flat" cmpd="sng" algn="ctr">
                <a:solidFill>
                  <a:schemeClr val="accent5">
                    <a:shade val="65000"/>
                  </a:schemeClr>
                </a:solidFill>
                <a:prstDash val="solid"/>
                <a:round/>
              </a:ln>
              <a:effectLst/>
            </c:spPr>
          </c:bandFmt>
          <c:bandFmt>
            <c:idx val="9"/>
            <c:spPr>
              <a:ln w="6350" cap="flat" cmpd="sng" algn="ctr">
                <a:solidFill>
                  <a:schemeClr val="accent5">
                    <a:shade val="53000"/>
                  </a:schemeClr>
                </a:solidFill>
                <a:prstDash val="solid"/>
                <a:round/>
              </a:ln>
              <a:effectLst/>
            </c:spPr>
          </c:bandFmt>
          <c:bandFmt>
            <c:idx val="10"/>
            <c:spPr>
              <a:ln w="6350" cap="flat" cmpd="sng" algn="ctr">
                <a:solidFill>
                  <a:schemeClr val="accent5">
                    <a:shade val="41000"/>
                  </a:schemeClr>
                </a:solidFill>
                <a:prstDash val="solid"/>
                <a:round/>
              </a:ln>
              <a:effectLst/>
            </c:spPr>
          </c:bandFmt>
          <c:bandFmt>
            <c:idx val="11"/>
            <c:spPr>
              <a:ln w="6350" cap="flat" cmpd="sng" algn="ctr">
                <a:solidFill>
                  <a:schemeClr val="accent5">
                    <a:shade val="41000"/>
                  </a:schemeClr>
                </a:solidFill>
                <a:prstDash val="solid"/>
                <a:round/>
              </a:ln>
              <a:effectLst/>
            </c:spPr>
          </c:bandFmt>
          <c:bandFmt>
            <c:idx val="12"/>
            <c:spPr>
              <a:ln w="6350" cap="flat" cmpd="sng" algn="ctr">
                <a:solidFill>
                  <a:schemeClr val="accent5">
                    <a:shade val="41000"/>
                  </a:schemeClr>
                </a:solidFill>
                <a:prstDash val="solid"/>
                <a:round/>
              </a:ln>
              <a:effectLst/>
            </c:spPr>
          </c:bandFmt>
          <c:bandFmt>
            <c:idx val="13"/>
            <c:spPr>
              <a:ln w="6350" cap="flat" cmpd="sng" algn="ctr">
                <a:solidFill>
                  <a:schemeClr val="accent5">
                    <a:shade val="41000"/>
                  </a:schemeClr>
                </a:solidFill>
                <a:prstDash val="solid"/>
                <a:round/>
              </a:ln>
              <a:effectLst/>
            </c:spPr>
          </c:bandFmt>
          <c:bandFmt>
            <c:idx val="14"/>
            <c:spPr>
              <a:ln w="6350" cap="flat" cmpd="sng" algn="ctr">
                <a:solidFill>
                  <a:schemeClr val="accent5">
                    <a:shade val="41000"/>
                  </a:schemeClr>
                </a:solidFill>
                <a:prstDash val="solid"/>
                <a:round/>
              </a:ln>
              <a:effectLst/>
            </c:spPr>
          </c:bandFmt>
        </c:bandFmts>
        <c:axId val="95014064"/>
        <c:axId val="95007408"/>
        <c:axId val="152980672"/>
        <c:extLst>
          <c:ext xmlns:c15="http://schemas.microsoft.com/office/drawing/2012/chart" uri="{02D57815-91ED-43cb-92C2-25804820EDAC}">
            <c15:filteredSurfaceSeries>
              <c15:ser>
                <c:idx val="27"/>
                <c:order val="27"/>
                <c:tx>
                  <c:strRef>
                    <c:extLst>
                      <c:ext uri="{02D57815-91ED-43cb-92C2-25804820EDAC}">
                        <c15:formulaRef>
                          <c15:sqref>'Ej. 4'!$P$34</c15:sqref>
                        </c15:formulaRef>
                      </c:ext>
                    </c:extLst>
                    <c:strCache>
                      <c:ptCount val="1"/>
                    </c:strCache>
                  </c:strRef>
                </c:tx>
                <c:spPr>
                  <a:ln w="6350" cap="flat" cmpd="sng" algn="ctr">
                    <a:solidFill>
                      <a:schemeClr val="accent5">
                        <a:shade val="39000"/>
                      </a:schemeClr>
                    </a:solidFill>
                    <a:prstDash val="solid"/>
                    <a:round/>
                  </a:ln>
                  <a:effectLst/>
                </c:spPr>
                <c:cat>
                  <c:numRef>
                    <c:extLst>
                      <c:ext uri="{02D57815-91ED-43cb-92C2-25804820EDAC}">
                        <c15:formulaRef>
                          <c15:sqref>'Ej. 4'!$Q$6:$AU$6</c15:sqref>
                        </c15:formulaRef>
                      </c:ext>
                    </c:extLst>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extLst>
                      <c:ext uri="{02D57815-91ED-43cb-92C2-25804820EDAC}">
                        <c15:formulaRef>
                          <c15:sqref>'Ej. 4'!$Q$34:$AU$34</c15:sqref>
                        </c15:formulaRef>
                      </c:ext>
                    </c:extLst>
                    <c:numCache>
                      <c:formatCode>0.00%</c:formatCode>
                      <c:ptCount val="31"/>
                    </c:numCache>
                  </c:numRef>
                </c:val>
                <c:extLst>
                  <c:ext xmlns:c16="http://schemas.microsoft.com/office/drawing/2014/chart" uri="{C3380CC4-5D6E-409C-BE32-E72D297353CC}">
                    <c16:uniqueId val="{0000001B-F642-43DD-8808-F18B690471CB}"/>
                  </c:ext>
                </c:extLst>
              </c15:ser>
            </c15:filteredSurfaceSeries>
            <c15:filteredSurfaceSeries>
              <c15:ser>
                <c:idx val="28"/>
                <c:order val="28"/>
                <c:tx>
                  <c:strRef>
                    <c:extLst xmlns:c15="http://schemas.microsoft.com/office/drawing/2012/chart">
                      <c:ext xmlns:c15="http://schemas.microsoft.com/office/drawing/2012/chart" uri="{02D57815-91ED-43cb-92C2-25804820EDAC}">
                        <c15:formulaRef>
                          <c15:sqref>'Ej. 4'!$P$35</c15:sqref>
                        </c15:formulaRef>
                      </c:ext>
                    </c:extLst>
                    <c:strCache>
                      <c:ptCount val="1"/>
                    </c:strCache>
                  </c:strRef>
                </c:tx>
                <c:spPr>
                  <a:ln w="6350" cap="flat" cmpd="sng" algn="ctr">
                    <a:solidFill>
                      <a:schemeClr val="accent5">
                        <a:shade val="34000"/>
                      </a:schemeClr>
                    </a:solidFill>
                    <a:prstDash val="solid"/>
                    <a:round/>
                  </a:ln>
                  <a:effectLst/>
                </c:spPr>
                <c:cat>
                  <c:numRef>
                    <c:extLst xmlns:c15="http://schemas.microsoft.com/office/drawing/2012/chart">
                      <c:ext xmlns:c15="http://schemas.microsoft.com/office/drawing/2012/chart" uri="{02D57815-91ED-43cb-92C2-25804820EDAC}">
                        <c15:formulaRef>
                          <c15:sqref>'Ej. 4'!$Q$6:$AU$6</c15:sqref>
                        </c15:formulaRef>
                      </c:ext>
                    </c:extLst>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extLst xmlns:c15="http://schemas.microsoft.com/office/drawing/2012/chart">
                      <c:ext xmlns:c15="http://schemas.microsoft.com/office/drawing/2012/chart" uri="{02D57815-91ED-43cb-92C2-25804820EDAC}">
                        <c15:formulaRef>
                          <c15:sqref>'Ej. 4'!$Q$35:$AU$35</c15:sqref>
                        </c15:formulaRef>
                      </c:ext>
                    </c:extLst>
                    <c:numCache>
                      <c:formatCode>0.00%</c:formatCode>
                      <c:ptCount val="31"/>
                    </c:numCache>
                  </c:numRef>
                </c:val>
                <c:extLst xmlns:c15="http://schemas.microsoft.com/office/drawing/2012/chart">
                  <c:ext xmlns:c16="http://schemas.microsoft.com/office/drawing/2014/chart" uri="{C3380CC4-5D6E-409C-BE32-E72D297353CC}">
                    <c16:uniqueId val="{0000001C-F642-43DD-8808-F18B690471CB}"/>
                  </c:ext>
                </c:extLst>
              </c15:ser>
            </c15:filteredSurfaceSeries>
          </c:ext>
        </c:extLst>
      </c:surface3DChart>
      <c:catAx>
        <c:axId val="95014064"/>
        <c:scaling>
          <c:orientation val="maxMin"/>
        </c:scaling>
        <c:delete val="0"/>
        <c:axPos val="b"/>
        <c:numFmt formatCode="@"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07408"/>
        <c:crosses val="autoZero"/>
        <c:auto val="1"/>
        <c:lblAlgn val="ctr"/>
        <c:lblOffset val="100"/>
        <c:noMultiLvlLbl val="0"/>
      </c:catAx>
      <c:valAx>
        <c:axId val="95007408"/>
        <c:scaling>
          <c:orientation val="minMax"/>
        </c:scaling>
        <c:delete val="0"/>
        <c:axPos val="r"/>
        <c:majorGridlines>
          <c:spPr>
            <a:ln w="9525" cap="flat" cmpd="sng" algn="ctr">
              <a:solidFill>
                <a:schemeClr val="tx1">
                  <a:lumMod val="15000"/>
                  <a:lumOff val="85000"/>
                </a:schemeClr>
              </a:solidFill>
              <a:prstDash val="solid"/>
              <a:round/>
            </a:ln>
            <a:effectLst/>
          </c:spPr>
        </c:majorGridlines>
        <c:numFmt formatCode="0%" sourceLinked="0"/>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14064"/>
        <c:crosses val="autoZero"/>
        <c:crossBetween val="midCat"/>
        <c:majorUnit val="0.1"/>
      </c:valAx>
      <c:serAx>
        <c:axId val="152980672"/>
        <c:scaling>
          <c:orientation val="minMax"/>
        </c:scaling>
        <c:delete val="0"/>
        <c:axPos val="b"/>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074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s-ES"/>
              <a:t>Probabilidades Cuarto Ejercicio</a:t>
            </a: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Chart>
        <c:wireframe val="1"/>
        <c:ser>
          <c:idx val="0"/>
          <c:order val="0"/>
          <c:tx>
            <c:strRef>
              <c:f>'Ej. 4'!$Q$6</c:f>
              <c:strCache>
                <c:ptCount val="1"/>
                <c:pt idx="0">
                  <c:v>0</c:v>
                </c:pt>
              </c:strCache>
            </c:strRef>
          </c:tx>
          <c:spPr>
            <a:ln w="6350" cap="flat" cmpd="sng" algn="ctr">
              <a:solidFill>
                <a:schemeClr val="accent5">
                  <a:tint val="35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4'!$Q$7:$Q$35</c15:sqref>
                  </c15:fullRef>
                </c:ext>
              </c:extLst>
              <c:f>'Ej. 4'!$Q$7:$Q$33</c:f>
              <c:numCache>
                <c:formatCode>0.00%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0-0979-4F16-A468-7AD26E5C7827}"/>
            </c:ext>
          </c:extLst>
        </c:ser>
        <c:ser>
          <c:idx val="1"/>
          <c:order val="1"/>
          <c:tx>
            <c:strRef>
              <c:f>'Ej. 4'!$R$6</c:f>
              <c:strCache>
                <c:ptCount val="1"/>
                <c:pt idx="0">
                  <c:v>1</c:v>
                </c:pt>
              </c:strCache>
            </c:strRef>
          </c:tx>
          <c:spPr>
            <a:ln w="6350" cap="flat" cmpd="sng" algn="ctr">
              <a:solidFill>
                <a:schemeClr val="accent5">
                  <a:tint val="39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4'!$R$7:$R$35</c15:sqref>
                  </c15:fullRef>
                </c:ext>
              </c:extLst>
              <c:f>'Ej. 4'!$R$7:$R$33</c:f>
              <c:numCache>
                <c:formatCode>0.00%</c:formatCode>
                <c:ptCount val="27"/>
                <c:pt idx="0">
                  <c:v>0</c:v>
                </c:pt>
                <c:pt idx="1">
                  <c:v>5.1282051282051282E-3</c:v>
                </c:pt>
                <c:pt idx="2">
                  <c:v>1.0051282051282051E-2</c:v>
                </c:pt>
                <c:pt idx="3">
                  <c:v>1.4769230769230767E-2</c:v>
                </c:pt>
                <c:pt idx="4">
                  <c:v>1.9282051282051283E-2</c:v>
                </c:pt>
                <c:pt idx="5">
                  <c:v>2.3589743589743591E-2</c:v>
                </c:pt>
                <c:pt idx="6">
                  <c:v>2.7692307692307693E-2</c:v>
                </c:pt>
                <c:pt idx="7">
                  <c:v>3.1589743589743584E-2</c:v>
                </c:pt>
                <c:pt idx="8">
                  <c:v>3.5282051282051287E-2</c:v>
                </c:pt>
                <c:pt idx="9">
                  <c:v>3.8769230769230771E-2</c:v>
                </c:pt>
                <c:pt idx="10">
                  <c:v>4.205128205128205E-2</c:v>
                </c:pt>
                <c:pt idx="11">
                  <c:v>4.5128205128205132E-2</c:v>
                </c:pt>
                <c:pt idx="12">
                  <c:v>4.8000000000000001E-2</c:v>
                </c:pt>
                <c:pt idx="13">
                  <c:v>5.0666666666666665E-2</c:v>
                </c:pt>
                <c:pt idx="14">
                  <c:v>5.3128205128205132E-2</c:v>
                </c:pt>
                <c:pt idx="15">
                  <c:v>5.5384615384615379E-2</c:v>
                </c:pt>
                <c:pt idx="16">
                  <c:v>5.7435897435897436E-2</c:v>
                </c:pt>
                <c:pt idx="17">
                  <c:v>5.928205128205128E-2</c:v>
                </c:pt>
                <c:pt idx="18">
                  <c:v>6.092307692307692E-2</c:v>
                </c:pt>
                <c:pt idx="19">
                  <c:v>6.2358974358974355E-2</c:v>
                </c:pt>
                <c:pt idx="20">
                  <c:v>6.3589743589743591E-2</c:v>
                </c:pt>
                <c:pt idx="21">
                  <c:v>6.4615384615384616E-2</c:v>
                </c:pt>
                <c:pt idx="22">
                  <c:v>6.5435897435897436E-2</c:v>
                </c:pt>
                <c:pt idx="23">
                  <c:v>6.6051282051282051E-2</c:v>
                </c:pt>
                <c:pt idx="24">
                  <c:v>6.6461538461538461E-2</c:v>
                </c:pt>
                <c:pt idx="25">
                  <c:v>6.6666666666666666E-2</c:v>
                </c:pt>
                <c:pt idx="26">
                  <c:v>6.6666666666666666E-2</c:v>
                </c:pt>
              </c:numCache>
            </c:numRef>
          </c:val>
          <c:extLst>
            <c:ext xmlns:c16="http://schemas.microsoft.com/office/drawing/2014/chart" uri="{C3380CC4-5D6E-409C-BE32-E72D297353CC}">
              <c16:uniqueId val="{00000001-0979-4F16-A468-7AD26E5C7827}"/>
            </c:ext>
          </c:extLst>
        </c:ser>
        <c:ser>
          <c:idx val="2"/>
          <c:order val="2"/>
          <c:tx>
            <c:strRef>
              <c:f>'Ej. 4'!$S$6</c:f>
              <c:strCache>
                <c:ptCount val="1"/>
                <c:pt idx="0">
                  <c:v>2</c:v>
                </c:pt>
              </c:strCache>
            </c:strRef>
          </c:tx>
          <c:spPr>
            <a:ln w="6350" cap="flat" cmpd="sng" algn="ctr">
              <a:solidFill>
                <a:schemeClr val="accent5">
                  <a:tint val="44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4'!$S$7:$S$35</c15:sqref>
                  </c15:fullRef>
                </c:ext>
              </c:extLst>
              <c:f>'Ej. 4'!$S$7:$S$33</c:f>
              <c:numCache>
                <c:formatCode>0.00%</c:formatCode>
                <c:ptCount val="27"/>
                <c:pt idx="0">
                  <c:v>0</c:v>
                </c:pt>
                <c:pt idx="1">
                  <c:v>1.0079575596816975E-2</c:v>
                </c:pt>
                <c:pt idx="2">
                  <c:v>1.975596816976127E-2</c:v>
                </c:pt>
                <c:pt idx="3">
                  <c:v>2.9029177718832885E-2</c:v>
                </c:pt>
                <c:pt idx="4">
                  <c:v>3.7899204244031828E-2</c:v>
                </c:pt>
                <c:pt idx="5">
                  <c:v>4.6366047745358088E-2</c:v>
                </c:pt>
                <c:pt idx="6">
                  <c:v>5.4429708222811665E-2</c:v>
                </c:pt>
                <c:pt idx="7">
                  <c:v>6.2090185676392559E-2</c:v>
                </c:pt>
                <c:pt idx="8">
                  <c:v>6.9347480106100798E-2</c:v>
                </c:pt>
                <c:pt idx="9">
                  <c:v>7.620159151193634E-2</c:v>
                </c:pt>
                <c:pt idx="10">
                  <c:v>8.2652519893899198E-2</c:v>
                </c:pt>
                <c:pt idx="11">
                  <c:v>8.8700265251989388E-2</c:v>
                </c:pt>
                <c:pt idx="12">
                  <c:v>9.4344827586206881E-2</c:v>
                </c:pt>
                <c:pt idx="13">
                  <c:v>9.9586206896551718E-2</c:v>
                </c:pt>
                <c:pt idx="14">
                  <c:v>0.10442440318302386</c:v>
                </c:pt>
                <c:pt idx="15">
                  <c:v>0.10885941644562332</c:v>
                </c:pt>
                <c:pt idx="16">
                  <c:v>0.11289124668435012</c:v>
                </c:pt>
                <c:pt idx="17">
                  <c:v>0.11651989389920424</c:v>
                </c:pt>
                <c:pt idx="18">
                  <c:v>0.11974535809018566</c:v>
                </c:pt>
                <c:pt idx="19">
                  <c:v>0.12256763925729441</c:v>
                </c:pt>
                <c:pt idx="20">
                  <c:v>0.1249867374005305</c:v>
                </c:pt>
                <c:pt idx="21">
                  <c:v>0.12700265251989387</c:v>
                </c:pt>
                <c:pt idx="22">
                  <c:v>0.1286153846153846</c:v>
                </c:pt>
                <c:pt idx="23">
                  <c:v>0.12982493368700262</c:v>
                </c:pt>
                <c:pt idx="24">
                  <c:v>0.13063129973474802</c:v>
                </c:pt>
                <c:pt idx="25">
                  <c:v>0.13103448275862067</c:v>
                </c:pt>
                <c:pt idx="26">
                  <c:v>0.13103448275862067</c:v>
                </c:pt>
              </c:numCache>
            </c:numRef>
          </c:val>
          <c:extLst>
            <c:ext xmlns:c16="http://schemas.microsoft.com/office/drawing/2014/chart" uri="{C3380CC4-5D6E-409C-BE32-E72D297353CC}">
              <c16:uniqueId val="{00000002-0979-4F16-A468-7AD26E5C7827}"/>
            </c:ext>
          </c:extLst>
        </c:ser>
        <c:ser>
          <c:idx val="3"/>
          <c:order val="3"/>
          <c:tx>
            <c:strRef>
              <c:f>'Ej. 4'!$T$6</c:f>
              <c:strCache>
                <c:ptCount val="1"/>
                <c:pt idx="0">
                  <c:v>3</c:v>
                </c:pt>
              </c:strCache>
            </c:strRef>
          </c:tx>
          <c:spPr>
            <a:ln w="6350" cap="flat" cmpd="sng" algn="ctr">
              <a:solidFill>
                <a:schemeClr val="accent5">
                  <a:tint val="48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4'!$T$7:$T$35</c15:sqref>
                  </c15:fullRef>
                </c:ext>
              </c:extLst>
              <c:f>'Ej. 4'!$T$7:$T$33</c:f>
              <c:numCache>
                <c:formatCode>0.00%</c:formatCode>
                <c:ptCount val="27"/>
                <c:pt idx="0">
                  <c:v>0</c:v>
                </c:pt>
                <c:pt idx="1">
                  <c:v>1.4854111405835544E-2</c:v>
                </c:pt>
                <c:pt idx="2">
                  <c:v>2.9114058355437664E-2</c:v>
                </c:pt>
                <c:pt idx="3">
                  <c:v>4.2779840848806358E-2</c:v>
                </c:pt>
                <c:pt idx="4">
                  <c:v>5.5851458885941646E-2</c:v>
                </c:pt>
                <c:pt idx="5">
                  <c:v>6.83289124668435E-2</c:v>
                </c:pt>
                <c:pt idx="6">
                  <c:v>8.0212201591511934E-2</c:v>
                </c:pt>
                <c:pt idx="7">
                  <c:v>9.1501326259946947E-2</c:v>
                </c:pt>
                <c:pt idx="8">
                  <c:v>0.10219628647214855</c:v>
                </c:pt>
                <c:pt idx="9">
                  <c:v>0.11229708222811671</c:v>
                </c:pt>
                <c:pt idx="10">
                  <c:v>0.12180371352785145</c:v>
                </c:pt>
                <c:pt idx="11">
                  <c:v>0.1307161803713528</c:v>
                </c:pt>
                <c:pt idx="12">
                  <c:v>0.13903448275862068</c:v>
                </c:pt>
                <c:pt idx="13">
                  <c:v>0.14675862068965517</c:v>
                </c:pt>
                <c:pt idx="14">
                  <c:v>0.15388859416445624</c:v>
                </c:pt>
                <c:pt idx="15">
                  <c:v>0.16042440318302387</c:v>
                </c:pt>
                <c:pt idx="16">
                  <c:v>0.1663660477453581</c:v>
                </c:pt>
                <c:pt idx="17">
                  <c:v>0.17171352785145888</c:v>
                </c:pt>
                <c:pt idx="18">
                  <c:v>0.17646684350132627</c:v>
                </c:pt>
                <c:pt idx="19">
                  <c:v>0.18062599469496021</c:v>
                </c:pt>
                <c:pt idx="20">
                  <c:v>0.18419098143236076</c:v>
                </c:pt>
                <c:pt idx="21">
                  <c:v>0.18716180371352784</c:v>
                </c:pt>
                <c:pt idx="22">
                  <c:v>0.18953846153846152</c:v>
                </c:pt>
                <c:pt idx="23">
                  <c:v>0.19132095490716181</c:v>
                </c:pt>
                <c:pt idx="24">
                  <c:v>0.19250928381962867</c:v>
                </c:pt>
                <c:pt idx="25">
                  <c:v>0.19310344827586207</c:v>
                </c:pt>
                <c:pt idx="26">
                  <c:v>0.19310344827586207</c:v>
                </c:pt>
              </c:numCache>
            </c:numRef>
          </c:val>
          <c:extLst>
            <c:ext xmlns:c16="http://schemas.microsoft.com/office/drawing/2014/chart" uri="{C3380CC4-5D6E-409C-BE32-E72D297353CC}">
              <c16:uniqueId val="{00000003-0979-4F16-A468-7AD26E5C7827}"/>
            </c:ext>
          </c:extLst>
        </c:ser>
        <c:ser>
          <c:idx val="4"/>
          <c:order val="4"/>
          <c:tx>
            <c:strRef>
              <c:f>'Ej. 4'!$U$6</c:f>
              <c:strCache>
                <c:ptCount val="1"/>
                <c:pt idx="0">
                  <c:v>4</c:v>
                </c:pt>
              </c:strCache>
            </c:strRef>
          </c:tx>
          <c:spPr>
            <a:ln w="6350" cap="flat" cmpd="sng" algn="ctr">
              <a:solidFill>
                <a:schemeClr val="accent5">
                  <a:tint val="52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4'!$U$7:$U$35</c15:sqref>
                  </c15:fullRef>
                </c:ext>
              </c:extLst>
              <c:f>'Ej. 4'!$U$7:$U$33</c:f>
              <c:numCache>
                <c:formatCode>0.00%</c:formatCode>
                <c:ptCount val="27"/>
                <c:pt idx="0">
                  <c:v>0</c:v>
                </c:pt>
                <c:pt idx="1">
                  <c:v>1.9451812555260833E-2</c:v>
                </c:pt>
                <c:pt idx="2">
                  <c:v>3.8125552608311235E-2</c:v>
                </c:pt>
                <c:pt idx="3">
                  <c:v>5.6021220159151196E-2</c:v>
                </c:pt>
                <c:pt idx="4">
                  <c:v>7.3138815207780733E-2</c:v>
                </c:pt>
                <c:pt idx="5">
                  <c:v>8.9478337754199833E-2</c:v>
                </c:pt>
                <c:pt idx="6">
                  <c:v>0.1050397877984085</c:v>
                </c:pt>
                <c:pt idx="7">
                  <c:v>0.11982316534040673</c:v>
                </c:pt>
                <c:pt idx="8">
                  <c:v>0.13382847038019455</c:v>
                </c:pt>
                <c:pt idx="9">
                  <c:v>0.1470557029177719</c:v>
                </c:pt>
                <c:pt idx="10">
                  <c:v>0.15950486295313882</c:v>
                </c:pt>
                <c:pt idx="11">
                  <c:v>0.17117595048629533</c:v>
                </c:pt>
                <c:pt idx="12">
                  <c:v>0.18206896551724139</c:v>
                </c:pt>
                <c:pt idx="13">
                  <c:v>0.19218390804597704</c:v>
                </c:pt>
                <c:pt idx="14">
                  <c:v>0.20152077807250224</c:v>
                </c:pt>
                <c:pt idx="15">
                  <c:v>0.21007957559681698</c:v>
                </c:pt>
                <c:pt idx="16">
                  <c:v>0.21786030061892134</c:v>
                </c:pt>
                <c:pt idx="17">
                  <c:v>0.22486295313881524</c:v>
                </c:pt>
                <c:pt idx="18">
                  <c:v>0.23108753315649869</c:v>
                </c:pt>
                <c:pt idx="19">
                  <c:v>0.23653404067197173</c:v>
                </c:pt>
                <c:pt idx="20">
                  <c:v>0.24120247568523434</c:v>
                </c:pt>
                <c:pt idx="21">
                  <c:v>0.24509283819628649</c:v>
                </c:pt>
                <c:pt idx="22">
                  <c:v>0.24820512820512822</c:v>
                </c:pt>
                <c:pt idx="23">
                  <c:v>0.25053934571175951</c:v>
                </c:pt>
                <c:pt idx="24">
                  <c:v>0.25209549071618043</c:v>
                </c:pt>
                <c:pt idx="25">
                  <c:v>0.25287356321839083</c:v>
                </c:pt>
                <c:pt idx="26">
                  <c:v>0.25287356321839083</c:v>
                </c:pt>
              </c:numCache>
            </c:numRef>
          </c:val>
          <c:extLst>
            <c:ext xmlns:c16="http://schemas.microsoft.com/office/drawing/2014/chart" uri="{C3380CC4-5D6E-409C-BE32-E72D297353CC}">
              <c16:uniqueId val="{00000004-0979-4F16-A468-7AD26E5C7827}"/>
            </c:ext>
          </c:extLst>
        </c:ser>
        <c:ser>
          <c:idx val="5"/>
          <c:order val="5"/>
          <c:tx>
            <c:strRef>
              <c:f>'Ej. 4'!$V$6</c:f>
              <c:strCache>
                <c:ptCount val="1"/>
                <c:pt idx="0">
                  <c:v>5</c:v>
                </c:pt>
              </c:strCache>
            </c:strRef>
          </c:tx>
          <c:spPr>
            <a:ln w="6350" cap="flat" cmpd="sng" algn="ctr">
              <a:solidFill>
                <a:schemeClr val="accent5">
                  <a:tint val="57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4'!$V$7:$V$35</c15:sqref>
                  </c15:fullRef>
                </c:ext>
              </c:extLst>
              <c:f>'Ej. 4'!$V$7:$V$33</c:f>
              <c:numCache>
                <c:formatCode>0.00%</c:formatCode>
                <c:ptCount val="27"/>
                <c:pt idx="0">
                  <c:v>0</c:v>
                </c:pt>
                <c:pt idx="1">
                  <c:v>2.387267904509284E-2</c:v>
                </c:pt>
                <c:pt idx="2">
                  <c:v>4.6790450928381966E-2</c:v>
                </c:pt>
                <c:pt idx="3">
                  <c:v>6.8753315649867364E-2</c:v>
                </c:pt>
                <c:pt idx="4">
                  <c:v>8.9761273209549075E-2</c:v>
                </c:pt>
                <c:pt idx="5">
                  <c:v>0.10981432360742706</c:v>
                </c:pt>
                <c:pt idx="6">
                  <c:v>0.12891246684350133</c:v>
                </c:pt>
                <c:pt idx="7">
                  <c:v>0.14705570291777187</c:v>
                </c:pt>
                <c:pt idx="8">
                  <c:v>0.16424403183023875</c:v>
                </c:pt>
                <c:pt idx="9">
                  <c:v>0.18047745358090186</c:v>
                </c:pt>
                <c:pt idx="10">
                  <c:v>0.19575596816976126</c:v>
                </c:pt>
                <c:pt idx="11">
                  <c:v>0.210079575596817</c:v>
                </c:pt>
                <c:pt idx="12">
                  <c:v>0.22344827586206897</c:v>
                </c:pt>
                <c:pt idx="13">
                  <c:v>0.23586206896551726</c:v>
                </c:pt>
                <c:pt idx="14">
                  <c:v>0.24732095490716183</c:v>
                </c:pt>
                <c:pt idx="15">
                  <c:v>0.25782493368700266</c:v>
                </c:pt>
                <c:pt idx="16">
                  <c:v>0.2673740053050398</c:v>
                </c:pt>
                <c:pt idx="17">
                  <c:v>0.27596816976127325</c:v>
                </c:pt>
                <c:pt idx="18">
                  <c:v>0.28360742705570291</c:v>
                </c:pt>
                <c:pt idx="19">
                  <c:v>0.29029177718832894</c:v>
                </c:pt>
                <c:pt idx="20">
                  <c:v>0.29602122015915122</c:v>
                </c:pt>
                <c:pt idx="21">
                  <c:v>0.30079575596816976</c:v>
                </c:pt>
                <c:pt idx="22">
                  <c:v>0.30461538461538462</c:v>
                </c:pt>
                <c:pt idx="23">
                  <c:v>0.30748010610079574</c:v>
                </c:pt>
                <c:pt idx="24">
                  <c:v>0.30938992042440322</c:v>
                </c:pt>
                <c:pt idx="25">
                  <c:v>0.31034482758620691</c:v>
                </c:pt>
                <c:pt idx="26">
                  <c:v>0.31034482758620691</c:v>
                </c:pt>
              </c:numCache>
            </c:numRef>
          </c:val>
          <c:extLst>
            <c:ext xmlns:c16="http://schemas.microsoft.com/office/drawing/2014/chart" uri="{C3380CC4-5D6E-409C-BE32-E72D297353CC}">
              <c16:uniqueId val="{00000005-0979-4F16-A468-7AD26E5C7827}"/>
            </c:ext>
          </c:extLst>
        </c:ser>
        <c:ser>
          <c:idx val="6"/>
          <c:order val="6"/>
          <c:tx>
            <c:strRef>
              <c:f>'Ej. 4'!$W$6</c:f>
              <c:strCache>
                <c:ptCount val="1"/>
                <c:pt idx="0">
                  <c:v>6</c:v>
                </c:pt>
              </c:strCache>
            </c:strRef>
          </c:tx>
          <c:spPr>
            <a:ln w="6350" cap="flat" cmpd="sng" algn="ctr">
              <a:solidFill>
                <a:schemeClr val="accent5">
                  <a:tint val="61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4'!$W$7:$W$35</c15:sqref>
                  </c15:fullRef>
                </c:ext>
              </c:extLst>
              <c:f>'Ej. 4'!$W$7:$W$33</c:f>
              <c:numCache>
                <c:formatCode>0.00%</c:formatCode>
                <c:ptCount val="27"/>
                <c:pt idx="0">
                  <c:v>0</c:v>
                </c:pt>
                <c:pt idx="1">
                  <c:v>2.8116710875331567E-2</c:v>
                </c:pt>
                <c:pt idx="2">
                  <c:v>5.5108753315649871E-2</c:v>
                </c:pt>
                <c:pt idx="3">
                  <c:v>8.0976127320954897E-2</c:v>
                </c:pt>
                <c:pt idx="4">
                  <c:v>0.10571883289124669</c:v>
                </c:pt>
                <c:pt idx="5">
                  <c:v>0.12933687002652522</c:v>
                </c:pt>
                <c:pt idx="6">
                  <c:v>0.15183023872679047</c:v>
                </c:pt>
                <c:pt idx="7">
                  <c:v>0.17319893899204242</c:v>
                </c:pt>
                <c:pt idx="8">
                  <c:v>0.19344297082228118</c:v>
                </c:pt>
                <c:pt idx="9">
                  <c:v>0.21256233421750664</c:v>
                </c:pt>
                <c:pt idx="10">
                  <c:v>0.23055702917771884</c:v>
                </c:pt>
                <c:pt idx="11">
                  <c:v>0.24742705570291779</c:v>
                </c:pt>
                <c:pt idx="12">
                  <c:v>0.26317241379310347</c:v>
                </c:pt>
                <c:pt idx="13">
                  <c:v>0.27779310344827585</c:v>
                </c:pt>
                <c:pt idx="14">
                  <c:v>0.29128912466843504</c:v>
                </c:pt>
                <c:pt idx="15">
                  <c:v>0.30366047745358088</c:v>
                </c:pt>
                <c:pt idx="16">
                  <c:v>0.31490716180371353</c:v>
                </c:pt>
                <c:pt idx="17">
                  <c:v>0.32502917771883294</c:v>
                </c:pt>
                <c:pt idx="18">
                  <c:v>0.33402652519893899</c:v>
                </c:pt>
                <c:pt idx="19">
                  <c:v>0.34189920424403181</c:v>
                </c:pt>
                <c:pt idx="20">
                  <c:v>0.34864721485411143</c:v>
                </c:pt>
                <c:pt idx="21">
                  <c:v>0.3542705570291777</c:v>
                </c:pt>
                <c:pt idx="22">
                  <c:v>0.35876923076923073</c:v>
                </c:pt>
                <c:pt idx="23">
                  <c:v>0.36214323607427057</c:v>
                </c:pt>
                <c:pt idx="24">
                  <c:v>0.36439257294429711</c:v>
                </c:pt>
                <c:pt idx="25">
                  <c:v>0.36551724137931035</c:v>
                </c:pt>
                <c:pt idx="26">
                  <c:v>0.36551724137931035</c:v>
                </c:pt>
              </c:numCache>
            </c:numRef>
          </c:val>
          <c:extLst>
            <c:ext xmlns:c16="http://schemas.microsoft.com/office/drawing/2014/chart" uri="{C3380CC4-5D6E-409C-BE32-E72D297353CC}">
              <c16:uniqueId val="{00000006-0979-4F16-A468-7AD26E5C7827}"/>
            </c:ext>
          </c:extLst>
        </c:ser>
        <c:ser>
          <c:idx val="7"/>
          <c:order val="7"/>
          <c:tx>
            <c:strRef>
              <c:f>'Ej. 4'!$X$6</c:f>
              <c:strCache>
                <c:ptCount val="1"/>
                <c:pt idx="0">
                  <c:v>7</c:v>
                </c:pt>
              </c:strCache>
            </c:strRef>
          </c:tx>
          <c:spPr>
            <a:ln w="6350" cap="flat" cmpd="sng" algn="ctr">
              <a:solidFill>
                <a:schemeClr val="accent5">
                  <a:tint val="65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4'!$X$7:$X$35</c15:sqref>
                  </c15:fullRef>
                </c:ext>
              </c:extLst>
              <c:f>'Ej. 4'!$X$7:$X$33</c:f>
              <c:numCache>
                <c:formatCode>0.00%</c:formatCode>
                <c:ptCount val="27"/>
                <c:pt idx="0">
                  <c:v>0</c:v>
                </c:pt>
                <c:pt idx="1">
                  <c:v>3.2183908045977018E-2</c:v>
                </c:pt>
                <c:pt idx="2">
                  <c:v>6.3080459770114949E-2</c:v>
                </c:pt>
                <c:pt idx="3">
                  <c:v>9.2689655172413787E-2</c:v>
                </c:pt>
                <c:pt idx="4">
                  <c:v>0.12101149425287357</c:v>
                </c:pt>
                <c:pt idx="5">
                  <c:v>0.14804597701149427</c:v>
                </c:pt>
                <c:pt idx="6">
                  <c:v>0.17379310344827589</c:v>
                </c:pt>
                <c:pt idx="7">
                  <c:v>0.19825287356321838</c:v>
                </c:pt>
                <c:pt idx="8">
                  <c:v>0.22142528735632186</c:v>
                </c:pt>
                <c:pt idx="9">
                  <c:v>0.24331034482758623</c:v>
                </c:pt>
                <c:pt idx="10">
                  <c:v>0.26390804597701151</c:v>
                </c:pt>
                <c:pt idx="11">
                  <c:v>0.28321839080459771</c:v>
                </c:pt>
                <c:pt idx="12">
                  <c:v>0.30124137931034484</c:v>
                </c:pt>
                <c:pt idx="13">
                  <c:v>0.31797701149425289</c:v>
                </c:pt>
                <c:pt idx="14">
                  <c:v>0.33342528735632188</c:v>
                </c:pt>
                <c:pt idx="15">
                  <c:v>0.34758620689655173</c:v>
                </c:pt>
                <c:pt idx="16">
                  <c:v>0.36045977011494257</c:v>
                </c:pt>
                <c:pt idx="17">
                  <c:v>0.37204597701149428</c:v>
                </c:pt>
                <c:pt idx="18">
                  <c:v>0.38234482758620691</c:v>
                </c:pt>
                <c:pt idx="19">
                  <c:v>0.39135632183908048</c:v>
                </c:pt>
                <c:pt idx="20">
                  <c:v>0.39908045977011497</c:v>
                </c:pt>
                <c:pt idx="21">
                  <c:v>0.40551724137931039</c:v>
                </c:pt>
                <c:pt idx="22">
                  <c:v>0.41066666666666668</c:v>
                </c:pt>
                <c:pt idx="23">
                  <c:v>0.4145287356321839</c:v>
                </c:pt>
                <c:pt idx="24">
                  <c:v>0.41710344827586215</c:v>
                </c:pt>
                <c:pt idx="25">
                  <c:v>0.41839080459770117</c:v>
                </c:pt>
                <c:pt idx="26">
                  <c:v>0.41839080459770117</c:v>
                </c:pt>
              </c:numCache>
            </c:numRef>
          </c:val>
          <c:extLst>
            <c:ext xmlns:c16="http://schemas.microsoft.com/office/drawing/2014/chart" uri="{C3380CC4-5D6E-409C-BE32-E72D297353CC}">
              <c16:uniqueId val="{00000007-0979-4F16-A468-7AD26E5C7827}"/>
            </c:ext>
          </c:extLst>
        </c:ser>
        <c:ser>
          <c:idx val="8"/>
          <c:order val="8"/>
          <c:tx>
            <c:strRef>
              <c:f>'Ej. 4'!$Y$6</c:f>
              <c:strCache>
                <c:ptCount val="1"/>
                <c:pt idx="0">
                  <c:v>8</c:v>
                </c:pt>
              </c:strCache>
            </c:strRef>
          </c:tx>
          <c:spPr>
            <a:ln w="6350" cap="flat" cmpd="sng" algn="ctr">
              <a:solidFill>
                <a:schemeClr val="accent5">
                  <a:tint val="70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4'!$Y$7:$Y$35</c15:sqref>
                  </c15:fullRef>
                </c:ext>
              </c:extLst>
              <c:f>'Ej. 4'!$Y$7:$Y$33</c:f>
              <c:numCache>
                <c:formatCode>0.00%</c:formatCode>
                <c:ptCount val="27"/>
                <c:pt idx="0">
                  <c:v>0</c:v>
                </c:pt>
                <c:pt idx="1">
                  <c:v>3.6074270557029178E-2</c:v>
                </c:pt>
                <c:pt idx="2">
                  <c:v>7.0705570291777181E-2</c:v>
                </c:pt>
                <c:pt idx="3">
                  <c:v>0.10389389920424401</c:v>
                </c:pt>
                <c:pt idx="4">
                  <c:v>0.13563925729442969</c:v>
                </c:pt>
                <c:pt idx="5">
                  <c:v>0.16594164456233421</c:v>
                </c:pt>
                <c:pt idx="6">
                  <c:v>0.19480106100795755</c:v>
                </c:pt>
                <c:pt idx="7">
                  <c:v>0.22221750663129969</c:v>
                </c:pt>
                <c:pt idx="8">
                  <c:v>0.24819098143236074</c:v>
                </c:pt>
                <c:pt idx="9">
                  <c:v>0.27272148541114055</c:v>
                </c:pt>
                <c:pt idx="10">
                  <c:v>0.29580901856763919</c:v>
                </c:pt>
                <c:pt idx="11">
                  <c:v>0.31745358090185671</c:v>
                </c:pt>
                <c:pt idx="12">
                  <c:v>0.33765517241379306</c:v>
                </c:pt>
                <c:pt idx="13">
                  <c:v>0.35641379310344823</c:v>
                </c:pt>
                <c:pt idx="14">
                  <c:v>0.37372944297082222</c:v>
                </c:pt>
                <c:pt idx="15">
                  <c:v>0.38960212201591504</c:v>
                </c:pt>
                <c:pt idx="16">
                  <c:v>0.40403183023872674</c:v>
                </c:pt>
                <c:pt idx="17">
                  <c:v>0.41701856763925726</c:v>
                </c:pt>
                <c:pt idx="18">
                  <c:v>0.42856233421750656</c:v>
                </c:pt>
                <c:pt idx="19">
                  <c:v>0.43866312997347473</c:v>
                </c:pt>
                <c:pt idx="20">
                  <c:v>0.44732095490716178</c:v>
                </c:pt>
                <c:pt idx="21">
                  <c:v>0.4545358090185676</c:v>
                </c:pt>
                <c:pt idx="22">
                  <c:v>0.4603076923076922</c:v>
                </c:pt>
                <c:pt idx="23">
                  <c:v>0.46463660477453572</c:v>
                </c:pt>
                <c:pt idx="24">
                  <c:v>0.46752254641909813</c:v>
                </c:pt>
                <c:pt idx="25">
                  <c:v>0.46896551724137925</c:v>
                </c:pt>
                <c:pt idx="26">
                  <c:v>0.46896551724137925</c:v>
                </c:pt>
              </c:numCache>
            </c:numRef>
          </c:val>
          <c:extLst>
            <c:ext xmlns:c16="http://schemas.microsoft.com/office/drawing/2014/chart" uri="{C3380CC4-5D6E-409C-BE32-E72D297353CC}">
              <c16:uniqueId val="{00000008-0979-4F16-A468-7AD26E5C7827}"/>
            </c:ext>
          </c:extLst>
        </c:ser>
        <c:ser>
          <c:idx val="9"/>
          <c:order val="9"/>
          <c:tx>
            <c:strRef>
              <c:f>'Ej. 4'!$Z$6</c:f>
              <c:strCache>
                <c:ptCount val="1"/>
                <c:pt idx="0">
                  <c:v>9</c:v>
                </c:pt>
              </c:strCache>
            </c:strRef>
          </c:tx>
          <c:spPr>
            <a:ln w="6350" cap="flat" cmpd="sng" algn="ctr">
              <a:solidFill>
                <a:schemeClr val="accent5">
                  <a:tint val="74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4'!$Z$7:$Z$35</c15:sqref>
                  </c15:fullRef>
                </c:ext>
              </c:extLst>
              <c:f>'Ej. 4'!$Z$7:$Z$33</c:f>
              <c:numCache>
                <c:formatCode>0.00%</c:formatCode>
                <c:ptCount val="27"/>
                <c:pt idx="0">
                  <c:v>0</c:v>
                </c:pt>
                <c:pt idx="1">
                  <c:v>3.9787798408488062E-2</c:v>
                </c:pt>
                <c:pt idx="2">
                  <c:v>7.7984084880636587E-2</c:v>
                </c:pt>
                <c:pt idx="3">
                  <c:v>0.1145888594164456</c:v>
                </c:pt>
                <c:pt idx="4">
                  <c:v>0.14960212201591511</c:v>
                </c:pt>
                <c:pt idx="5">
                  <c:v>0.18302387267904507</c:v>
                </c:pt>
                <c:pt idx="6">
                  <c:v>0.21485411140583552</c:v>
                </c:pt>
                <c:pt idx="7">
                  <c:v>0.24509283819628641</c:v>
                </c:pt>
                <c:pt idx="8">
                  <c:v>0.27374005305039789</c:v>
                </c:pt>
                <c:pt idx="9">
                  <c:v>0.30079575596816971</c:v>
                </c:pt>
                <c:pt idx="10">
                  <c:v>0.32625994694960209</c:v>
                </c:pt>
                <c:pt idx="11">
                  <c:v>0.35013262599469491</c:v>
                </c:pt>
                <c:pt idx="12">
                  <c:v>0.37241379310344819</c:v>
                </c:pt>
                <c:pt idx="13">
                  <c:v>0.39310344827586202</c:v>
                </c:pt>
                <c:pt idx="14">
                  <c:v>0.4122015915119363</c:v>
                </c:pt>
                <c:pt idx="15">
                  <c:v>0.42970822281167098</c:v>
                </c:pt>
                <c:pt idx="16">
                  <c:v>0.44562334217506627</c:v>
                </c:pt>
                <c:pt idx="17">
                  <c:v>0.45994694960212196</c:v>
                </c:pt>
                <c:pt idx="18">
                  <c:v>0.47267904509283815</c:v>
                </c:pt>
                <c:pt idx="19">
                  <c:v>0.48381962864721478</c:v>
                </c:pt>
                <c:pt idx="20">
                  <c:v>0.49336870026525192</c:v>
                </c:pt>
                <c:pt idx="21">
                  <c:v>0.50132625994694957</c:v>
                </c:pt>
                <c:pt idx="22">
                  <c:v>0.50769230769230755</c:v>
                </c:pt>
                <c:pt idx="23">
                  <c:v>0.51246684350132621</c:v>
                </c:pt>
                <c:pt idx="24">
                  <c:v>0.51564986737400531</c:v>
                </c:pt>
                <c:pt idx="25">
                  <c:v>0.51724137931034475</c:v>
                </c:pt>
                <c:pt idx="26">
                  <c:v>0.51724137931034475</c:v>
                </c:pt>
              </c:numCache>
            </c:numRef>
          </c:val>
          <c:extLst>
            <c:ext xmlns:c16="http://schemas.microsoft.com/office/drawing/2014/chart" uri="{C3380CC4-5D6E-409C-BE32-E72D297353CC}">
              <c16:uniqueId val="{00000009-0979-4F16-A468-7AD26E5C7827}"/>
            </c:ext>
          </c:extLst>
        </c:ser>
        <c:ser>
          <c:idx val="10"/>
          <c:order val="10"/>
          <c:tx>
            <c:strRef>
              <c:f>'Ej. 4'!$AA$6</c:f>
              <c:strCache>
                <c:ptCount val="1"/>
                <c:pt idx="0">
                  <c:v>10</c:v>
                </c:pt>
              </c:strCache>
            </c:strRef>
          </c:tx>
          <c:spPr>
            <a:ln w="6350" cap="flat" cmpd="sng" algn="ctr">
              <a:solidFill>
                <a:schemeClr val="accent5">
                  <a:tint val="79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4'!$AA$7:$AA$35</c15:sqref>
                  </c15:fullRef>
                </c:ext>
              </c:extLst>
              <c:f>'Ej. 4'!$AA$7:$AA$33</c:f>
              <c:numCache>
                <c:formatCode>0.00%</c:formatCode>
                <c:ptCount val="27"/>
                <c:pt idx="0">
                  <c:v>0</c:v>
                </c:pt>
                <c:pt idx="1">
                  <c:v>4.3324491600353669E-2</c:v>
                </c:pt>
                <c:pt idx="2">
                  <c:v>8.4916003536693194E-2</c:v>
                </c:pt>
                <c:pt idx="3">
                  <c:v>0.12477453580901855</c:v>
                </c:pt>
                <c:pt idx="4">
                  <c:v>0.16290008841732978</c:v>
                </c:pt>
                <c:pt idx="5">
                  <c:v>0.19929266136162688</c:v>
                </c:pt>
                <c:pt idx="6">
                  <c:v>0.23395225464190983</c:v>
                </c:pt>
                <c:pt idx="7">
                  <c:v>0.26687886825817858</c:v>
                </c:pt>
                <c:pt idx="8">
                  <c:v>0.29807250221043324</c:v>
                </c:pt>
                <c:pt idx="9">
                  <c:v>0.32753315649867376</c:v>
                </c:pt>
                <c:pt idx="10">
                  <c:v>0.35526083112290008</c:v>
                </c:pt>
                <c:pt idx="11">
                  <c:v>0.38125552608311231</c:v>
                </c:pt>
                <c:pt idx="12">
                  <c:v>0.40551724137931033</c:v>
                </c:pt>
                <c:pt idx="13">
                  <c:v>0.42804597701149422</c:v>
                </c:pt>
                <c:pt idx="14">
                  <c:v>0.44884173297966401</c:v>
                </c:pt>
                <c:pt idx="15">
                  <c:v>0.46790450928381955</c:v>
                </c:pt>
                <c:pt idx="16">
                  <c:v>0.48523430592396111</c:v>
                </c:pt>
                <c:pt idx="17">
                  <c:v>0.50083112290008847</c:v>
                </c:pt>
                <c:pt idx="18">
                  <c:v>0.51469496021220162</c:v>
                </c:pt>
                <c:pt idx="19">
                  <c:v>0.52682581786030058</c:v>
                </c:pt>
                <c:pt idx="20">
                  <c:v>0.53722369584438556</c:v>
                </c:pt>
                <c:pt idx="21">
                  <c:v>0.54588859416445623</c:v>
                </c:pt>
                <c:pt idx="22">
                  <c:v>0.55282051282051281</c:v>
                </c:pt>
                <c:pt idx="23">
                  <c:v>0.55801945181255519</c:v>
                </c:pt>
                <c:pt idx="24">
                  <c:v>0.56148541114058359</c:v>
                </c:pt>
                <c:pt idx="25">
                  <c:v>0.56321839080459768</c:v>
                </c:pt>
                <c:pt idx="26">
                  <c:v>0.56321839080459768</c:v>
                </c:pt>
              </c:numCache>
            </c:numRef>
          </c:val>
          <c:extLst>
            <c:ext xmlns:c16="http://schemas.microsoft.com/office/drawing/2014/chart" uri="{C3380CC4-5D6E-409C-BE32-E72D297353CC}">
              <c16:uniqueId val="{0000000A-0979-4F16-A468-7AD26E5C7827}"/>
            </c:ext>
          </c:extLst>
        </c:ser>
        <c:ser>
          <c:idx val="11"/>
          <c:order val="11"/>
          <c:tx>
            <c:strRef>
              <c:f>'Ej. 4'!$AB$6</c:f>
              <c:strCache>
                <c:ptCount val="1"/>
                <c:pt idx="0">
                  <c:v>11</c:v>
                </c:pt>
              </c:strCache>
            </c:strRef>
          </c:tx>
          <c:spPr>
            <a:ln w="6350" cap="flat" cmpd="sng" algn="ctr">
              <a:solidFill>
                <a:schemeClr val="accent5">
                  <a:tint val="83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4'!$AB$7:$AB$35</c15:sqref>
                  </c15:fullRef>
                </c:ext>
              </c:extLst>
              <c:f>'Ej. 4'!$AB$7:$AB$33</c:f>
              <c:numCache>
                <c:formatCode>0.00%</c:formatCode>
                <c:ptCount val="27"/>
                <c:pt idx="0">
                  <c:v>0</c:v>
                </c:pt>
                <c:pt idx="1">
                  <c:v>4.6684350132626E-2</c:v>
                </c:pt>
                <c:pt idx="2">
                  <c:v>9.1501326259946947E-2</c:v>
                </c:pt>
                <c:pt idx="3">
                  <c:v>0.13445092838196285</c:v>
                </c:pt>
                <c:pt idx="4">
                  <c:v>0.17553315649867374</c:v>
                </c:pt>
                <c:pt idx="5">
                  <c:v>0.21474801061007959</c:v>
                </c:pt>
                <c:pt idx="6">
                  <c:v>0.25209549071618037</c:v>
                </c:pt>
                <c:pt idx="7">
                  <c:v>0.28757559681697609</c:v>
                </c:pt>
                <c:pt idx="8">
                  <c:v>0.32118832891246685</c:v>
                </c:pt>
                <c:pt idx="9">
                  <c:v>0.35293368700265254</c:v>
                </c:pt>
                <c:pt idx="10">
                  <c:v>0.38281167108753311</c:v>
                </c:pt>
                <c:pt idx="11">
                  <c:v>0.41082228116710878</c:v>
                </c:pt>
                <c:pt idx="12">
                  <c:v>0.43696551724137928</c:v>
                </c:pt>
                <c:pt idx="13">
                  <c:v>0.46124137931034481</c:v>
                </c:pt>
                <c:pt idx="14">
                  <c:v>0.48364986737400534</c:v>
                </c:pt>
                <c:pt idx="15">
                  <c:v>0.50419098143236074</c:v>
                </c:pt>
                <c:pt idx="16">
                  <c:v>0.52286472148541119</c:v>
                </c:pt>
                <c:pt idx="17">
                  <c:v>0.53967108753315651</c:v>
                </c:pt>
                <c:pt idx="18">
                  <c:v>0.55461007957559683</c:v>
                </c:pt>
                <c:pt idx="19">
                  <c:v>0.56768169761273213</c:v>
                </c:pt>
                <c:pt idx="20">
                  <c:v>0.57888594164456231</c:v>
                </c:pt>
                <c:pt idx="21">
                  <c:v>0.58822281167108748</c:v>
                </c:pt>
                <c:pt idx="22">
                  <c:v>0.59569230769230763</c:v>
                </c:pt>
                <c:pt idx="23">
                  <c:v>0.60129442970822278</c:v>
                </c:pt>
                <c:pt idx="24">
                  <c:v>0.60502917771883291</c:v>
                </c:pt>
                <c:pt idx="25">
                  <c:v>0.60689655172413792</c:v>
                </c:pt>
                <c:pt idx="26">
                  <c:v>0.60689655172413792</c:v>
                </c:pt>
              </c:numCache>
            </c:numRef>
          </c:val>
          <c:extLst>
            <c:ext xmlns:c16="http://schemas.microsoft.com/office/drawing/2014/chart" uri="{C3380CC4-5D6E-409C-BE32-E72D297353CC}">
              <c16:uniqueId val="{0000000B-0979-4F16-A468-7AD26E5C7827}"/>
            </c:ext>
          </c:extLst>
        </c:ser>
        <c:ser>
          <c:idx val="12"/>
          <c:order val="12"/>
          <c:tx>
            <c:strRef>
              <c:f>'Ej. 4'!$AC$6</c:f>
              <c:strCache>
                <c:ptCount val="1"/>
                <c:pt idx="0">
                  <c:v>12</c:v>
                </c:pt>
              </c:strCache>
            </c:strRef>
          </c:tx>
          <c:spPr>
            <a:ln w="6350" cap="flat" cmpd="sng" algn="ctr">
              <a:solidFill>
                <a:schemeClr val="accent5">
                  <a:tint val="87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4'!$AC$7:$AC$35</c15:sqref>
                  </c15:fullRef>
                </c:ext>
              </c:extLst>
              <c:f>'Ej. 4'!$AC$7:$AC$33</c:f>
              <c:numCache>
                <c:formatCode>0.00%</c:formatCode>
                <c:ptCount val="27"/>
                <c:pt idx="0">
                  <c:v>0</c:v>
                </c:pt>
                <c:pt idx="1">
                  <c:v>4.986737400530504E-2</c:v>
                </c:pt>
                <c:pt idx="2">
                  <c:v>9.7740053050397874E-2</c:v>
                </c:pt>
                <c:pt idx="3">
                  <c:v>0.14361803713527849</c:v>
                </c:pt>
                <c:pt idx="4">
                  <c:v>0.18750132625994695</c:v>
                </c:pt>
                <c:pt idx="5">
                  <c:v>0.22938992042440318</c:v>
                </c:pt>
                <c:pt idx="6">
                  <c:v>0.26928381962864723</c:v>
                </c:pt>
                <c:pt idx="7">
                  <c:v>0.30718302387267898</c:v>
                </c:pt>
                <c:pt idx="8">
                  <c:v>0.3430875331564987</c:v>
                </c:pt>
                <c:pt idx="9">
                  <c:v>0.3769973474801061</c:v>
                </c:pt>
                <c:pt idx="10">
                  <c:v>0.4089124668435013</c:v>
                </c:pt>
                <c:pt idx="11">
                  <c:v>0.43883289124668434</c:v>
                </c:pt>
                <c:pt idx="12">
                  <c:v>0.46675862068965512</c:v>
                </c:pt>
                <c:pt idx="13">
                  <c:v>0.49268965517241375</c:v>
                </c:pt>
                <c:pt idx="14">
                  <c:v>0.51662599469496018</c:v>
                </c:pt>
                <c:pt idx="15">
                  <c:v>0.53856763925729434</c:v>
                </c:pt>
                <c:pt idx="16">
                  <c:v>0.55851458885941641</c:v>
                </c:pt>
                <c:pt idx="17">
                  <c:v>0.57646684350132626</c:v>
                </c:pt>
                <c:pt idx="18">
                  <c:v>0.59242440318302381</c:v>
                </c:pt>
                <c:pt idx="19">
                  <c:v>0.60638726790450925</c:v>
                </c:pt>
                <c:pt idx="20">
                  <c:v>0.61835543766578249</c:v>
                </c:pt>
                <c:pt idx="21">
                  <c:v>0.62832891246684341</c:v>
                </c:pt>
                <c:pt idx="22">
                  <c:v>0.63630769230769224</c:v>
                </c:pt>
                <c:pt idx="23">
                  <c:v>0.64229177718832886</c:v>
                </c:pt>
                <c:pt idx="24">
                  <c:v>0.64628116710875338</c:v>
                </c:pt>
                <c:pt idx="25">
                  <c:v>0.64827586206896548</c:v>
                </c:pt>
                <c:pt idx="26">
                  <c:v>0.64827586206896548</c:v>
                </c:pt>
              </c:numCache>
            </c:numRef>
          </c:val>
          <c:extLst>
            <c:ext xmlns:c16="http://schemas.microsoft.com/office/drawing/2014/chart" uri="{C3380CC4-5D6E-409C-BE32-E72D297353CC}">
              <c16:uniqueId val="{0000000C-0979-4F16-A468-7AD26E5C7827}"/>
            </c:ext>
          </c:extLst>
        </c:ser>
        <c:ser>
          <c:idx val="13"/>
          <c:order val="13"/>
          <c:tx>
            <c:strRef>
              <c:f>'Ej. 4'!$AD$6</c:f>
              <c:strCache>
                <c:ptCount val="1"/>
                <c:pt idx="0">
                  <c:v>13</c:v>
                </c:pt>
              </c:strCache>
            </c:strRef>
          </c:tx>
          <c:spPr>
            <a:ln w="6350" cap="flat" cmpd="sng" algn="ctr">
              <a:solidFill>
                <a:schemeClr val="accent5">
                  <a:tint val="92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4'!$AD$7:$AD$35</c15:sqref>
                  </c15:fullRef>
                </c:ext>
              </c:extLst>
              <c:f>'Ej. 4'!$AD$7:$AD$33</c:f>
              <c:numCache>
                <c:formatCode>0.00%</c:formatCode>
                <c:ptCount val="27"/>
                <c:pt idx="0">
                  <c:v>0</c:v>
                </c:pt>
                <c:pt idx="1">
                  <c:v>5.2873563218390811E-2</c:v>
                </c:pt>
                <c:pt idx="2">
                  <c:v>0.10363218390804597</c:v>
                </c:pt>
                <c:pt idx="3">
                  <c:v>0.15227586206896551</c:v>
                </c:pt>
                <c:pt idx="4">
                  <c:v>0.19880459770114944</c:v>
                </c:pt>
                <c:pt idx="5">
                  <c:v>0.24321839080459773</c:v>
                </c:pt>
                <c:pt idx="6">
                  <c:v>0.28551724137931034</c:v>
                </c:pt>
                <c:pt idx="7">
                  <c:v>0.32570114942528733</c:v>
                </c:pt>
                <c:pt idx="8">
                  <c:v>0.36377011494252876</c:v>
                </c:pt>
                <c:pt idx="9">
                  <c:v>0.39972413793103451</c:v>
                </c:pt>
                <c:pt idx="10">
                  <c:v>0.43356321839080458</c:v>
                </c:pt>
                <c:pt idx="11">
                  <c:v>0.4652873563218391</c:v>
                </c:pt>
                <c:pt idx="12">
                  <c:v>0.49489655172413793</c:v>
                </c:pt>
                <c:pt idx="13">
                  <c:v>0.52239080459770115</c:v>
                </c:pt>
                <c:pt idx="14">
                  <c:v>0.54777011494252881</c:v>
                </c:pt>
                <c:pt idx="15">
                  <c:v>0.57103448275862068</c:v>
                </c:pt>
                <c:pt idx="16">
                  <c:v>0.59218390804597709</c:v>
                </c:pt>
                <c:pt idx="17">
                  <c:v>0.61121839080459772</c:v>
                </c:pt>
                <c:pt idx="18">
                  <c:v>0.62813793103448279</c:v>
                </c:pt>
                <c:pt idx="19">
                  <c:v>0.64294252873563218</c:v>
                </c:pt>
                <c:pt idx="20">
                  <c:v>0.65563218390804601</c:v>
                </c:pt>
                <c:pt idx="21">
                  <c:v>0.66620689655172416</c:v>
                </c:pt>
                <c:pt idx="22">
                  <c:v>0.67466666666666664</c:v>
                </c:pt>
                <c:pt idx="23">
                  <c:v>0.68101149425287355</c:v>
                </c:pt>
                <c:pt idx="24">
                  <c:v>0.6852413793103449</c:v>
                </c:pt>
                <c:pt idx="25">
                  <c:v>0.68735632183908046</c:v>
                </c:pt>
                <c:pt idx="26">
                  <c:v>0.68735632183908046</c:v>
                </c:pt>
              </c:numCache>
            </c:numRef>
          </c:val>
          <c:extLst>
            <c:ext xmlns:c16="http://schemas.microsoft.com/office/drawing/2014/chart" uri="{C3380CC4-5D6E-409C-BE32-E72D297353CC}">
              <c16:uniqueId val="{0000000D-0979-4F16-A468-7AD26E5C7827}"/>
            </c:ext>
          </c:extLst>
        </c:ser>
        <c:ser>
          <c:idx val="14"/>
          <c:order val="14"/>
          <c:tx>
            <c:strRef>
              <c:f>'Ej. 4'!$AE$6</c:f>
              <c:strCache>
                <c:ptCount val="1"/>
                <c:pt idx="0">
                  <c:v>14</c:v>
                </c:pt>
              </c:strCache>
            </c:strRef>
          </c:tx>
          <c:spPr>
            <a:ln w="6350" cap="flat" cmpd="sng" algn="ctr">
              <a:solidFill>
                <a:schemeClr val="accent5">
                  <a:tint val="96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4'!$AE$7:$AE$35</c15:sqref>
                  </c15:fullRef>
                </c:ext>
              </c:extLst>
              <c:f>'Ej. 4'!$AE$7:$AE$33</c:f>
              <c:numCache>
                <c:formatCode>0.00%</c:formatCode>
                <c:ptCount val="27"/>
                <c:pt idx="0">
                  <c:v>0</c:v>
                </c:pt>
                <c:pt idx="1">
                  <c:v>5.5702917771883291E-2</c:v>
                </c:pt>
                <c:pt idx="2">
                  <c:v>0.10917771883289125</c:v>
                </c:pt>
                <c:pt idx="3">
                  <c:v>0.16042440318302387</c:v>
                </c:pt>
                <c:pt idx="4">
                  <c:v>0.20944297082228117</c:v>
                </c:pt>
                <c:pt idx="5">
                  <c:v>0.25623342175066316</c:v>
                </c:pt>
                <c:pt idx="6">
                  <c:v>0.30079575596816976</c:v>
                </c:pt>
                <c:pt idx="7">
                  <c:v>0.34312997347480101</c:v>
                </c:pt>
                <c:pt idx="8">
                  <c:v>0.38323607427055706</c:v>
                </c:pt>
                <c:pt idx="9">
                  <c:v>0.42111405835543769</c:v>
                </c:pt>
                <c:pt idx="10">
                  <c:v>0.45676392572944297</c:v>
                </c:pt>
                <c:pt idx="11">
                  <c:v>0.49018567639257299</c:v>
                </c:pt>
                <c:pt idx="12">
                  <c:v>0.52137931034482754</c:v>
                </c:pt>
                <c:pt idx="13">
                  <c:v>0.55034482758620695</c:v>
                </c:pt>
                <c:pt idx="14">
                  <c:v>0.57708222811671095</c:v>
                </c:pt>
                <c:pt idx="15">
                  <c:v>0.60159151193633953</c:v>
                </c:pt>
                <c:pt idx="16">
                  <c:v>0.62387267904509291</c:v>
                </c:pt>
                <c:pt idx="17">
                  <c:v>0.64392572944297088</c:v>
                </c:pt>
                <c:pt idx="18">
                  <c:v>0.66175066312997344</c:v>
                </c:pt>
                <c:pt idx="19">
                  <c:v>0.6773474801061008</c:v>
                </c:pt>
                <c:pt idx="20">
                  <c:v>0.69071618037135285</c:v>
                </c:pt>
                <c:pt idx="21">
                  <c:v>0.70185676392572949</c:v>
                </c:pt>
                <c:pt idx="22">
                  <c:v>0.71076923076923071</c:v>
                </c:pt>
                <c:pt idx="23">
                  <c:v>0.71745358090185674</c:v>
                </c:pt>
                <c:pt idx="24">
                  <c:v>0.72190981432360746</c:v>
                </c:pt>
                <c:pt idx="25">
                  <c:v>0.72413793103448276</c:v>
                </c:pt>
                <c:pt idx="26">
                  <c:v>0.72413793103448276</c:v>
                </c:pt>
              </c:numCache>
            </c:numRef>
          </c:val>
          <c:extLst>
            <c:ext xmlns:c16="http://schemas.microsoft.com/office/drawing/2014/chart" uri="{C3380CC4-5D6E-409C-BE32-E72D297353CC}">
              <c16:uniqueId val="{0000000E-0979-4F16-A468-7AD26E5C7827}"/>
            </c:ext>
          </c:extLst>
        </c:ser>
        <c:ser>
          <c:idx val="15"/>
          <c:order val="15"/>
          <c:tx>
            <c:strRef>
              <c:f>'Ej. 4'!$AF$6</c:f>
              <c:strCache>
                <c:ptCount val="1"/>
                <c:pt idx="0">
                  <c:v>15</c:v>
                </c:pt>
              </c:strCache>
            </c:strRef>
          </c:tx>
          <c:spPr>
            <a:ln w="6350" cap="flat" cmpd="sng" algn="ctr">
              <a:solidFill>
                <a:schemeClr val="accent5"/>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4'!$AF$7:$AF$35</c15:sqref>
                  </c15:fullRef>
                </c:ext>
              </c:extLst>
              <c:f>'Ej. 4'!$AF$7:$AF$33</c:f>
              <c:numCache>
                <c:formatCode>0.00%</c:formatCode>
                <c:ptCount val="27"/>
                <c:pt idx="0">
                  <c:v>0</c:v>
                </c:pt>
                <c:pt idx="1">
                  <c:v>5.8355437665782495E-2</c:v>
                </c:pt>
                <c:pt idx="2">
                  <c:v>0.11437665782493368</c:v>
                </c:pt>
                <c:pt idx="3">
                  <c:v>0.16806366047745355</c:v>
                </c:pt>
                <c:pt idx="4">
                  <c:v>0.21941644562334217</c:v>
                </c:pt>
                <c:pt idx="5">
                  <c:v>0.2684350132625995</c:v>
                </c:pt>
                <c:pt idx="6">
                  <c:v>0.31511936339522545</c:v>
                </c:pt>
                <c:pt idx="7">
                  <c:v>0.35946949602122014</c:v>
                </c:pt>
                <c:pt idx="8">
                  <c:v>0.40148541114058356</c:v>
                </c:pt>
                <c:pt idx="9">
                  <c:v>0.44116710875331566</c:v>
                </c:pt>
                <c:pt idx="10">
                  <c:v>0.47851458885941639</c:v>
                </c:pt>
                <c:pt idx="11">
                  <c:v>0.51352785145888591</c:v>
                </c:pt>
                <c:pt idx="12">
                  <c:v>0.54620689655172405</c:v>
                </c:pt>
                <c:pt idx="13">
                  <c:v>0.57655172413793099</c:v>
                </c:pt>
                <c:pt idx="14">
                  <c:v>0.6045623342175066</c:v>
                </c:pt>
                <c:pt idx="15">
                  <c:v>0.6302387267904509</c:v>
                </c:pt>
                <c:pt idx="16">
                  <c:v>0.65358090185676387</c:v>
                </c:pt>
                <c:pt idx="17">
                  <c:v>0.67458885941644564</c:v>
                </c:pt>
                <c:pt idx="18">
                  <c:v>0.69326259946949598</c:v>
                </c:pt>
                <c:pt idx="19">
                  <c:v>0.7096021220159151</c:v>
                </c:pt>
                <c:pt idx="20">
                  <c:v>0.72360742705570291</c:v>
                </c:pt>
                <c:pt idx="21">
                  <c:v>0.7352785145888594</c:v>
                </c:pt>
                <c:pt idx="22">
                  <c:v>0.74461538461538457</c:v>
                </c:pt>
                <c:pt idx="23">
                  <c:v>0.75161803713527842</c:v>
                </c:pt>
                <c:pt idx="24">
                  <c:v>0.75628647214854117</c:v>
                </c:pt>
                <c:pt idx="25">
                  <c:v>0.75862068965517238</c:v>
                </c:pt>
                <c:pt idx="26">
                  <c:v>0.75862068965517238</c:v>
                </c:pt>
              </c:numCache>
            </c:numRef>
          </c:val>
          <c:extLst>
            <c:ext xmlns:c16="http://schemas.microsoft.com/office/drawing/2014/chart" uri="{C3380CC4-5D6E-409C-BE32-E72D297353CC}">
              <c16:uniqueId val="{0000000F-0979-4F16-A468-7AD26E5C7827}"/>
            </c:ext>
          </c:extLst>
        </c:ser>
        <c:ser>
          <c:idx val="16"/>
          <c:order val="16"/>
          <c:tx>
            <c:strRef>
              <c:f>'Ej. 4'!$AG$6</c:f>
              <c:strCache>
                <c:ptCount val="1"/>
                <c:pt idx="0">
                  <c:v>16</c:v>
                </c:pt>
              </c:strCache>
            </c:strRef>
          </c:tx>
          <c:spPr>
            <a:ln w="6350" cap="flat" cmpd="sng" algn="ctr">
              <a:solidFill>
                <a:schemeClr val="accent5">
                  <a:shade val="95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4'!$AG$7:$AG$35</c15:sqref>
                  </c15:fullRef>
                </c:ext>
              </c:extLst>
              <c:f>'Ej. 4'!$AG$7:$AG$33</c:f>
              <c:numCache>
                <c:formatCode>0.00%</c:formatCode>
                <c:ptCount val="27"/>
                <c:pt idx="0">
                  <c:v>0</c:v>
                </c:pt>
                <c:pt idx="1">
                  <c:v>6.0831122900088422E-2</c:v>
                </c:pt>
                <c:pt idx="2">
                  <c:v>0.11922900088417329</c:v>
                </c:pt>
                <c:pt idx="3">
                  <c:v>0.17519363395225462</c:v>
                </c:pt>
                <c:pt idx="4">
                  <c:v>0.22872502210433246</c:v>
                </c:pt>
                <c:pt idx="5">
                  <c:v>0.27982316534040674</c:v>
                </c:pt>
                <c:pt idx="6">
                  <c:v>0.32848806366047745</c:v>
                </c:pt>
                <c:pt idx="7">
                  <c:v>0.3747197170645446</c:v>
                </c:pt>
                <c:pt idx="8">
                  <c:v>0.41851812555260837</c:v>
                </c:pt>
                <c:pt idx="9">
                  <c:v>0.45988328912466847</c:v>
                </c:pt>
                <c:pt idx="10">
                  <c:v>0.49881520778072502</c:v>
                </c:pt>
                <c:pt idx="11">
                  <c:v>0.53531388152077808</c:v>
                </c:pt>
                <c:pt idx="12">
                  <c:v>0.56937931034482758</c:v>
                </c:pt>
                <c:pt idx="13">
                  <c:v>0.60101149425287359</c:v>
                </c:pt>
                <c:pt idx="14">
                  <c:v>0.63021043324491599</c:v>
                </c:pt>
                <c:pt idx="15">
                  <c:v>0.65697612732095489</c:v>
                </c:pt>
                <c:pt idx="16">
                  <c:v>0.6813085764809903</c:v>
                </c:pt>
                <c:pt idx="17">
                  <c:v>0.7032077807250221</c:v>
                </c:pt>
                <c:pt idx="18">
                  <c:v>0.72267374005305041</c:v>
                </c:pt>
                <c:pt idx="19">
                  <c:v>0.7397064544650751</c:v>
                </c:pt>
                <c:pt idx="20">
                  <c:v>0.75430592396109641</c:v>
                </c:pt>
                <c:pt idx="21">
                  <c:v>0.76647214854111401</c:v>
                </c:pt>
                <c:pt idx="22">
                  <c:v>0.7762051282051281</c:v>
                </c:pt>
                <c:pt idx="23">
                  <c:v>0.78350486295313881</c:v>
                </c:pt>
                <c:pt idx="24">
                  <c:v>0.78837135278514592</c:v>
                </c:pt>
                <c:pt idx="25">
                  <c:v>0.79080459770114941</c:v>
                </c:pt>
                <c:pt idx="26">
                  <c:v>0.79080459770114941</c:v>
                </c:pt>
              </c:numCache>
            </c:numRef>
          </c:val>
          <c:extLst>
            <c:ext xmlns:c16="http://schemas.microsoft.com/office/drawing/2014/chart" uri="{C3380CC4-5D6E-409C-BE32-E72D297353CC}">
              <c16:uniqueId val="{00000010-0979-4F16-A468-7AD26E5C7827}"/>
            </c:ext>
          </c:extLst>
        </c:ser>
        <c:ser>
          <c:idx val="17"/>
          <c:order val="17"/>
          <c:tx>
            <c:strRef>
              <c:f>'Ej. 4'!$AH$6</c:f>
              <c:strCache>
                <c:ptCount val="1"/>
                <c:pt idx="0">
                  <c:v>17</c:v>
                </c:pt>
              </c:strCache>
            </c:strRef>
          </c:tx>
          <c:spPr>
            <a:ln w="6350" cap="flat" cmpd="sng" algn="ctr">
              <a:solidFill>
                <a:schemeClr val="accent5">
                  <a:shade val="91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4'!$AH$7:$AH$35</c15:sqref>
                  </c15:fullRef>
                </c:ext>
              </c:extLst>
              <c:f>'Ej. 4'!$AH$7:$AH$33</c:f>
              <c:numCache>
                <c:formatCode>0.00%</c:formatCode>
                <c:ptCount val="27"/>
                <c:pt idx="0">
                  <c:v>0</c:v>
                </c:pt>
                <c:pt idx="1">
                  <c:v>6.3129973474801065E-2</c:v>
                </c:pt>
                <c:pt idx="2">
                  <c:v>0.12373474801061007</c:v>
                </c:pt>
                <c:pt idx="3">
                  <c:v>0.18181432360742703</c:v>
                </c:pt>
                <c:pt idx="4">
                  <c:v>0.23736870026525198</c:v>
                </c:pt>
                <c:pt idx="5">
                  <c:v>0.2903978779840849</c:v>
                </c:pt>
                <c:pt idx="6">
                  <c:v>0.34090185676392576</c:v>
                </c:pt>
                <c:pt idx="7">
                  <c:v>0.38888063660477451</c:v>
                </c:pt>
                <c:pt idx="8">
                  <c:v>0.43433421750663131</c:v>
                </c:pt>
                <c:pt idx="9">
                  <c:v>0.47726259946949601</c:v>
                </c:pt>
                <c:pt idx="10">
                  <c:v>0.5176657824933687</c:v>
                </c:pt>
                <c:pt idx="11">
                  <c:v>0.55554376657824933</c:v>
                </c:pt>
                <c:pt idx="12">
                  <c:v>0.59089655172413791</c:v>
                </c:pt>
                <c:pt idx="13">
                  <c:v>0.62372413793103443</c:v>
                </c:pt>
                <c:pt idx="14">
                  <c:v>0.654026525198939</c:v>
                </c:pt>
                <c:pt idx="15">
                  <c:v>0.68180371352785141</c:v>
                </c:pt>
                <c:pt idx="16">
                  <c:v>0.70705570291777187</c:v>
                </c:pt>
                <c:pt idx="17">
                  <c:v>0.72978249336870027</c:v>
                </c:pt>
                <c:pt idx="18">
                  <c:v>0.74998408488063661</c:v>
                </c:pt>
                <c:pt idx="19">
                  <c:v>0.7676604774535809</c:v>
                </c:pt>
                <c:pt idx="20">
                  <c:v>0.78281167108753313</c:v>
                </c:pt>
                <c:pt idx="21">
                  <c:v>0.79543766578249331</c:v>
                </c:pt>
                <c:pt idx="22">
                  <c:v>0.80553846153846143</c:v>
                </c:pt>
                <c:pt idx="23">
                  <c:v>0.8131140583554376</c:v>
                </c:pt>
                <c:pt idx="24">
                  <c:v>0.81816445623342182</c:v>
                </c:pt>
                <c:pt idx="25">
                  <c:v>0.82068965517241377</c:v>
                </c:pt>
                <c:pt idx="26">
                  <c:v>0.82068965517241377</c:v>
                </c:pt>
              </c:numCache>
            </c:numRef>
          </c:val>
          <c:extLst>
            <c:ext xmlns:c16="http://schemas.microsoft.com/office/drawing/2014/chart" uri="{C3380CC4-5D6E-409C-BE32-E72D297353CC}">
              <c16:uniqueId val="{00000011-0979-4F16-A468-7AD26E5C7827}"/>
            </c:ext>
          </c:extLst>
        </c:ser>
        <c:ser>
          <c:idx val="18"/>
          <c:order val="18"/>
          <c:tx>
            <c:strRef>
              <c:f>'Ej. 4'!$AI$6</c:f>
              <c:strCache>
                <c:ptCount val="1"/>
                <c:pt idx="0">
                  <c:v>18</c:v>
                </c:pt>
              </c:strCache>
            </c:strRef>
          </c:tx>
          <c:spPr>
            <a:ln w="6350" cap="flat" cmpd="sng" algn="ctr">
              <a:solidFill>
                <a:schemeClr val="accent5">
                  <a:shade val="86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4'!$AI$7:$AI$35</c15:sqref>
                  </c15:fullRef>
                </c:ext>
              </c:extLst>
              <c:f>'Ej. 4'!$AI$7:$AI$33</c:f>
              <c:numCache>
                <c:formatCode>0.00%</c:formatCode>
                <c:ptCount val="27"/>
                <c:pt idx="0">
                  <c:v>0</c:v>
                </c:pt>
                <c:pt idx="1">
                  <c:v>6.5251989389920426E-2</c:v>
                </c:pt>
                <c:pt idx="2">
                  <c:v>0.12789389920424404</c:v>
                </c:pt>
                <c:pt idx="3">
                  <c:v>0.18792572944297081</c:v>
                </c:pt>
                <c:pt idx="4">
                  <c:v>0.2453474801061008</c:v>
                </c:pt>
                <c:pt idx="5">
                  <c:v>0.30015915119363396</c:v>
                </c:pt>
                <c:pt idx="6">
                  <c:v>0.35236074270557033</c:v>
                </c:pt>
                <c:pt idx="7">
                  <c:v>0.40195225464190981</c:v>
                </c:pt>
                <c:pt idx="8">
                  <c:v>0.44893368700265257</c:v>
                </c:pt>
                <c:pt idx="9">
                  <c:v>0.49330503978779844</c:v>
                </c:pt>
                <c:pt idx="10">
                  <c:v>0.53506631299734753</c:v>
                </c:pt>
                <c:pt idx="11">
                  <c:v>0.57421750663129978</c:v>
                </c:pt>
                <c:pt idx="12">
                  <c:v>0.61075862068965514</c:v>
                </c:pt>
                <c:pt idx="13">
                  <c:v>0.64468965517241383</c:v>
                </c:pt>
                <c:pt idx="14">
                  <c:v>0.67601061007957564</c:v>
                </c:pt>
                <c:pt idx="15">
                  <c:v>0.70472148541114055</c:v>
                </c:pt>
                <c:pt idx="16">
                  <c:v>0.73082228116710879</c:v>
                </c:pt>
                <c:pt idx="17">
                  <c:v>0.75431299734748014</c:v>
                </c:pt>
                <c:pt idx="18">
                  <c:v>0.77519363395225471</c:v>
                </c:pt>
                <c:pt idx="19">
                  <c:v>0.79346419098143239</c:v>
                </c:pt>
                <c:pt idx="20">
                  <c:v>0.80912466843501329</c:v>
                </c:pt>
                <c:pt idx="21">
                  <c:v>0.82217506631299742</c:v>
                </c:pt>
                <c:pt idx="22">
                  <c:v>0.83261538461538454</c:v>
                </c:pt>
                <c:pt idx="23">
                  <c:v>0.8404456233421751</c:v>
                </c:pt>
                <c:pt idx="24">
                  <c:v>0.84566578249336877</c:v>
                </c:pt>
                <c:pt idx="25">
                  <c:v>0.84827586206896555</c:v>
                </c:pt>
                <c:pt idx="26">
                  <c:v>0.84827586206896555</c:v>
                </c:pt>
              </c:numCache>
            </c:numRef>
          </c:val>
          <c:extLst>
            <c:ext xmlns:c16="http://schemas.microsoft.com/office/drawing/2014/chart" uri="{C3380CC4-5D6E-409C-BE32-E72D297353CC}">
              <c16:uniqueId val="{00000012-0979-4F16-A468-7AD26E5C7827}"/>
            </c:ext>
          </c:extLst>
        </c:ser>
        <c:ser>
          <c:idx val="19"/>
          <c:order val="19"/>
          <c:tx>
            <c:strRef>
              <c:f>'Ej. 4'!$AJ$6</c:f>
              <c:strCache>
                <c:ptCount val="1"/>
                <c:pt idx="0">
                  <c:v>19</c:v>
                </c:pt>
              </c:strCache>
            </c:strRef>
          </c:tx>
          <c:spPr>
            <a:ln w="6350" cap="flat" cmpd="sng" algn="ctr">
              <a:solidFill>
                <a:schemeClr val="accent5">
                  <a:shade val="82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4'!$AJ$7:$AJ$35</c15:sqref>
                  </c15:fullRef>
                </c:ext>
              </c:extLst>
              <c:f>'Ej. 4'!$AJ$7:$AJ$33</c:f>
              <c:numCache>
                <c:formatCode>0.00%</c:formatCode>
                <c:ptCount val="27"/>
                <c:pt idx="0">
                  <c:v>0</c:v>
                </c:pt>
                <c:pt idx="1">
                  <c:v>6.7197170645446502E-2</c:v>
                </c:pt>
                <c:pt idx="2">
                  <c:v>0.13170645446507515</c:v>
                </c:pt>
                <c:pt idx="3">
                  <c:v>0.1935278514588859</c:v>
                </c:pt>
                <c:pt idx="4">
                  <c:v>0.25266136162687886</c:v>
                </c:pt>
                <c:pt idx="5">
                  <c:v>0.30910698496905392</c:v>
                </c:pt>
                <c:pt idx="6">
                  <c:v>0.36286472148541116</c:v>
                </c:pt>
                <c:pt idx="7">
                  <c:v>0.41393457117595039</c:v>
                </c:pt>
                <c:pt idx="8">
                  <c:v>0.46231653404067197</c:v>
                </c:pt>
                <c:pt idx="9">
                  <c:v>0.5080106100795756</c:v>
                </c:pt>
                <c:pt idx="10">
                  <c:v>0.55101679929266134</c:v>
                </c:pt>
                <c:pt idx="11">
                  <c:v>0.5913351016799292</c:v>
                </c:pt>
                <c:pt idx="12">
                  <c:v>0.62896551724137928</c:v>
                </c:pt>
                <c:pt idx="13">
                  <c:v>0.66390804597701147</c:v>
                </c:pt>
                <c:pt idx="14">
                  <c:v>0.69616268788682578</c:v>
                </c:pt>
                <c:pt idx="15">
                  <c:v>0.7257294429708222</c:v>
                </c:pt>
                <c:pt idx="16">
                  <c:v>0.75260831122900085</c:v>
                </c:pt>
                <c:pt idx="17">
                  <c:v>0.77679929266136161</c:v>
                </c:pt>
                <c:pt idx="18">
                  <c:v>0.79830238726790448</c:v>
                </c:pt>
                <c:pt idx="19">
                  <c:v>0.81711759504862946</c:v>
                </c:pt>
                <c:pt idx="20">
                  <c:v>0.83324491600353667</c:v>
                </c:pt>
                <c:pt idx="21">
                  <c:v>0.84668435013262588</c:v>
                </c:pt>
                <c:pt idx="22">
                  <c:v>0.85743589743589732</c:v>
                </c:pt>
                <c:pt idx="23">
                  <c:v>0.86549955791335087</c:v>
                </c:pt>
                <c:pt idx="24">
                  <c:v>0.87087533156498675</c:v>
                </c:pt>
                <c:pt idx="25">
                  <c:v>0.87356321839080453</c:v>
                </c:pt>
                <c:pt idx="26">
                  <c:v>0.87356321839080453</c:v>
                </c:pt>
              </c:numCache>
            </c:numRef>
          </c:val>
          <c:extLst>
            <c:ext xmlns:c16="http://schemas.microsoft.com/office/drawing/2014/chart" uri="{C3380CC4-5D6E-409C-BE32-E72D297353CC}">
              <c16:uniqueId val="{00000013-0979-4F16-A468-7AD26E5C7827}"/>
            </c:ext>
          </c:extLst>
        </c:ser>
        <c:ser>
          <c:idx val="20"/>
          <c:order val="20"/>
          <c:tx>
            <c:strRef>
              <c:f>'Ej. 4'!$AK$6</c:f>
              <c:strCache>
                <c:ptCount val="1"/>
                <c:pt idx="0">
                  <c:v>20</c:v>
                </c:pt>
              </c:strCache>
            </c:strRef>
          </c:tx>
          <c:spPr>
            <a:ln w="6350" cap="flat" cmpd="sng" algn="ctr">
              <a:solidFill>
                <a:schemeClr val="accent5">
                  <a:shade val="78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4'!$AK$7:$AK$35</c15:sqref>
                  </c15:fullRef>
                </c:ext>
              </c:extLst>
              <c:f>'Ej. 4'!$AK$7:$AK$33</c:f>
              <c:numCache>
                <c:formatCode>0.00%</c:formatCode>
                <c:ptCount val="27"/>
                <c:pt idx="0">
                  <c:v>0</c:v>
                </c:pt>
                <c:pt idx="1">
                  <c:v>6.8965517241379309E-2</c:v>
                </c:pt>
                <c:pt idx="2">
                  <c:v>0.13517241379310344</c:v>
                </c:pt>
                <c:pt idx="3">
                  <c:v>0.19862068965517241</c:v>
                </c:pt>
                <c:pt idx="4">
                  <c:v>0.25931034482758619</c:v>
                </c:pt>
                <c:pt idx="5">
                  <c:v>0.31724137931034485</c:v>
                </c:pt>
                <c:pt idx="6">
                  <c:v>0.3724137931034483</c:v>
                </c:pt>
                <c:pt idx="7">
                  <c:v>0.42482758620689653</c:v>
                </c:pt>
                <c:pt idx="8">
                  <c:v>0.47448275862068973</c:v>
                </c:pt>
                <c:pt idx="9">
                  <c:v>0.52137931034482765</c:v>
                </c:pt>
                <c:pt idx="10">
                  <c:v>0.56551724137931036</c:v>
                </c:pt>
                <c:pt idx="11">
                  <c:v>0.60689655172413792</c:v>
                </c:pt>
                <c:pt idx="12">
                  <c:v>0.64551724137931032</c:v>
                </c:pt>
                <c:pt idx="13">
                  <c:v>0.68137931034482757</c:v>
                </c:pt>
                <c:pt idx="14">
                  <c:v>0.71448275862068966</c:v>
                </c:pt>
                <c:pt idx="15">
                  <c:v>0.74482758620689649</c:v>
                </c:pt>
                <c:pt idx="16">
                  <c:v>0.77241379310344838</c:v>
                </c:pt>
                <c:pt idx="17">
                  <c:v>0.79724137931034489</c:v>
                </c:pt>
                <c:pt idx="18">
                  <c:v>0.81931034482758625</c:v>
                </c:pt>
                <c:pt idx="19">
                  <c:v>0.83862068965517245</c:v>
                </c:pt>
                <c:pt idx="20">
                  <c:v>0.85517241379310349</c:v>
                </c:pt>
                <c:pt idx="21">
                  <c:v>0.86896551724137927</c:v>
                </c:pt>
                <c:pt idx="22">
                  <c:v>0.88</c:v>
                </c:pt>
                <c:pt idx="23">
                  <c:v>0.88827586206896547</c:v>
                </c:pt>
                <c:pt idx="24">
                  <c:v>0.89379310344827601</c:v>
                </c:pt>
                <c:pt idx="25">
                  <c:v>0.89655172413793105</c:v>
                </c:pt>
                <c:pt idx="26">
                  <c:v>0.89655172413793105</c:v>
                </c:pt>
              </c:numCache>
            </c:numRef>
          </c:val>
          <c:extLst>
            <c:ext xmlns:c16="http://schemas.microsoft.com/office/drawing/2014/chart" uri="{C3380CC4-5D6E-409C-BE32-E72D297353CC}">
              <c16:uniqueId val="{00000014-0979-4F16-A468-7AD26E5C7827}"/>
            </c:ext>
          </c:extLst>
        </c:ser>
        <c:ser>
          <c:idx val="21"/>
          <c:order val="21"/>
          <c:tx>
            <c:strRef>
              <c:f>'Ej. 4'!$AL$6</c:f>
              <c:strCache>
                <c:ptCount val="1"/>
                <c:pt idx="0">
                  <c:v>21</c:v>
                </c:pt>
              </c:strCache>
            </c:strRef>
          </c:tx>
          <c:spPr>
            <a:ln w="6350" cap="flat" cmpd="sng" algn="ctr">
              <a:solidFill>
                <a:schemeClr val="accent5">
                  <a:shade val="73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4'!$AL$7:$AL$35</c15:sqref>
                  </c15:fullRef>
                </c:ext>
              </c:extLst>
              <c:f>'Ej. 4'!$AL$7:$AL$33</c:f>
              <c:numCache>
                <c:formatCode>0.00%</c:formatCode>
                <c:ptCount val="27"/>
                <c:pt idx="0">
                  <c:v>0</c:v>
                </c:pt>
                <c:pt idx="1">
                  <c:v>7.0557029177718833E-2</c:v>
                </c:pt>
                <c:pt idx="2">
                  <c:v>0.13829177718832891</c:v>
                </c:pt>
                <c:pt idx="3">
                  <c:v>0.20320424403183021</c:v>
                </c:pt>
                <c:pt idx="4">
                  <c:v>0.26529442970822281</c:v>
                </c:pt>
                <c:pt idx="5">
                  <c:v>0.32456233421750663</c:v>
                </c:pt>
                <c:pt idx="6">
                  <c:v>0.3810079575596817</c:v>
                </c:pt>
                <c:pt idx="7">
                  <c:v>0.43463129973474796</c:v>
                </c:pt>
                <c:pt idx="8">
                  <c:v>0.48543236074270557</c:v>
                </c:pt>
                <c:pt idx="9">
                  <c:v>0.53341114058355432</c:v>
                </c:pt>
                <c:pt idx="10">
                  <c:v>0.57856763925729437</c:v>
                </c:pt>
                <c:pt idx="11">
                  <c:v>0.62090185676392573</c:v>
                </c:pt>
                <c:pt idx="12">
                  <c:v>0.66041379310344817</c:v>
                </c:pt>
                <c:pt idx="13">
                  <c:v>0.69710344827586201</c:v>
                </c:pt>
                <c:pt idx="14">
                  <c:v>0.73097082228116705</c:v>
                </c:pt>
                <c:pt idx="15">
                  <c:v>0.76201591511936329</c:v>
                </c:pt>
                <c:pt idx="16">
                  <c:v>0.79023872679045093</c:v>
                </c:pt>
                <c:pt idx="17">
                  <c:v>0.81563925729442965</c:v>
                </c:pt>
                <c:pt idx="18">
                  <c:v>0.83821750663129968</c:v>
                </c:pt>
                <c:pt idx="19">
                  <c:v>0.8579734748010609</c:v>
                </c:pt>
                <c:pt idx="20">
                  <c:v>0.87490716180371353</c:v>
                </c:pt>
                <c:pt idx="21">
                  <c:v>0.88901856763925724</c:v>
                </c:pt>
                <c:pt idx="22">
                  <c:v>0.90030769230769214</c:v>
                </c:pt>
                <c:pt idx="23">
                  <c:v>0.90877453580901846</c:v>
                </c:pt>
                <c:pt idx="24">
                  <c:v>0.91441909814323608</c:v>
                </c:pt>
                <c:pt idx="25">
                  <c:v>0.91724137931034477</c:v>
                </c:pt>
                <c:pt idx="26">
                  <c:v>0.91724137931034477</c:v>
                </c:pt>
              </c:numCache>
            </c:numRef>
          </c:val>
          <c:extLst>
            <c:ext xmlns:c16="http://schemas.microsoft.com/office/drawing/2014/chart" uri="{C3380CC4-5D6E-409C-BE32-E72D297353CC}">
              <c16:uniqueId val="{00000015-0979-4F16-A468-7AD26E5C7827}"/>
            </c:ext>
          </c:extLst>
        </c:ser>
        <c:ser>
          <c:idx val="22"/>
          <c:order val="22"/>
          <c:tx>
            <c:strRef>
              <c:f>'Ej. 4'!$AM$6</c:f>
              <c:strCache>
                <c:ptCount val="1"/>
                <c:pt idx="0">
                  <c:v>22</c:v>
                </c:pt>
              </c:strCache>
            </c:strRef>
          </c:tx>
          <c:spPr>
            <a:ln w="6350" cap="flat" cmpd="sng" algn="ctr">
              <a:solidFill>
                <a:schemeClr val="accent5">
                  <a:shade val="69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4'!$AM$7:$AM$35</c15:sqref>
                  </c15:fullRef>
                </c:ext>
              </c:extLst>
              <c:f>'Ej. 4'!$AM$7:$AM$33</c:f>
              <c:numCache>
                <c:formatCode>0.00%</c:formatCode>
                <c:ptCount val="27"/>
                <c:pt idx="0">
                  <c:v>0</c:v>
                </c:pt>
                <c:pt idx="1">
                  <c:v>7.1971706454465073E-2</c:v>
                </c:pt>
                <c:pt idx="2">
                  <c:v>0.14106454465075155</c:v>
                </c:pt>
                <c:pt idx="3">
                  <c:v>0.20727851458885937</c:v>
                </c:pt>
                <c:pt idx="4">
                  <c:v>0.27061361626878866</c:v>
                </c:pt>
                <c:pt idx="5">
                  <c:v>0.33106984969053932</c:v>
                </c:pt>
                <c:pt idx="6">
                  <c:v>0.38864721485411141</c:v>
                </c:pt>
                <c:pt idx="7">
                  <c:v>0.44334571175950482</c:v>
                </c:pt>
                <c:pt idx="8">
                  <c:v>0.49516534040671972</c:v>
                </c:pt>
                <c:pt idx="9">
                  <c:v>0.54410610079575594</c:v>
                </c:pt>
                <c:pt idx="10">
                  <c:v>0.59016799292661359</c:v>
                </c:pt>
                <c:pt idx="11">
                  <c:v>0.63335101679929262</c:v>
                </c:pt>
                <c:pt idx="12">
                  <c:v>0.67365517241379302</c:v>
                </c:pt>
                <c:pt idx="13">
                  <c:v>0.71108045977011491</c:v>
                </c:pt>
                <c:pt idx="14">
                  <c:v>0.74562687886825818</c:v>
                </c:pt>
                <c:pt idx="15">
                  <c:v>0.77729442970822271</c:v>
                </c:pt>
                <c:pt idx="16">
                  <c:v>0.80608311229000884</c:v>
                </c:pt>
                <c:pt idx="17">
                  <c:v>0.83199292661361623</c:v>
                </c:pt>
                <c:pt idx="18">
                  <c:v>0.85502387267904501</c:v>
                </c:pt>
                <c:pt idx="19">
                  <c:v>0.87517595048629526</c:v>
                </c:pt>
                <c:pt idx="20">
                  <c:v>0.8924491600353669</c:v>
                </c:pt>
                <c:pt idx="21">
                  <c:v>0.9068435013262599</c:v>
                </c:pt>
                <c:pt idx="22">
                  <c:v>0.91835897435897429</c:v>
                </c:pt>
                <c:pt idx="23">
                  <c:v>0.92699557913351005</c:v>
                </c:pt>
                <c:pt idx="24">
                  <c:v>0.93275331564986741</c:v>
                </c:pt>
                <c:pt idx="25">
                  <c:v>0.93563218390804592</c:v>
                </c:pt>
                <c:pt idx="26">
                  <c:v>0.93563218390804592</c:v>
                </c:pt>
              </c:numCache>
            </c:numRef>
          </c:val>
          <c:extLst>
            <c:ext xmlns:c16="http://schemas.microsoft.com/office/drawing/2014/chart" uri="{C3380CC4-5D6E-409C-BE32-E72D297353CC}">
              <c16:uniqueId val="{00000016-0979-4F16-A468-7AD26E5C7827}"/>
            </c:ext>
          </c:extLst>
        </c:ser>
        <c:ser>
          <c:idx val="23"/>
          <c:order val="23"/>
          <c:tx>
            <c:strRef>
              <c:f>'Ej. 4'!$AN$6</c:f>
              <c:strCache>
                <c:ptCount val="1"/>
                <c:pt idx="0">
                  <c:v>23</c:v>
                </c:pt>
              </c:strCache>
            </c:strRef>
          </c:tx>
          <c:spPr>
            <a:ln w="6350" cap="flat" cmpd="sng" algn="ctr">
              <a:solidFill>
                <a:schemeClr val="accent5">
                  <a:shade val="65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4'!$AN$7:$AN$35</c15:sqref>
                  </c15:fullRef>
                </c:ext>
              </c:extLst>
              <c:f>'Ej. 4'!$AN$7:$AN$33</c:f>
              <c:numCache>
                <c:formatCode>0.00%</c:formatCode>
                <c:ptCount val="27"/>
                <c:pt idx="0">
                  <c:v>0</c:v>
                </c:pt>
                <c:pt idx="1">
                  <c:v>7.3209549071618057E-2</c:v>
                </c:pt>
                <c:pt idx="2">
                  <c:v>0.14349071618037137</c:v>
                </c:pt>
                <c:pt idx="3">
                  <c:v>0.21084350132625995</c:v>
                </c:pt>
                <c:pt idx="4">
                  <c:v>0.27526790450928385</c:v>
                </c:pt>
                <c:pt idx="5">
                  <c:v>0.33676392572944303</c:v>
                </c:pt>
                <c:pt idx="6">
                  <c:v>0.39533156498673749</c:v>
                </c:pt>
                <c:pt idx="7">
                  <c:v>0.45097082228116714</c:v>
                </c:pt>
                <c:pt idx="8">
                  <c:v>0.50368169761273218</c:v>
                </c:pt>
                <c:pt idx="9">
                  <c:v>0.5534641909814324</c:v>
                </c:pt>
                <c:pt idx="10">
                  <c:v>0.60031830238726791</c:v>
                </c:pt>
                <c:pt idx="11">
                  <c:v>0.64424403183023882</c:v>
                </c:pt>
                <c:pt idx="12">
                  <c:v>0.6852413793103449</c:v>
                </c:pt>
                <c:pt idx="13">
                  <c:v>0.72331034482758627</c:v>
                </c:pt>
                <c:pt idx="14">
                  <c:v>0.75845092838196304</c:v>
                </c:pt>
                <c:pt idx="15">
                  <c:v>0.79066312997347488</c:v>
                </c:pt>
                <c:pt idx="16">
                  <c:v>0.81994694960212222</c:v>
                </c:pt>
                <c:pt idx="17">
                  <c:v>0.84630238726790463</c:v>
                </c:pt>
                <c:pt idx="18">
                  <c:v>0.86972944297082244</c:v>
                </c:pt>
                <c:pt idx="19">
                  <c:v>0.89022811671087543</c:v>
                </c:pt>
                <c:pt idx="20">
                  <c:v>0.90779840848806381</c:v>
                </c:pt>
                <c:pt idx="21">
                  <c:v>0.92244031830238737</c:v>
                </c:pt>
                <c:pt idx="22">
                  <c:v>0.93415384615384622</c:v>
                </c:pt>
                <c:pt idx="23">
                  <c:v>0.94293899204244036</c:v>
                </c:pt>
                <c:pt idx="24">
                  <c:v>0.94879575596817001</c:v>
                </c:pt>
                <c:pt idx="25">
                  <c:v>0.95172413793103461</c:v>
                </c:pt>
                <c:pt idx="26">
                  <c:v>0.95172413793103461</c:v>
                </c:pt>
              </c:numCache>
            </c:numRef>
          </c:val>
          <c:extLst>
            <c:ext xmlns:c16="http://schemas.microsoft.com/office/drawing/2014/chart" uri="{C3380CC4-5D6E-409C-BE32-E72D297353CC}">
              <c16:uniqueId val="{00000017-0979-4F16-A468-7AD26E5C7827}"/>
            </c:ext>
          </c:extLst>
        </c:ser>
        <c:ser>
          <c:idx val="24"/>
          <c:order val="24"/>
          <c:tx>
            <c:strRef>
              <c:f>'Ej. 4'!$AO$6</c:f>
              <c:strCache>
                <c:ptCount val="1"/>
                <c:pt idx="0">
                  <c:v>24</c:v>
                </c:pt>
              </c:strCache>
            </c:strRef>
          </c:tx>
          <c:spPr>
            <a:ln w="6350" cap="flat" cmpd="sng" algn="ctr">
              <a:solidFill>
                <a:schemeClr val="accent5">
                  <a:shade val="60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4'!$AO$7:$AO$35</c15:sqref>
                  </c15:fullRef>
                </c:ext>
              </c:extLst>
              <c:f>'Ej. 4'!$AO$7:$AO$33</c:f>
              <c:numCache>
                <c:formatCode>0.00%</c:formatCode>
                <c:ptCount val="27"/>
                <c:pt idx="0">
                  <c:v>0</c:v>
                </c:pt>
                <c:pt idx="1">
                  <c:v>7.4270557029177731E-2</c:v>
                </c:pt>
                <c:pt idx="2">
                  <c:v>0.14557029177718833</c:v>
                </c:pt>
                <c:pt idx="3">
                  <c:v>0.21389920424403183</c:v>
                </c:pt>
                <c:pt idx="4">
                  <c:v>0.27925729442970826</c:v>
                </c:pt>
                <c:pt idx="5">
                  <c:v>0.34164456233421753</c:v>
                </c:pt>
                <c:pt idx="6">
                  <c:v>0.40106100795755972</c:v>
                </c:pt>
                <c:pt idx="7">
                  <c:v>0.45750663129973473</c:v>
                </c:pt>
                <c:pt idx="8">
                  <c:v>0.51098143236074278</c:v>
                </c:pt>
                <c:pt idx="9">
                  <c:v>0.56148541114058359</c:v>
                </c:pt>
                <c:pt idx="10">
                  <c:v>0.60901856763925732</c:v>
                </c:pt>
                <c:pt idx="11">
                  <c:v>0.65358090185676398</c:v>
                </c:pt>
                <c:pt idx="12">
                  <c:v>0.69517241379310346</c:v>
                </c:pt>
                <c:pt idx="13">
                  <c:v>0.73379310344827586</c:v>
                </c:pt>
                <c:pt idx="14">
                  <c:v>0.76944297082228119</c:v>
                </c:pt>
                <c:pt idx="15">
                  <c:v>0.80212201591511934</c:v>
                </c:pt>
                <c:pt idx="16">
                  <c:v>0.83183023872679052</c:v>
                </c:pt>
                <c:pt idx="17">
                  <c:v>0.85856763925729451</c:v>
                </c:pt>
                <c:pt idx="18">
                  <c:v>0.88233421750663132</c:v>
                </c:pt>
                <c:pt idx="19">
                  <c:v>0.90312997347480106</c:v>
                </c:pt>
                <c:pt idx="20">
                  <c:v>0.92095490716180384</c:v>
                </c:pt>
                <c:pt idx="21">
                  <c:v>0.93580901856763932</c:v>
                </c:pt>
                <c:pt idx="22">
                  <c:v>0.94769230769230772</c:v>
                </c:pt>
                <c:pt idx="23">
                  <c:v>0.95660477453580905</c:v>
                </c:pt>
                <c:pt idx="24">
                  <c:v>0.96254641909814342</c:v>
                </c:pt>
                <c:pt idx="25">
                  <c:v>0.96551724137931039</c:v>
                </c:pt>
                <c:pt idx="26">
                  <c:v>0.96551724137931039</c:v>
                </c:pt>
              </c:numCache>
            </c:numRef>
          </c:val>
          <c:extLst>
            <c:ext xmlns:c16="http://schemas.microsoft.com/office/drawing/2014/chart" uri="{C3380CC4-5D6E-409C-BE32-E72D297353CC}">
              <c16:uniqueId val="{00000018-0979-4F16-A468-7AD26E5C7827}"/>
            </c:ext>
          </c:extLst>
        </c:ser>
        <c:ser>
          <c:idx val="25"/>
          <c:order val="25"/>
          <c:tx>
            <c:strRef>
              <c:f>'Ej. 4'!$AP$6</c:f>
              <c:strCache>
                <c:ptCount val="1"/>
                <c:pt idx="0">
                  <c:v>25</c:v>
                </c:pt>
              </c:strCache>
            </c:strRef>
          </c:tx>
          <c:spPr>
            <a:ln w="6350" cap="flat" cmpd="sng" algn="ctr">
              <a:solidFill>
                <a:schemeClr val="accent5">
                  <a:shade val="56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4'!$AP$7:$AP$35</c15:sqref>
                  </c15:fullRef>
                </c:ext>
              </c:extLst>
              <c:f>'Ej. 4'!$AP$7:$AP$33</c:f>
              <c:numCache>
                <c:formatCode>0.00%</c:formatCode>
                <c:ptCount val="27"/>
                <c:pt idx="0">
                  <c:v>0</c:v>
                </c:pt>
                <c:pt idx="1">
                  <c:v>7.515473032714412E-2</c:v>
                </c:pt>
                <c:pt idx="2">
                  <c:v>0.14730327144120248</c:v>
                </c:pt>
                <c:pt idx="3">
                  <c:v>0.21644562334217504</c:v>
                </c:pt>
                <c:pt idx="4">
                  <c:v>0.2825817860300619</c:v>
                </c:pt>
                <c:pt idx="5">
                  <c:v>0.34571175950486299</c:v>
                </c:pt>
                <c:pt idx="6">
                  <c:v>0.40583554376657827</c:v>
                </c:pt>
                <c:pt idx="7">
                  <c:v>0.46295313881520778</c:v>
                </c:pt>
                <c:pt idx="8">
                  <c:v>0.51706454465075158</c:v>
                </c:pt>
                <c:pt idx="9">
                  <c:v>0.56816976127320962</c:v>
                </c:pt>
                <c:pt idx="10">
                  <c:v>0.61626878868258184</c:v>
                </c:pt>
                <c:pt idx="11">
                  <c:v>0.66136162687886835</c:v>
                </c:pt>
                <c:pt idx="12">
                  <c:v>0.70344827586206893</c:v>
                </c:pt>
                <c:pt idx="13">
                  <c:v>0.74252873563218391</c:v>
                </c:pt>
                <c:pt idx="14">
                  <c:v>0.77860300618921319</c:v>
                </c:pt>
                <c:pt idx="15">
                  <c:v>0.81167108753315642</c:v>
                </c:pt>
                <c:pt idx="16">
                  <c:v>0.84173297966401417</c:v>
                </c:pt>
                <c:pt idx="17">
                  <c:v>0.8687886825817861</c:v>
                </c:pt>
                <c:pt idx="18">
                  <c:v>0.89283819628647221</c:v>
                </c:pt>
                <c:pt idx="19">
                  <c:v>0.9138815207780725</c:v>
                </c:pt>
                <c:pt idx="20">
                  <c:v>0.93191865605658719</c:v>
                </c:pt>
                <c:pt idx="21">
                  <c:v>0.94694960212201595</c:v>
                </c:pt>
                <c:pt idx="22">
                  <c:v>0.9589743589743589</c:v>
                </c:pt>
                <c:pt idx="23">
                  <c:v>0.96799292661361624</c:v>
                </c:pt>
                <c:pt idx="24">
                  <c:v>0.97400530503978788</c:v>
                </c:pt>
                <c:pt idx="25">
                  <c:v>0.97701149425287359</c:v>
                </c:pt>
                <c:pt idx="26">
                  <c:v>0.97701149425287359</c:v>
                </c:pt>
              </c:numCache>
            </c:numRef>
          </c:val>
          <c:extLst>
            <c:ext xmlns:c16="http://schemas.microsoft.com/office/drawing/2014/chart" uri="{C3380CC4-5D6E-409C-BE32-E72D297353CC}">
              <c16:uniqueId val="{00000019-0979-4F16-A468-7AD26E5C7827}"/>
            </c:ext>
          </c:extLst>
        </c:ser>
        <c:ser>
          <c:idx val="26"/>
          <c:order val="26"/>
          <c:tx>
            <c:strRef>
              <c:f>'Ej. 4'!$AQ$6</c:f>
              <c:strCache>
                <c:ptCount val="1"/>
                <c:pt idx="0">
                  <c:v>26</c:v>
                </c:pt>
              </c:strCache>
            </c:strRef>
          </c:tx>
          <c:spPr>
            <a:ln w="6350" cap="flat" cmpd="sng" algn="ctr">
              <a:solidFill>
                <a:schemeClr val="accent5">
                  <a:shade val="51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4'!$AQ$7:$AQ$35</c15:sqref>
                  </c15:fullRef>
                </c:ext>
              </c:extLst>
              <c:f>'Ej. 4'!$AQ$7:$AQ$33</c:f>
              <c:numCache>
                <c:formatCode>0.00%</c:formatCode>
                <c:ptCount val="27"/>
                <c:pt idx="0">
                  <c:v>0</c:v>
                </c:pt>
                <c:pt idx="1">
                  <c:v>7.586206896551724E-2</c:v>
                </c:pt>
                <c:pt idx="2">
                  <c:v>0.14868965517241378</c:v>
                </c:pt>
                <c:pt idx="3">
                  <c:v>0.21848275862068964</c:v>
                </c:pt>
                <c:pt idx="4">
                  <c:v>0.28524137931034482</c:v>
                </c:pt>
                <c:pt idx="5">
                  <c:v>0.34896551724137931</c:v>
                </c:pt>
                <c:pt idx="6">
                  <c:v>0.40965517241379312</c:v>
                </c:pt>
                <c:pt idx="7">
                  <c:v>0.46731034482758615</c:v>
                </c:pt>
                <c:pt idx="8">
                  <c:v>0.52193103448275868</c:v>
                </c:pt>
                <c:pt idx="9">
                  <c:v>0.57351724137931037</c:v>
                </c:pt>
                <c:pt idx="10">
                  <c:v>0.62206896551724133</c:v>
                </c:pt>
                <c:pt idx="11">
                  <c:v>0.66758620689655179</c:v>
                </c:pt>
                <c:pt idx="12">
                  <c:v>0.7100689655172413</c:v>
                </c:pt>
                <c:pt idx="13">
                  <c:v>0.74951724137931031</c:v>
                </c:pt>
                <c:pt idx="14">
                  <c:v>0.78593103448275858</c:v>
                </c:pt>
                <c:pt idx="15">
                  <c:v>0.81931034482758613</c:v>
                </c:pt>
                <c:pt idx="16">
                  <c:v>0.84965517241379318</c:v>
                </c:pt>
                <c:pt idx="17">
                  <c:v>0.87696551724137928</c:v>
                </c:pt>
                <c:pt idx="18">
                  <c:v>0.90124137931034487</c:v>
                </c:pt>
                <c:pt idx="19">
                  <c:v>0.92248275862068962</c:v>
                </c:pt>
                <c:pt idx="20">
                  <c:v>0.94068965517241387</c:v>
                </c:pt>
                <c:pt idx="21">
                  <c:v>0.95586206896551718</c:v>
                </c:pt>
                <c:pt idx="22">
                  <c:v>0.96799999999999986</c:v>
                </c:pt>
                <c:pt idx="23">
                  <c:v>0.97710344827586204</c:v>
                </c:pt>
                <c:pt idx="24">
                  <c:v>0.98317241379310349</c:v>
                </c:pt>
                <c:pt idx="25">
                  <c:v>0.98620689655172411</c:v>
                </c:pt>
                <c:pt idx="26">
                  <c:v>0.98620689655172411</c:v>
                </c:pt>
              </c:numCache>
            </c:numRef>
          </c:val>
          <c:extLst>
            <c:ext xmlns:c16="http://schemas.microsoft.com/office/drawing/2014/chart" uri="{C3380CC4-5D6E-409C-BE32-E72D297353CC}">
              <c16:uniqueId val="{0000001A-0979-4F16-A468-7AD26E5C7827}"/>
            </c:ext>
          </c:extLst>
        </c:ser>
        <c:ser>
          <c:idx val="27"/>
          <c:order val="27"/>
          <c:tx>
            <c:strRef>
              <c:f>'Ej. 4'!$AR$6</c:f>
              <c:strCache>
                <c:ptCount val="1"/>
                <c:pt idx="0">
                  <c:v>27</c:v>
                </c:pt>
              </c:strCache>
            </c:strRef>
          </c:tx>
          <c:spPr>
            <a:ln w="6350" cap="flat" cmpd="sng" algn="ctr">
              <a:solidFill>
                <a:schemeClr val="accent5">
                  <a:shade val="47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4'!$AR$7:$AR$35</c15:sqref>
                  </c15:fullRef>
                </c:ext>
              </c:extLst>
              <c:f>'Ej. 4'!$AR$7:$AR$33</c:f>
              <c:numCache>
                <c:formatCode>0.00%</c:formatCode>
                <c:ptCount val="27"/>
                <c:pt idx="0">
                  <c:v>0</c:v>
                </c:pt>
                <c:pt idx="1">
                  <c:v>7.6392572944297091E-2</c:v>
                </c:pt>
                <c:pt idx="2">
                  <c:v>0.14972944297082227</c:v>
                </c:pt>
                <c:pt idx="3">
                  <c:v>0.22001061007957556</c:v>
                </c:pt>
                <c:pt idx="4">
                  <c:v>0.28723607427055703</c:v>
                </c:pt>
                <c:pt idx="5">
                  <c:v>0.35140583554376659</c:v>
                </c:pt>
                <c:pt idx="6">
                  <c:v>0.41251989389920424</c:v>
                </c:pt>
                <c:pt idx="7">
                  <c:v>0.47057824933686998</c:v>
                </c:pt>
                <c:pt idx="8">
                  <c:v>0.52558090185676398</c:v>
                </c:pt>
                <c:pt idx="9">
                  <c:v>0.57752785145888597</c:v>
                </c:pt>
                <c:pt idx="10">
                  <c:v>0.62641909814323604</c:v>
                </c:pt>
                <c:pt idx="11">
                  <c:v>0.67225464190981432</c:v>
                </c:pt>
                <c:pt idx="12">
                  <c:v>0.71503448275862069</c:v>
                </c:pt>
                <c:pt idx="13">
                  <c:v>0.75475862068965516</c:v>
                </c:pt>
                <c:pt idx="14">
                  <c:v>0.79142705570291783</c:v>
                </c:pt>
                <c:pt idx="15">
                  <c:v>0.82503978779840836</c:v>
                </c:pt>
                <c:pt idx="16">
                  <c:v>0.85559681697612733</c:v>
                </c:pt>
                <c:pt idx="17">
                  <c:v>0.88309814323607427</c:v>
                </c:pt>
                <c:pt idx="18">
                  <c:v>0.90754376657824931</c:v>
                </c:pt>
                <c:pt idx="19">
                  <c:v>0.92893368700265244</c:v>
                </c:pt>
                <c:pt idx="20">
                  <c:v>0.94726790450928389</c:v>
                </c:pt>
                <c:pt idx="21">
                  <c:v>0.9625464190981432</c:v>
                </c:pt>
                <c:pt idx="22">
                  <c:v>0.97476923076923072</c:v>
                </c:pt>
                <c:pt idx="23">
                  <c:v>0.98393633952254633</c:v>
                </c:pt>
                <c:pt idx="24">
                  <c:v>0.99004774535809026</c:v>
                </c:pt>
                <c:pt idx="25">
                  <c:v>0.99310344827586206</c:v>
                </c:pt>
                <c:pt idx="26">
                  <c:v>0.99310344827586206</c:v>
                </c:pt>
              </c:numCache>
            </c:numRef>
          </c:val>
          <c:extLst>
            <c:ext xmlns:c16="http://schemas.microsoft.com/office/drawing/2014/chart" uri="{C3380CC4-5D6E-409C-BE32-E72D297353CC}">
              <c16:uniqueId val="{0000001B-0979-4F16-A468-7AD26E5C7827}"/>
            </c:ext>
          </c:extLst>
        </c:ser>
        <c:ser>
          <c:idx val="28"/>
          <c:order val="28"/>
          <c:tx>
            <c:strRef>
              <c:f>'Ej. 4'!$AS$6</c:f>
              <c:strCache>
                <c:ptCount val="1"/>
                <c:pt idx="0">
                  <c:v>28</c:v>
                </c:pt>
              </c:strCache>
            </c:strRef>
          </c:tx>
          <c:spPr>
            <a:ln w="6350" cap="flat" cmpd="sng" algn="ctr">
              <a:solidFill>
                <a:schemeClr val="accent5">
                  <a:shade val="43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4'!$AS$7:$AS$35</c15:sqref>
                  </c15:fullRef>
                </c:ext>
              </c:extLst>
              <c:f>'Ej. 4'!$AS$7:$AS$33</c:f>
              <c:numCache>
                <c:formatCode>0.00%</c:formatCode>
                <c:ptCount val="27"/>
                <c:pt idx="0">
                  <c:v>0</c:v>
                </c:pt>
                <c:pt idx="1">
                  <c:v>7.6746242263483658E-2</c:v>
                </c:pt>
                <c:pt idx="2">
                  <c:v>0.15042263483642795</c:v>
                </c:pt>
                <c:pt idx="3">
                  <c:v>0.22102917771883288</c:v>
                </c:pt>
                <c:pt idx="4">
                  <c:v>0.28856587091069852</c:v>
                </c:pt>
                <c:pt idx="5">
                  <c:v>0.35303271441202483</c:v>
                </c:pt>
                <c:pt idx="6">
                  <c:v>0.41442970822281172</c:v>
                </c:pt>
                <c:pt idx="7">
                  <c:v>0.47275685234305925</c:v>
                </c:pt>
                <c:pt idx="8">
                  <c:v>0.52801414677276759</c:v>
                </c:pt>
                <c:pt idx="9">
                  <c:v>0.5802015915119364</c:v>
                </c:pt>
                <c:pt idx="10">
                  <c:v>0.62931918656056585</c:v>
                </c:pt>
                <c:pt idx="11">
                  <c:v>0.67536693191865615</c:v>
                </c:pt>
                <c:pt idx="12">
                  <c:v>0.71834482758620688</c:v>
                </c:pt>
                <c:pt idx="13">
                  <c:v>0.75825287356321847</c:v>
                </c:pt>
                <c:pt idx="14">
                  <c:v>0.79509106984969058</c:v>
                </c:pt>
                <c:pt idx="15">
                  <c:v>0.82885941644562333</c:v>
                </c:pt>
                <c:pt idx="16">
                  <c:v>0.85955791335101694</c:v>
                </c:pt>
                <c:pt idx="17">
                  <c:v>0.88718656056587097</c:v>
                </c:pt>
                <c:pt idx="18">
                  <c:v>0.91174535809018575</c:v>
                </c:pt>
                <c:pt idx="19">
                  <c:v>0.93323430592396117</c:v>
                </c:pt>
                <c:pt idx="20">
                  <c:v>0.95165340406719734</c:v>
                </c:pt>
                <c:pt idx="21">
                  <c:v>0.96700265251989392</c:v>
                </c:pt>
                <c:pt idx="22">
                  <c:v>0.97928205128205126</c:v>
                </c:pt>
                <c:pt idx="23">
                  <c:v>0.98849160035366934</c:v>
                </c:pt>
                <c:pt idx="24">
                  <c:v>0.99463129973474818</c:v>
                </c:pt>
                <c:pt idx="25">
                  <c:v>0.99770114942528743</c:v>
                </c:pt>
                <c:pt idx="26">
                  <c:v>0.99770114942528743</c:v>
                </c:pt>
              </c:numCache>
            </c:numRef>
          </c:val>
          <c:extLst>
            <c:ext xmlns:c16="http://schemas.microsoft.com/office/drawing/2014/chart" uri="{C3380CC4-5D6E-409C-BE32-E72D297353CC}">
              <c16:uniqueId val="{0000001C-0979-4F16-A468-7AD26E5C7827}"/>
            </c:ext>
          </c:extLst>
        </c:ser>
        <c:ser>
          <c:idx val="29"/>
          <c:order val="29"/>
          <c:tx>
            <c:strRef>
              <c:f>'Ej. 4'!$AT$6</c:f>
              <c:strCache>
                <c:ptCount val="1"/>
                <c:pt idx="0">
                  <c:v>29</c:v>
                </c:pt>
              </c:strCache>
            </c:strRef>
          </c:tx>
          <c:spPr>
            <a:ln w="6350" cap="flat" cmpd="sng" algn="ctr">
              <a:solidFill>
                <a:schemeClr val="accent5">
                  <a:shade val="38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4'!$AT$7:$AT$35</c15:sqref>
                  </c15:fullRef>
                </c:ext>
              </c:extLst>
              <c:f>'Ej. 4'!$AT$7:$AT$33</c:f>
              <c:numCache>
                <c:formatCode>0.00%</c:formatCode>
                <c:ptCount val="27"/>
                <c:pt idx="0">
                  <c:v>0</c:v>
                </c:pt>
                <c:pt idx="1">
                  <c:v>7.6923076923076927E-2</c:v>
                </c:pt>
                <c:pt idx="2">
                  <c:v>0.15076923076923077</c:v>
                </c:pt>
                <c:pt idx="3">
                  <c:v>0.22153846153846152</c:v>
                </c:pt>
                <c:pt idx="4">
                  <c:v>0.28923076923076924</c:v>
                </c:pt>
                <c:pt idx="5">
                  <c:v>0.35384615384615387</c:v>
                </c:pt>
                <c:pt idx="6">
                  <c:v>0.41538461538461541</c:v>
                </c:pt>
                <c:pt idx="7">
                  <c:v>0.47384615384615381</c:v>
                </c:pt>
                <c:pt idx="8">
                  <c:v>0.52923076923076928</c:v>
                </c:pt>
                <c:pt idx="9">
                  <c:v>0.58153846153846156</c:v>
                </c:pt>
                <c:pt idx="10">
                  <c:v>0.63076923076923075</c:v>
                </c:pt>
                <c:pt idx="11">
                  <c:v>0.67692307692307696</c:v>
                </c:pt>
                <c:pt idx="12">
                  <c:v>0.72</c:v>
                </c:pt>
                <c:pt idx="13">
                  <c:v>0.76</c:v>
                </c:pt>
                <c:pt idx="14">
                  <c:v>0.79692307692307696</c:v>
                </c:pt>
                <c:pt idx="15">
                  <c:v>0.8307692307692307</c:v>
                </c:pt>
                <c:pt idx="16">
                  <c:v>0.86153846153846159</c:v>
                </c:pt>
                <c:pt idx="17">
                  <c:v>0.88923076923076927</c:v>
                </c:pt>
                <c:pt idx="18">
                  <c:v>0.91384615384615386</c:v>
                </c:pt>
                <c:pt idx="19">
                  <c:v>0.93538461538461537</c:v>
                </c:pt>
                <c:pt idx="20">
                  <c:v>0.9538461538461539</c:v>
                </c:pt>
                <c:pt idx="21">
                  <c:v>0.96923076923076923</c:v>
                </c:pt>
                <c:pt idx="22">
                  <c:v>0.98153846153846147</c:v>
                </c:pt>
                <c:pt idx="23">
                  <c:v>0.99076923076923074</c:v>
                </c:pt>
                <c:pt idx="24">
                  <c:v>0.99692307692307702</c:v>
                </c:pt>
                <c:pt idx="25">
                  <c:v>1</c:v>
                </c:pt>
                <c:pt idx="26">
                  <c:v>1</c:v>
                </c:pt>
              </c:numCache>
            </c:numRef>
          </c:val>
          <c:extLst>
            <c:ext xmlns:c16="http://schemas.microsoft.com/office/drawing/2014/chart" uri="{C3380CC4-5D6E-409C-BE32-E72D297353CC}">
              <c16:uniqueId val="{0000002D-0979-4F16-A468-7AD26E5C7827}"/>
            </c:ext>
          </c:extLst>
        </c:ser>
        <c:ser>
          <c:idx val="30"/>
          <c:order val="30"/>
          <c:tx>
            <c:strRef>
              <c:f>'Ej. 4'!$AU$6</c:f>
              <c:strCache>
                <c:ptCount val="1"/>
                <c:pt idx="0">
                  <c:v>30</c:v>
                </c:pt>
              </c:strCache>
            </c:strRef>
          </c:tx>
          <c:spPr>
            <a:ln w="6350" cap="flat" cmpd="sng" algn="ctr">
              <a:solidFill>
                <a:schemeClr val="accent5">
                  <a:shade val="34000"/>
                </a:schemeClr>
              </a:solidFill>
              <a:prstDash val="solid"/>
              <a:round/>
            </a:ln>
            <a:effectLst/>
          </c:spPr>
          <c:cat>
            <c:numRef>
              <c:extLst>
                <c:ext xmlns:c15="http://schemas.microsoft.com/office/drawing/2012/chart" uri="{02D57815-91ED-43cb-92C2-25804820EDAC}">
                  <c15:fullRef>
                    <c15:sqref>'Ej. 4'!$P$7:$P$35</c15:sqref>
                  </c15:fullRef>
                </c:ext>
              </c:extLst>
              <c:f>'Ej. 4'!$P$7:$P$33</c:f>
              <c:numCache>
                <c:formatCode>@</c:formatCod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extLst>
                <c:ext xmlns:c15="http://schemas.microsoft.com/office/drawing/2012/chart" uri="{02D57815-91ED-43cb-92C2-25804820EDAC}">
                  <c15:fullRef>
                    <c15:sqref>'Ej. 4'!$AU$7:$AU$35</c15:sqref>
                  </c15:fullRef>
                </c:ext>
              </c:extLst>
              <c:f>'Ej. 4'!$AU$7:$AU$33</c:f>
              <c:numCache>
                <c:formatCode>0.00%</c:formatCode>
                <c:ptCount val="27"/>
                <c:pt idx="0">
                  <c:v>0</c:v>
                </c:pt>
                <c:pt idx="1">
                  <c:v>7.6923076923076927E-2</c:v>
                </c:pt>
                <c:pt idx="2">
                  <c:v>0.15076923076923077</c:v>
                </c:pt>
                <c:pt idx="3">
                  <c:v>0.22153846153846152</c:v>
                </c:pt>
                <c:pt idx="4">
                  <c:v>0.28923076923076924</c:v>
                </c:pt>
                <c:pt idx="5">
                  <c:v>0.35384615384615387</c:v>
                </c:pt>
                <c:pt idx="6">
                  <c:v>0.41538461538461541</c:v>
                </c:pt>
                <c:pt idx="7">
                  <c:v>0.47384615384615381</c:v>
                </c:pt>
                <c:pt idx="8">
                  <c:v>0.52923076923076928</c:v>
                </c:pt>
                <c:pt idx="9">
                  <c:v>0.58153846153846156</c:v>
                </c:pt>
                <c:pt idx="10">
                  <c:v>0.63076923076923075</c:v>
                </c:pt>
                <c:pt idx="11">
                  <c:v>0.67692307692307696</c:v>
                </c:pt>
                <c:pt idx="12">
                  <c:v>0.72</c:v>
                </c:pt>
                <c:pt idx="13">
                  <c:v>0.76</c:v>
                </c:pt>
                <c:pt idx="14">
                  <c:v>0.79692307692307696</c:v>
                </c:pt>
                <c:pt idx="15">
                  <c:v>0.8307692307692307</c:v>
                </c:pt>
                <c:pt idx="16">
                  <c:v>0.86153846153846159</c:v>
                </c:pt>
                <c:pt idx="17">
                  <c:v>0.88923076923076927</c:v>
                </c:pt>
                <c:pt idx="18">
                  <c:v>0.91384615384615386</c:v>
                </c:pt>
                <c:pt idx="19">
                  <c:v>0.93538461538461537</c:v>
                </c:pt>
                <c:pt idx="20">
                  <c:v>0.9538461538461539</c:v>
                </c:pt>
                <c:pt idx="21">
                  <c:v>0.96923076923076923</c:v>
                </c:pt>
                <c:pt idx="22">
                  <c:v>0.98153846153846147</c:v>
                </c:pt>
                <c:pt idx="23">
                  <c:v>0.99076923076923074</c:v>
                </c:pt>
                <c:pt idx="24">
                  <c:v>0.99692307692307702</c:v>
                </c:pt>
                <c:pt idx="25">
                  <c:v>1</c:v>
                </c:pt>
                <c:pt idx="26">
                  <c:v>1</c:v>
                </c:pt>
              </c:numCache>
            </c:numRef>
          </c:val>
          <c:extLst>
            <c:ext xmlns:c16="http://schemas.microsoft.com/office/drawing/2014/chart" uri="{C3380CC4-5D6E-409C-BE32-E72D297353CC}">
              <c16:uniqueId val="{0000002E-0979-4F16-A468-7AD26E5C7827}"/>
            </c:ext>
          </c:extLst>
        </c:ser>
        <c:bandFmts>
          <c:bandFmt>
            <c:idx val="0"/>
            <c:spPr>
              <a:ln w="6350" cap="flat" cmpd="sng" algn="ctr">
                <a:solidFill>
                  <a:schemeClr val="accent5">
                    <a:tint val="42000"/>
                  </a:schemeClr>
                </a:solidFill>
                <a:prstDash val="solid"/>
                <a:round/>
              </a:ln>
              <a:effectLst/>
            </c:spPr>
          </c:bandFmt>
          <c:bandFmt>
            <c:idx val="1"/>
            <c:spPr>
              <a:ln w="6350" cap="flat" cmpd="sng" algn="ctr">
                <a:solidFill>
                  <a:schemeClr val="accent5">
                    <a:tint val="54000"/>
                  </a:schemeClr>
                </a:solidFill>
                <a:prstDash val="solid"/>
                <a:round/>
              </a:ln>
              <a:effectLst/>
            </c:spPr>
          </c:bandFmt>
          <c:bandFmt>
            <c:idx val="2"/>
            <c:spPr>
              <a:ln w="6350" cap="flat" cmpd="sng" algn="ctr">
                <a:solidFill>
                  <a:schemeClr val="accent5">
                    <a:tint val="65000"/>
                  </a:schemeClr>
                </a:solidFill>
                <a:prstDash val="solid"/>
                <a:round/>
              </a:ln>
              <a:effectLst/>
            </c:spPr>
          </c:bandFmt>
          <c:bandFmt>
            <c:idx val="3"/>
            <c:spPr>
              <a:ln w="6350" cap="flat" cmpd="sng" algn="ctr">
                <a:solidFill>
                  <a:schemeClr val="accent5">
                    <a:tint val="77000"/>
                  </a:schemeClr>
                </a:solidFill>
                <a:prstDash val="solid"/>
                <a:round/>
              </a:ln>
              <a:effectLst/>
            </c:spPr>
          </c:bandFmt>
          <c:bandFmt>
            <c:idx val="4"/>
            <c:spPr>
              <a:ln w="6350" cap="flat" cmpd="sng" algn="ctr">
                <a:solidFill>
                  <a:schemeClr val="accent5">
                    <a:tint val="89000"/>
                  </a:schemeClr>
                </a:solidFill>
                <a:prstDash val="solid"/>
                <a:round/>
              </a:ln>
              <a:effectLst/>
            </c:spPr>
          </c:bandFmt>
          <c:bandFmt>
            <c:idx val="5"/>
            <c:spPr>
              <a:ln w="6350" cap="flat" cmpd="sng" algn="ctr">
                <a:solidFill>
                  <a:schemeClr val="accent5"/>
                </a:solidFill>
                <a:prstDash val="solid"/>
                <a:round/>
              </a:ln>
              <a:effectLst/>
            </c:spPr>
          </c:bandFmt>
          <c:bandFmt>
            <c:idx val="6"/>
            <c:spPr>
              <a:ln w="6350" cap="flat" cmpd="sng" algn="ctr">
                <a:solidFill>
                  <a:schemeClr val="accent5">
                    <a:shade val="88000"/>
                  </a:schemeClr>
                </a:solidFill>
                <a:prstDash val="solid"/>
                <a:round/>
              </a:ln>
              <a:effectLst/>
            </c:spPr>
          </c:bandFmt>
          <c:bandFmt>
            <c:idx val="7"/>
            <c:spPr>
              <a:ln w="6350" cap="flat" cmpd="sng" algn="ctr">
                <a:solidFill>
                  <a:schemeClr val="accent5">
                    <a:shade val="76000"/>
                  </a:schemeClr>
                </a:solidFill>
                <a:prstDash val="solid"/>
                <a:round/>
              </a:ln>
              <a:effectLst/>
            </c:spPr>
          </c:bandFmt>
          <c:bandFmt>
            <c:idx val="8"/>
            <c:spPr>
              <a:ln w="6350" cap="flat" cmpd="sng" algn="ctr">
                <a:solidFill>
                  <a:schemeClr val="accent5">
                    <a:shade val="65000"/>
                  </a:schemeClr>
                </a:solidFill>
                <a:prstDash val="solid"/>
                <a:round/>
              </a:ln>
              <a:effectLst/>
            </c:spPr>
          </c:bandFmt>
          <c:bandFmt>
            <c:idx val="9"/>
            <c:spPr>
              <a:ln w="6350" cap="flat" cmpd="sng" algn="ctr">
                <a:solidFill>
                  <a:schemeClr val="accent5">
                    <a:shade val="53000"/>
                  </a:schemeClr>
                </a:solidFill>
                <a:prstDash val="solid"/>
                <a:round/>
              </a:ln>
              <a:effectLst/>
            </c:spPr>
          </c:bandFmt>
          <c:bandFmt>
            <c:idx val="10"/>
            <c:spPr>
              <a:ln w="6350" cap="flat" cmpd="sng" algn="ctr">
                <a:solidFill>
                  <a:schemeClr val="accent5">
                    <a:shade val="41000"/>
                  </a:schemeClr>
                </a:solidFill>
                <a:prstDash val="solid"/>
                <a:round/>
              </a:ln>
              <a:effectLst/>
            </c:spPr>
          </c:bandFmt>
          <c:bandFmt>
            <c:idx val="11"/>
            <c:spPr>
              <a:ln w="6350" cap="flat" cmpd="sng" algn="ctr">
                <a:solidFill>
                  <a:schemeClr val="accent5">
                    <a:shade val="41000"/>
                  </a:schemeClr>
                </a:solidFill>
                <a:prstDash val="solid"/>
                <a:round/>
              </a:ln>
              <a:effectLst/>
            </c:spPr>
          </c:bandFmt>
          <c:bandFmt>
            <c:idx val="12"/>
            <c:spPr>
              <a:ln w="6350" cap="flat" cmpd="sng" algn="ctr">
                <a:solidFill>
                  <a:schemeClr val="accent5">
                    <a:shade val="41000"/>
                  </a:schemeClr>
                </a:solidFill>
                <a:prstDash val="solid"/>
                <a:round/>
              </a:ln>
              <a:effectLst/>
            </c:spPr>
          </c:bandFmt>
          <c:bandFmt>
            <c:idx val="13"/>
            <c:spPr>
              <a:ln w="6350" cap="flat" cmpd="sng" algn="ctr">
                <a:solidFill>
                  <a:schemeClr val="accent5">
                    <a:shade val="41000"/>
                  </a:schemeClr>
                </a:solidFill>
                <a:prstDash val="solid"/>
                <a:round/>
              </a:ln>
              <a:effectLst/>
            </c:spPr>
          </c:bandFmt>
          <c:bandFmt>
            <c:idx val="14"/>
            <c:spPr>
              <a:ln w="6350" cap="flat" cmpd="sng" algn="ctr">
                <a:solidFill>
                  <a:schemeClr val="accent5">
                    <a:shade val="41000"/>
                  </a:schemeClr>
                </a:solidFill>
                <a:prstDash val="solid"/>
                <a:round/>
              </a:ln>
              <a:effectLst/>
            </c:spPr>
          </c:bandFmt>
        </c:bandFmts>
        <c:axId val="95014064"/>
        <c:axId val="95007408"/>
        <c:axId val="152980672"/>
      </c:surfaceChart>
      <c:catAx>
        <c:axId val="95014064"/>
        <c:scaling>
          <c:orientation val="minMax"/>
        </c:scaling>
        <c:delete val="0"/>
        <c:axPos val="b"/>
        <c:numFmt formatCode="@" sourceLinked="1"/>
        <c:majorTickMark val="out"/>
        <c:minorTickMark val="none"/>
        <c:tickLblPos val="high"/>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07408"/>
        <c:crosses val="autoZero"/>
        <c:auto val="1"/>
        <c:lblAlgn val="ctr"/>
        <c:lblOffset val="100"/>
        <c:noMultiLvlLbl val="0"/>
      </c:catAx>
      <c:valAx>
        <c:axId val="95007408"/>
        <c:scaling>
          <c:orientation val="minMax"/>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Abadi Extra Light" panose="020B0204020104020204" pitchFamily="34" charset="0"/>
                    <a:ea typeface="+mn-ea"/>
                    <a:cs typeface="+mn-cs"/>
                  </a:defRPr>
                </a:pPr>
                <a:r>
                  <a:rPr lang="es-ES" b="0"/>
                  <a:t>Temas Parte A</a:t>
                </a:r>
              </a:p>
            </c:rich>
          </c:tx>
          <c:layout>
            <c:manualLayout>
              <c:xMode val="edge"/>
              <c:yMode val="edge"/>
              <c:x val="0.17010514570701354"/>
              <c:y val="0.46057971014492755"/>
            </c:manualLayout>
          </c:layout>
          <c:overlay val="0"/>
          <c:spPr>
            <a:noFill/>
            <a:ln>
              <a:noFill/>
            </a:ln>
            <a:effectLst/>
          </c:spPr>
        </c:title>
        <c:numFmt formatCode="0%" sourceLinked="0"/>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14064"/>
        <c:crosses val="autoZero"/>
        <c:crossBetween val="midCat"/>
        <c:majorUnit val="0.1"/>
      </c:valAx>
      <c:serAx>
        <c:axId val="152980672"/>
        <c:scaling>
          <c:orientation val="maxMin"/>
        </c:scaling>
        <c:delete val="0"/>
        <c:axPos val="b"/>
        <c:majorTickMark val="none"/>
        <c:minorTickMark val="none"/>
        <c:tickLblPos val="high"/>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074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s-ES"/>
              <a:t>Probabilidades por tema estudiado</a:t>
            </a: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Chart>
        <c:wireframe val="0"/>
        <c:ser>
          <c:idx val="0"/>
          <c:order val="0"/>
          <c:tx>
            <c:strRef>
              <c:f>'Ej. 4'!$Q$38</c:f>
              <c:strCache>
                <c:ptCount val="1"/>
                <c:pt idx="0">
                  <c:v>0</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4'!$Q$39:$Q$67</c:f>
              <c:numCache>
                <c:formatCode>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0-06F3-4601-8035-89E89D436B90}"/>
            </c:ext>
          </c:extLst>
        </c:ser>
        <c:ser>
          <c:idx val="1"/>
          <c:order val="1"/>
          <c:tx>
            <c:strRef>
              <c:f>'Ej. 4'!$R$38</c:f>
              <c:strCache>
                <c:ptCount val="1"/>
                <c:pt idx="0">
                  <c:v>1</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4'!$R$39:$R$67</c:f>
              <c:numCache>
                <c:formatCode>0.00%</c:formatCode>
                <c:ptCount val="29"/>
                <c:pt idx="0">
                  <c:v>0</c:v>
                </c:pt>
                <c:pt idx="1">
                  <c:v>2.5641025641025641E-3</c:v>
                </c:pt>
                <c:pt idx="2">
                  <c:v>3.3504273504273503E-3</c:v>
                </c:pt>
                <c:pt idx="3">
                  <c:v>3.6923076923076918E-3</c:v>
                </c:pt>
                <c:pt idx="4">
                  <c:v>3.8564102564102565E-3</c:v>
                </c:pt>
                <c:pt idx="5">
                  <c:v>3.9316239316239321E-3</c:v>
                </c:pt>
                <c:pt idx="6">
                  <c:v>3.956043956043956E-3</c:v>
                </c:pt>
                <c:pt idx="7">
                  <c:v>3.948717948717948E-3</c:v>
                </c:pt>
                <c:pt idx="8">
                  <c:v>3.9202279202279209E-3</c:v>
                </c:pt>
                <c:pt idx="9">
                  <c:v>3.8769230769230773E-3</c:v>
                </c:pt>
                <c:pt idx="10">
                  <c:v>3.8228438228438228E-3</c:v>
                </c:pt>
                <c:pt idx="11">
                  <c:v>3.7606837606837611E-3</c:v>
                </c:pt>
                <c:pt idx="12">
                  <c:v>3.6923076923076922E-3</c:v>
                </c:pt>
                <c:pt idx="13">
                  <c:v>3.619047619047619E-3</c:v>
                </c:pt>
                <c:pt idx="14">
                  <c:v>3.541880341880342E-3</c:v>
                </c:pt>
                <c:pt idx="15">
                  <c:v>3.4615384615384612E-3</c:v>
                </c:pt>
                <c:pt idx="16">
                  <c:v>3.3785822021116137E-3</c:v>
                </c:pt>
                <c:pt idx="17">
                  <c:v>3.2934472934472935E-3</c:v>
                </c:pt>
                <c:pt idx="18">
                  <c:v>3.2064777327935222E-3</c:v>
                </c:pt>
                <c:pt idx="19">
                  <c:v>3.1179487179487176E-3</c:v>
                </c:pt>
                <c:pt idx="20">
                  <c:v>3.0280830280830281E-3</c:v>
                </c:pt>
                <c:pt idx="21">
                  <c:v>2.9370629370629371E-3</c:v>
                </c:pt>
                <c:pt idx="22">
                  <c:v>2.8450390189520623E-3</c:v>
                </c:pt>
                <c:pt idx="23">
                  <c:v>2.7521367521367523E-3</c:v>
                </c:pt>
                <c:pt idx="24">
                  <c:v>2.6584615384615384E-3</c:v>
                </c:pt>
                <c:pt idx="25">
                  <c:v>2.5641025641025641E-3</c:v>
                </c:pt>
                <c:pt idx="26">
                  <c:v>2.4691358024691358E-3</c:v>
                </c:pt>
              </c:numCache>
            </c:numRef>
          </c:val>
          <c:extLst>
            <c:ext xmlns:c16="http://schemas.microsoft.com/office/drawing/2014/chart" uri="{C3380CC4-5D6E-409C-BE32-E72D297353CC}">
              <c16:uniqueId val="{00000001-06F3-4601-8035-89E89D436B90}"/>
            </c:ext>
          </c:extLst>
        </c:ser>
        <c:ser>
          <c:idx val="2"/>
          <c:order val="2"/>
          <c:tx>
            <c:strRef>
              <c:f>'Ej. 4'!$S$38</c:f>
              <c:strCache>
                <c:ptCount val="1"/>
                <c:pt idx="0">
                  <c:v>2</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4'!$S$39:$S$67</c:f>
              <c:numCache>
                <c:formatCode>0.00%</c:formatCode>
                <c:ptCount val="29"/>
                <c:pt idx="0">
                  <c:v>0</c:v>
                </c:pt>
                <c:pt idx="1">
                  <c:v>3.359858532272325E-3</c:v>
                </c:pt>
                <c:pt idx="2">
                  <c:v>4.9389920424403174E-3</c:v>
                </c:pt>
                <c:pt idx="3">
                  <c:v>5.8058355437665774E-3</c:v>
                </c:pt>
                <c:pt idx="4">
                  <c:v>6.3165340406719714E-3</c:v>
                </c:pt>
                <c:pt idx="5">
                  <c:v>6.6237211064797269E-3</c:v>
                </c:pt>
                <c:pt idx="6">
                  <c:v>6.8037135278514582E-3</c:v>
                </c:pt>
                <c:pt idx="7">
                  <c:v>6.8989095195991735E-3</c:v>
                </c:pt>
                <c:pt idx="8">
                  <c:v>6.9347480106100798E-3</c:v>
                </c:pt>
                <c:pt idx="9">
                  <c:v>6.9274174101760311E-3</c:v>
                </c:pt>
                <c:pt idx="10">
                  <c:v>6.8877099911582662E-3</c:v>
                </c:pt>
                <c:pt idx="11">
                  <c:v>6.8230973270761068E-3</c:v>
                </c:pt>
                <c:pt idx="12">
                  <c:v>6.7389162561576343E-3</c:v>
                </c:pt>
                <c:pt idx="13">
                  <c:v>6.6390804597701147E-3</c:v>
                </c:pt>
                <c:pt idx="14">
                  <c:v>6.5265251989389912E-3</c:v>
                </c:pt>
                <c:pt idx="15">
                  <c:v>6.4034950850366656E-3</c:v>
                </c:pt>
                <c:pt idx="16">
                  <c:v>6.2717359269083396E-3</c:v>
                </c:pt>
                <c:pt idx="17">
                  <c:v>6.1326259946949601E-3</c:v>
                </c:pt>
                <c:pt idx="18">
                  <c:v>5.9872679045092827E-3</c:v>
                </c:pt>
                <c:pt idx="19">
                  <c:v>5.836554250347353E-3</c:v>
                </c:pt>
                <c:pt idx="20">
                  <c:v>5.68121533638775E-3</c:v>
                </c:pt>
                <c:pt idx="21">
                  <c:v>5.5218544573866898E-3</c:v>
                </c:pt>
                <c:pt idx="22">
                  <c:v>5.3589743589743588E-3</c:v>
                </c:pt>
                <c:pt idx="23">
                  <c:v>5.192997347480105E-3</c:v>
                </c:pt>
                <c:pt idx="24">
                  <c:v>5.0242807590287703E-3</c:v>
                </c:pt>
                <c:pt idx="25">
                  <c:v>4.8531289910600248E-3</c:v>
                </c:pt>
                <c:pt idx="26">
                  <c:v>4.6798029556650239E-3</c:v>
                </c:pt>
              </c:numCache>
            </c:numRef>
          </c:val>
          <c:extLst>
            <c:ext xmlns:c16="http://schemas.microsoft.com/office/drawing/2014/chart" uri="{C3380CC4-5D6E-409C-BE32-E72D297353CC}">
              <c16:uniqueId val="{00000002-06F3-4601-8035-89E89D436B90}"/>
            </c:ext>
          </c:extLst>
        </c:ser>
        <c:ser>
          <c:idx val="3"/>
          <c:order val="3"/>
          <c:tx>
            <c:strRef>
              <c:f>'Ej. 4'!$T$38</c:f>
              <c:strCache>
                <c:ptCount val="1"/>
                <c:pt idx="0">
                  <c:v>3</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4'!$T$39:$T$67</c:f>
              <c:numCache>
                <c:formatCode>0.00%</c:formatCode>
                <c:ptCount val="29"/>
                <c:pt idx="0">
                  <c:v>0</c:v>
                </c:pt>
                <c:pt idx="1">
                  <c:v>3.7135278514588859E-3</c:v>
                </c:pt>
                <c:pt idx="2">
                  <c:v>5.8228116710875326E-3</c:v>
                </c:pt>
                <c:pt idx="3">
                  <c:v>7.12997347480106E-3</c:v>
                </c:pt>
                <c:pt idx="4">
                  <c:v>7.9787798408488073E-3</c:v>
                </c:pt>
                <c:pt idx="5">
                  <c:v>8.5411140583554375E-3</c:v>
                </c:pt>
                <c:pt idx="6">
                  <c:v>8.9124668435013252E-3</c:v>
                </c:pt>
                <c:pt idx="7">
                  <c:v>9.1501326259946954E-3</c:v>
                </c:pt>
                <c:pt idx="8">
                  <c:v>9.2905714974680503E-3</c:v>
                </c:pt>
                <c:pt idx="9">
                  <c:v>9.3580901856763921E-3</c:v>
                </c:pt>
                <c:pt idx="10">
                  <c:v>9.369516425219342E-3</c:v>
                </c:pt>
                <c:pt idx="11">
                  <c:v>9.3368700265251993E-3</c:v>
                </c:pt>
                <c:pt idx="12">
                  <c:v>9.2689655172413787E-3</c:v>
                </c:pt>
                <c:pt idx="13">
                  <c:v>9.1724137931034483E-3</c:v>
                </c:pt>
                <c:pt idx="14">
                  <c:v>9.052270244968014E-3</c:v>
                </c:pt>
                <c:pt idx="15">
                  <c:v>8.9124668435013252E-3</c:v>
                </c:pt>
                <c:pt idx="16">
                  <c:v>8.7561077760714787E-3</c:v>
                </c:pt>
                <c:pt idx="17">
                  <c:v>8.5856763925729433E-3</c:v>
                </c:pt>
                <c:pt idx="18">
                  <c:v>8.4031830238726797E-3</c:v>
                </c:pt>
                <c:pt idx="19">
                  <c:v>8.2102724861345556E-3</c:v>
                </c:pt>
                <c:pt idx="20">
                  <c:v>8.0083035405374252E-3</c:v>
                </c:pt>
                <c:pt idx="21">
                  <c:v>7.7984084880636595E-3</c:v>
                </c:pt>
                <c:pt idx="22">
                  <c:v>7.5815384615384607E-3</c:v>
                </c:pt>
                <c:pt idx="23">
                  <c:v>7.3584982656600692E-3</c:v>
                </c:pt>
                <c:pt idx="24">
                  <c:v>7.1299734748010617E-3</c:v>
                </c:pt>
                <c:pt idx="25">
                  <c:v>6.8965517241379309E-3</c:v>
                </c:pt>
                <c:pt idx="26">
                  <c:v>6.6587395957193813E-3</c:v>
                </c:pt>
              </c:numCache>
            </c:numRef>
          </c:val>
          <c:extLst>
            <c:ext xmlns:c16="http://schemas.microsoft.com/office/drawing/2014/chart" uri="{C3380CC4-5D6E-409C-BE32-E72D297353CC}">
              <c16:uniqueId val="{00000003-06F3-4601-8035-89E89D436B90}"/>
            </c:ext>
          </c:extLst>
        </c:ser>
        <c:ser>
          <c:idx val="4"/>
          <c:order val="4"/>
          <c:tx>
            <c:strRef>
              <c:f>'Ej. 4'!$U$38</c:f>
              <c:strCache>
                <c:ptCount val="1"/>
                <c:pt idx="0">
                  <c:v>4</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4'!$U$39:$U$67</c:f>
              <c:numCache>
                <c:formatCode>0.00%</c:formatCode>
                <c:ptCount val="29"/>
                <c:pt idx="0">
                  <c:v>0</c:v>
                </c:pt>
                <c:pt idx="1">
                  <c:v>3.8903625110521664E-3</c:v>
                </c:pt>
                <c:pt idx="2">
                  <c:v>6.3542587680518728E-3</c:v>
                </c:pt>
                <c:pt idx="3">
                  <c:v>8.0030314513073134E-3</c:v>
                </c:pt>
                <c:pt idx="4">
                  <c:v>9.1423519009725916E-3</c:v>
                </c:pt>
                <c:pt idx="5">
                  <c:v>9.9420375282444264E-3</c:v>
                </c:pt>
                <c:pt idx="6">
                  <c:v>1.0503978779840851E-2</c:v>
                </c:pt>
                <c:pt idx="7">
                  <c:v>1.0893015030946066E-2</c:v>
                </c:pt>
                <c:pt idx="8">
                  <c:v>1.1152372531682879E-2</c:v>
                </c:pt>
                <c:pt idx="9">
                  <c:v>1.1311977147520915E-2</c:v>
                </c:pt>
                <c:pt idx="10">
                  <c:v>1.1393204496652773E-2</c:v>
                </c:pt>
                <c:pt idx="11">
                  <c:v>1.1411730032419689E-2</c:v>
                </c:pt>
                <c:pt idx="12">
                  <c:v>1.1379310344827587E-2</c:v>
                </c:pt>
                <c:pt idx="13">
                  <c:v>1.1304935767410415E-2</c:v>
                </c:pt>
                <c:pt idx="14">
                  <c:v>1.119559878180568E-2</c:v>
                </c:pt>
                <c:pt idx="15">
                  <c:v>1.1056819768253526E-2</c:v>
                </c:pt>
                <c:pt idx="16">
                  <c:v>1.0893015030946068E-2</c:v>
                </c:pt>
                <c:pt idx="17">
                  <c:v>1.0707759673276916E-2</c:v>
                </c:pt>
                <c:pt idx="18">
                  <c:v>1.0503978779840849E-2</c:v>
                </c:pt>
                <c:pt idx="19">
                  <c:v>1.0284088724868336E-2</c:v>
                </c:pt>
                <c:pt idx="20">
                  <c:v>1.0050103153551431E-2</c:v>
                </c:pt>
                <c:pt idx="21">
                  <c:v>9.8037135278514591E-3</c:v>
                </c:pt>
                <c:pt idx="22">
                  <c:v>9.5463510848126237E-3</c:v>
                </c:pt>
                <c:pt idx="23">
                  <c:v>9.2792350263614636E-3</c:v>
                </c:pt>
                <c:pt idx="24">
                  <c:v>9.00341038272073E-3</c:v>
                </c:pt>
                <c:pt idx="25">
                  <c:v>8.719778042013477E-3</c:v>
                </c:pt>
                <c:pt idx="26">
                  <c:v>8.4291187739463612E-3</c:v>
                </c:pt>
              </c:numCache>
            </c:numRef>
          </c:val>
          <c:extLst>
            <c:ext xmlns:c16="http://schemas.microsoft.com/office/drawing/2014/chart" uri="{C3380CC4-5D6E-409C-BE32-E72D297353CC}">
              <c16:uniqueId val="{00000004-06F3-4601-8035-89E89D436B90}"/>
            </c:ext>
          </c:extLst>
        </c:ser>
        <c:ser>
          <c:idx val="5"/>
          <c:order val="5"/>
          <c:tx>
            <c:strRef>
              <c:f>'Ej. 4'!$V$38</c:f>
              <c:strCache>
                <c:ptCount val="1"/>
                <c:pt idx="0">
                  <c:v>5</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4'!$V$39:$V$67</c:f>
              <c:numCache>
                <c:formatCode>0.00%</c:formatCode>
                <c:ptCount val="29"/>
                <c:pt idx="0">
                  <c:v>0</c:v>
                </c:pt>
                <c:pt idx="1">
                  <c:v>3.9787798408488064E-3</c:v>
                </c:pt>
                <c:pt idx="2">
                  <c:v>6.6843501326259947E-3</c:v>
                </c:pt>
                <c:pt idx="3">
                  <c:v>8.5941644562334205E-3</c:v>
                </c:pt>
                <c:pt idx="4">
                  <c:v>9.9734748010610087E-3</c:v>
                </c:pt>
                <c:pt idx="5">
                  <c:v>1.0981432360742706E-2</c:v>
                </c:pt>
                <c:pt idx="6">
                  <c:v>1.1719315167591031E-2</c:v>
                </c:pt>
                <c:pt idx="7">
                  <c:v>1.2254641909814323E-2</c:v>
                </c:pt>
                <c:pt idx="8">
                  <c:v>1.263415629463375E-2</c:v>
                </c:pt>
                <c:pt idx="9">
                  <c:v>1.2891246684350132E-2</c:v>
                </c:pt>
                <c:pt idx="10">
                  <c:v>1.3050397877984085E-2</c:v>
                </c:pt>
                <c:pt idx="11">
                  <c:v>1.3129973474801063E-2</c:v>
                </c:pt>
                <c:pt idx="12">
                  <c:v>1.3144016227180528E-2</c:v>
                </c:pt>
                <c:pt idx="13">
                  <c:v>1.3103448275862069E-2</c:v>
                </c:pt>
                <c:pt idx="14">
                  <c:v>1.3016892363534833E-2</c:v>
                </c:pt>
                <c:pt idx="15">
                  <c:v>1.2891246684350132E-2</c:v>
                </c:pt>
                <c:pt idx="16">
                  <c:v>1.273209549071618E-2</c:v>
                </c:pt>
                <c:pt idx="17">
                  <c:v>1.2544007716421512E-2</c:v>
                </c:pt>
                <c:pt idx="18">
                  <c:v>1.2330757698074039E-2</c:v>
                </c:pt>
                <c:pt idx="19">
                  <c:v>1.2095490716180372E-2</c:v>
                </c:pt>
                <c:pt idx="20">
                  <c:v>1.184084880636605E-2</c:v>
                </c:pt>
                <c:pt idx="21">
                  <c:v>1.1569067537237299E-2</c:v>
                </c:pt>
                <c:pt idx="22">
                  <c:v>1.1282051282051283E-2</c:v>
                </c:pt>
                <c:pt idx="23">
                  <c:v>1.0981432360742704E-2</c:v>
                </c:pt>
                <c:pt idx="24">
                  <c:v>1.0668617945669076E-2</c:v>
                </c:pt>
                <c:pt idx="25">
                  <c:v>1.0344827586206896E-2</c:v>
                </c:pt>
                <c:pt idx="26">
                  <c:v>1.0011123470522803E-2</c:v>
                </c:pt>
              </c:numCache>
            </c:numRef>
          </c:val>
          <c:extLst>
            <c:ext xmlns:c16="http://schemas.microsoft.com/office/drawing/2014/chart" uri="{C3380CC4-5D6E-409C-BE32-E72D297353CC}">
              <c16:uniqueId val="{00000005-06F3-4601-8035-89E89D436B90}"/>
            </c:ext>
          </c:extLst>
        </c:ser>
        <c:ser>
          <c:idx val="6"/>
          <c:order val="6"/>
          <c:tx>
            <c:strRef>
              <c:f>'Ej. 4'!$W$38</c:f>
              <c:strCache>
                <c:ptCount val="1"/>
                <c:pt idx="0">
                  <c:v>6</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4'!$W$39:$W$67</c:f>
              <c:numCache>
                <c:formatCode>0.00%</c:formatCode>
                <c:ptCount val="29"/>
                <c:pt idx="0">
                  <c:v>0</c:v>
                </c:pt>
                <c:pt idx="1">
                  <c:v>4.0166729821902239E-3</c:v>
                </c:pt>
                <c:pt idx="2">
                  <c:v>6.8885941644562338E-3</c:v>
                </c:pt>
                <c:pt idx="3">
                  <c:v>8.9973474801061E-3</c:v>
                </c:pt>
                <c:pt idx="4">
                  <c:v>1.0571883289124669E-2</c:v>
                </c:pt>
                <c:pt idx="5">
                  <c:v>1.1757897275138656E-2</c:v>
                </c:pt>
                <c:pt idx="6">
                  <c:v>1.2652519893899206E-2</c:v>
                </c:pt>
                <c:pt idx="7">
                  <c:v>1.3322995307080187E-2</c:v>
                </c:pt>
                <c:pt idx="8">
                  <c:v>1.381735505873437E-2</c:v>
                </c:pt>
                <c:pt idx="9">
                  <c:v>1.417082228116711E-2</c:v>
                </c:pt>
                <c:pt idx="10">
                  <c:v>1.4409814323607427E-2</c:v>
                </c:pt>
                <c:pt idx="11">
                  <c:v>1.4554532688406929E-2</c:v>
                </c:pt>
                <c:pt idx="12">
                  <c:v>1.4620689655172416E-2</c:v>
                </c:pt>
                <c:pt idx="13">
                  <c:v>1.4620689655172414E-2</c:v>
                </c:pt>
                <c:pt idx="14">
                  <c:v>1.4564456233421752E-2</c:v>
                </c:pt>
                <c:pt idx="15">
                  <c:v>1.4460022735884804E-2</c:v>
                </c:pt>
                <c:pt idx="16">
                  <c:v>1.4313961900168797E-2</c:v>
                </c:pt>
                <c:pt idx="17">
                  <c:v>1.4131703379079694E-2</c:v>
                </c:pt>
                <c:pt idx="18">
                  <c:v>1.3917771883289125E-2</c:v>
                </c:pt>
                <c:pt idx="19">
                  <c:v>1.3675968169761273E-2</c:v>
                </c:pt>
                <c:pt idx="20">
                  <c:v>1.340950826361967E-2</c:v>
                </c:pt>
                <c:pt idx="21">
                  <c:v>1.3121131741821397E-2</c:v>
                </c:pt>
                <c:pt idx="22">
                  <c:v>1.2813186813186812E-2</c:v>
                </c:pt>
                <c:pt idx="23">
                  <c:v>1.2487697795664502E-2</c:v>
                </c:pt>
                <c:pt idx="24">
                  <c:v>1.2146419098143237E-2</c:v>
                </c:pt>
                <c:pt idx="25">
                  <c:v>1.1790878754171301E-2</c:v>
                </c:pt>
                <c:pt idx="26">
                  <c:v>1.1422413793103449E-2</c:v>
                </c:pt>
              </c:numCache>
            </c:numRef>
          </c:val>
          <c:extLst>
            <c:ext xmlns:c16="http://schemas.microsoft.com/office/drawing/2014/chart" uri="{C3380CC4-5D6E-409C-BE32-E72D297353CC}">
              <c16:uniqueId val="{00000006-06F3-4601-8035-89E89D436B90}"/>
            </c:ext>
          </c:extLst>
        </c:ser>
        <c:ser>
          <c:idx val="7"/>
          <c:order val="7"/>
          <c:tx>
            <c:strRef>
              <c:f>'Ej. 4'!$X$38</c:f>
              <c:strCache>
                <c:ptCount val="1"/>
                <c:pt idx="0">
                  <c:v>7</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4'!$X$39:$X$67</c:f>
              <c:numCache>
                <c:formatCode>0.00%</c:formatCode>
                <c:ptCount val="29"/>
                <c:pt idx="0">
                  <c:v>0</c:v>
                </c:pt>
                <c:pt idx="1">
                  <c:v>4.0229885057471272E-3</c:v>
                </c:pt>
                <c:pt idx="2">
                  <c:v>7.0089399744572168E-3</c:v>
                </c:pt>
                <c:pt idx="3">
                  <c:v>9.2689655172413787E-3</c:v>
                </c:pt>
                <c:pt idx="4">
                  <c:v>1.1001044932079415E-2</c:v>
                </c:pt>
                <c:pt idx="5">
                  <c:v>1.2337164750957856E-2</c:v>
                </c:pt>
                <c:pt idx="6">
                  <c:v>1.3368700265251991E-2</c:v>
                </c:pt>
                <c:pt idx="7">
                  <c:v>1.4160919540229884E-2</c:v>
                </c:pt>
                <c:pt idx="8">
                  <c:v>1.476168582375479E-2</c:v>
                </c:pt>
                <c:pt idx="9">
                  <c:v>1.520689655172414E-2</c:v>
                </c:pt>
                <c:pt idx="10">
                  <c:v>1.5524002704530089E-2</c:v>
                </c:pt>
                <c:pt idx="11">
                  <c:v>1.5734355044699874E-2</c:v>
                </c:pt>
                <c:pt idx="12">
                  <c:v>1.5854809437386569E-2</c:v>
                </c:pt>
                <c:pt idx="13">
                  <c:v>1.5898850574712645E-2</c:v>
                </c:pt>
                <c:pt idx="14">
                  <c:v>1.5877394636015327E-2</c:v>
                </c:pt>
                <c:pt idx="15">
                  <c:v>1.5799373040752351E-2</c:v>
                </c:pt>
                <c:pt idx="16">
                  <c:v>1.5672163918040983E-2</c:v>
                </c:pt>
                <c:pt idx="17">
                  <c:v>1.5501915708812262E-2</c:v>
                </c:pt>
                <c:pt idx="18">
                  <c:v>1.5293793103448276E-2</c:v>
                </c:pt>
                <c:pt idx="19">
                  <c:v>1.5052166224580018E-2</c:v>
                </c:pt>
                <c:pt idx="20">
                  <c:v>1.4780757769263518E-2</c:v>
                </c:pt>
                <c:pt idx="21">
                  <c:v>1.4482758620689656E-2</c:v>
                </c:pt>
                <c:pt idx="22">
                  <c:v>1.4160919540229886E-2</c:v>
                </c:pt>
                <c:pt idx="23">
                  <c:v>1.3817624521072797E-2</c:v>
                </c:pt>
                <c:pt idx="24">
                  <c:v>1.3454949944382651E-2</c:v>
                </c:pt>
                <c:pt idx="25">
                  <c:v>1.3074712643678162E-2</c:v>
                </c:pt>
                <c:pt idx="26">
                  <c:v>1.2678509230233368E-2</c:v>
                </c:pt>
              </c:numCache>
            </c:numRef>
          </c:val>
          <c:extLst>
            <c:ext xmlns:c16="http://schemas.microsoft.com/office/drawing/2014/chart" uri="{C3380CC4-5D6E-409C-BE32-E72D297353CC}">
              <c16:uniqueId val="{00000007-06F3-4601-8035-89E89D436B90}"/>
            </c:ext>
          </c:extLst>
        </c:ser>
        <c:ser>
          <c:idx val="8"/>
          <c:order val="8"/>
          <c:tx>
            <c:strRef>
              <c:f>'Ej. 4'!$Y$38</c:f>
              <c:strCache>
                <c:ptCount val="1"/>
                <c:pt idx="0">
                  <c:v>8</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4'!$Y$39:$Y$67</c:f>
              <c:numCache>
                <c:formatCode>0.00%</c:formatCode>
                <c:ptCount val="29"/>
                <c:pt idx="0">
                  <c:v>0</c:v>
                </c:pt>
                <c:pt idx="1">
                  <c:v>4.008252284114353E-3</c:v>
                </c:pt>
                <c:pt idx="2">
                  <c:v>7.0705570291777183E-3</c:v>
                </c:pt>
                <c:pt idx="3">
                  <c:v>9.4448999276585469E-3</c:v>
                </c:pt>
                <c:pt idx="4">
                  <c:v>1.1303271441202474E-2</c:v>
                </c:pt>
                <c:pt idx="5">
                  <c:v>1.2764741889410323E-2</c:v>
                </c:pt>
                <c:pt idx="6">
                  <c:v>1.3914361500568396E-2</c:v>
                </c:pt>
                <c:pt idx="7">
                  <c:v>1.4814500442086646E-2</c:v>
                </c:pt>
                <c:pt idx="8">
                  <c:v>1.5511936339522546E-2</c:v>
                </c:pt>
                <c:pt idx="9">
                  <c:v>1.6042440318302386E-2</c:v>
                </c:pt>
                <c:pt idx="10">
                  <c:v>1.6433834364868845E-2</c:v>
                </c:pt>
                <c:pt idx="11">
                  <c:v>1.670808320536088E-2</c:v>
                </c:pt>
                <c:pt idx="12">
                  <c:v>1.6882758620689654E-2</c:v>
                </c:pt>
                <c:pt idx="13">
                  <c:v>1.6972085385878487E-2</c:v>
                </c:pt>
                <c:pt idx="14">
                  <c:v>1.6987701953219192E-2</c:v>
                </c:pt>
                <c:pt idx="15">
                  <c:v>1.6939222696344132E-2</c:v>
                </c:pt>
                <c:pt idx="16">
                  <c:v>1.6834659593280281E-2</c:v>
                </c:pt>
                <c:pt idx="17">
                  <c:v>1.6680742705570292E-2</c:v>
                </c:pt>
                <c:pt idx="18">
                  <c:v>1.6483166700673329E-2</c:v>
                </c:pt>
                <c:pt idx="19">
                  <c:v>1.6246782591610175E-2</c:v>
                </c:pt>
                <c:pt idx="20">
                  <c:v>1.5975748389541491E-2</c:v>
                </c:pt>
                <c:pt idx="21">
                  <c:v>1.567364858684716E-2</c:v>
                </c:pt>
                <c:pt idx="22">
                  <c:v>1.534358974358974E-2</c:v>
                </c:pt>
                <c:pt idx="23">
                  <c:v>1.498827757337212E-2</c:v>
                </c:pt>
                <c:pt idx="24">
                  <c:v>1.4610079575596817E-2</c:v>
                </c:pt>
                <c:pt idx="25">
                  <c:v>1.4211076280041795E-2</c:v>
                </c:pt>
                <c:pt idx="26">
                  <c:v>1.379310344827586E-2</c:v>
                </c:pt>
              </c:numCache>
            </c:numRef>
          </c:val>
          <c:extLst>
            <c:ext xmlns:c16="http://schemas.microsoft.com/office/drawing/2014/chart" uri="{C3380CC4-5D6E-409C-BE32-E72D297353CC}">
              <c16:uniqueId val="{00000008-06F3-4601-8035-89E89D436B90}"/>
            </c:ext>
          </c:extLst>
        </c:ser>
        <c:ser>
          <c:idx val="9"/>
          <c:order val="9"/>
          <c:tx>
            <c:strRef>
              <c:f>'Ej. 4'!$Z$38</c:f>
              <c:strCache>
                <c:ptCount val="1"/>
                <c:pt idx="0">
                  <c:v>9</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4'!$Z$39:$Z$67</c:f>
              <c:numCache>
                <c:formatCode>0.00%</c:formatCode>
                <c:ptCount val="29"/>
                <c:pt idx="0">
                  <c:v>0</c:v>
                </c:pt>
                <c:pt idx="1">
                  <c:v>3.9787798408488064E-3</c:v>
                </c:pt>
                <c:pt idx="2">
                  <c:v>7.0894622618760533E-3</c:v>
                </c:pt>
                <c:pt idx="3">
                  <c:v>9.5490716180371329E-3</c:v>
                </c:pt>
                <c:pt idx="4">
                  <c:v>1.1507855539685778E-2</c:v>
                </c:pt>
                <c:pt idx="5">
                  <c:v>1.3073133762788933E-2</c:v>
                </c:pt>
                <c:pt idx="6">
                  <c:v>1.4323607427055702E-2</c:v>
                </c:pt>
                <c:pt idx="7">
                  <c:v>1.5318302387267901E-2</c:v>
                </c:pt>
                <c:pt idx="8">
                  <c:v>1.6102356061788111E-2</c:v>
                </c:pt>
                <c:pt idx="9">
                  <c:v>1.6710875331564984E-2</c:v>
                </c:pt>
                <c:pt idx="10">
                  <c:v>1.7171576155242216E-2</c:v>
                </c:pt>
                <c:pt idx="11">
                  <c:v>1.7506631299734746E-2</c:v>
                </c:pt>
                <c:pt idx="12">
                  <c:v>1.7733990147783246E-2</c:v>
                </c:pt>
                <c:pt idx="13">
                  <c:v>1.7868338557993729E-2</c:v>
                </c:pt>
                <c:pt idx="14">
                  <c:v>1.7921808326605927E-2</c:v>
                </c:pt>
                <c:pt idx="15">
                  <c:v>1.7904509283819623E-2</c:v>
                </c:pt>
                <c:pt idx="16">
                  <c:v>1.782493368700265E-2</c:v>
                </c:pt>
                <c:pt idx="17">
                  <c:v>1.7690267292389306E-2</c:v>
                </c:pt>
                <c:pt idx="18">
                  <c:v>1.7506631299734746E-2</c:v>
                </c:pt>
                <c:pt idx="19">
                  <c:v>1.7279272451686242E-2</c:v>
                </c:pt>
                <c:pt idx="20">
                  <c:v>1.7012713802250067E-2</c:v>
                </c:pt>
                <c:pt idx="21">
                  <c:v>1.6710875331564987E-2</c:v>
                </c:pt>
                <c:pt idx="22">
                  <c:v>1.6377171215880889E-2</c:v>
                </c:pt>
                <c:pt idx="23">
                  <c:v>1.6014588859416444E-2</c:v>
                </c:pt>
                <c:pt idx="24">
                  <c:v>1.5625753556788038E-2</c:v>
                </c:pt>
                <c:pt idx="25">
                  <c:v>1.5212981744421905E-2</c:v>
                </c:pt>
                <c:pt idx="26">
                  <c:v>1.4778325123152707E-2</c:v>
                </c:pt>
              </c:numCache>
            </c:numRef>
          </c:val>
          <c:extLst>
            <c:ext xmlns:c16="http://schemas.microsoft.com/office/drawing/2014/chart" uri="{C3380CC4-5D6E-409C-BE32-E72D297353CC}">
              <c16:uniqueId val="{00000009-06F3-4601-8035-89E89D436B90}"/>
            </c:ext>
          </c:extLst>
        </c:ser>
        <c:ser>
          <c:idx val="10"/>
          <c:order val="10"/>
          <c:tx>
            <c:strRef>
              <c:f>'Ej. 4'!$AA$38</c:f>
              <c:strCache>
                <c:ptCount val="1"/>
                <c:pt idx="0">
                  <c:v>10</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4'!$AA$39:$AA$67</c:f>
              <c:numCache>
                <c:formatCode>0.00%</c:formatCode>
                <c:ptCount val="29"/>
                <c:pt idx="0">
                  <c:v>0</c:v>
                </c:pt>
                <c:pt idx="1">
                  <c:v>3.938590145486697E-3</c:v>
                </c:pt>
                <c:pt idx="2">
                  <c:v>7.0763336280577661E-3</c:v>
                </c:pt>
                <c:pt idx="3">
                  <c:v>9.5980412160783495E-3</c:v>
                </c:pt>
                <c:pt idx="4">
                  <c:v>1.1635720601237841E-2</c:v>
                </c:pt>
                <c:pt idx="5">
                  <c:v>1.3286177424108458E-2</c:v>
                </c:pt>
                <c:pt idx="6">
                  <c:v>1.4622015915119364E-2</c:v>
                </c:pt>
                <c:pt idx="7">
                  <c:v>1.5698756956363445E-2</c:v>
                </c:pt>
                <c:pt idx="8">
                  <c:v>1.6559583456135181E-2</c:v>
                </c:pt>
                <c:pt idx="9">
                  <c:v>1.7238587184140723E-2</c:v>
                </c:pt>
                <c:pt idx="10">
                  <c:v>1.7763041556145005E-2</c:v>
                </c:pt>
                <c:pt idx="11">
                  <c:v>1.8155025051576776E-2</c:v>
                </c:pt>
                <c:pt idx="12">
                  <c:v>1.8432601880877742E-2</c:v>
                </c:pt>
                <c:pt idx="13">
                  <c:v>1.8610694652673662E-2</c:v>
                </c:pt>
                <c:pt idx="14">
                  <c:v>1.8701738874152666E-2</c:v>
                </c:pt>
                <c:pt idx="15">
                  <c:v>1.8716180371352781E-2</c:v>
                </c:pt>
                <c:pt idx="16">
                  <c:v>1.8662857920152352E-2</c:v>
                </c:pt>
                <c:pt idx="17">
                  <c:v>1.8549300848151425E-2</c:v>
                </c:pt>
                <c:pt idx="18">
                  <c:v>1.8381962864721487E-2</c:v>
                </c:pt>
                <c:pt idx="19">
                  <c:v>1.8166407512424158E-2</c:v>
                </c:pt>
                <c:pt idx="20">
                  <c:v>1.7907456528146185E-2</c:v>
                </c:pt>
                <c:pt idx="21">
                  <c:v>1.7609309489176009E-2</c:v>
                </c:pt>
                <c:pt idx="22">
                  <c:v>1.7275641025641025E-2</c:v>
                </c:pt>
                <c:pt idx="23">
                  <c:v>1.6909680357956217E-2</c:v>
                </c:pt>
                <c:pt idx="24">
                  <c:v>1.6514276798252459E-2</c:v>
                </c:pt>
                <c:pt idx="25">
                  <c:v>1.6091954022988506E-2</c:v>
                </c:pt>
                <c:pt idx="26">
                  <c:v>1.5644955300127713E-2</c:v>
                </c:pt>
              </c:numCache>
            </c:numRef>
          </c:val>
          <c:extLst>
            <c:ext xmlns:c16="http://schemas.microsoft.com/office/drawing/2014/chart" uri="{C3380CC4-5D6E-409C-BE32-E72D297353CC}">
              <c16:uniqueId val="{0000000A-06F3-4601-8035-89E89D436B90}"/>
            </c:ext>
          </c:extLst>
        </c:ser>
        <c:ser>
          <c:idx val="11"/>
          <c:order val="11"/>
          <c:tx>
            <c:strRef>
              <c:f>'Ej. 4'!$AB$38</c:f>
              <c:strCache>
                <c:ptCount val="1"/>
                <c:pt idx="0">
                  <c:v>11</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4'!$AB$39:$AB$67</c:f>
              <c:numCache>
                <c:formatCode>0.00%</c:formatCode>
                <c:ptCount val="29"/>
                <c:pt idx="0">
                  <c:v>0</c:v>
                </c:pt>
                <c:pt idx="1">
                  <c:v>3.8903625110521668E-3</c:v>
                </c:pt>
                <c:pt idx="2">
                  <c:v>7.0385635584574576E-3</c:v>
                </c:pt>
                <c:pt idx="3">
                  <c:v>9.6036377415687751E-3</c:v>
                </c:pt>
                <c:pt idx="4">
                  <c:v>1.1702210433244915E-2</c:v>
                </c:pt>
                <c:pt idx="5">
                  <c:v>1.3421750663129974E-2</c:v>
                </c:pt>
                <c:pt idx="6">
                  <c:v>1.4829146512716492E-2</c:v>
                </c:pt>
                <c:pt idx="7">
                  <c:v>1.5976422045387559E-2</c:v>
                </c:pt>
                <c:pt idx="8">
                  <c:v>1.6904648890129836E-2</c:v>
                </c:pt>
                <c:pt idx="9">
                  <c:v>1.7646684350132627E-2</c:v>
                </c:pt>
                <c:pt idx="10">
                  <c:v>1.8229127194644434E-2</c:v>
                </c:pt>
                <c:pt idx="11">
                  <c:v>1.8673740053050399E-2</c:v>
                </c:pt>
                <c:pt idx="12">
                  <c:v>1.8998500749625186E-2</c:v>
                </c:pt>
                <c:pt idx="13">
                  <c:v>1.9218390804597699E-2</c:v>
                </c:pt>
                <c:pt idx="14">
                  <c:v>1.9345994694960213E-2</c:v>
                </c:pt>
                <c:pt idx="15">
                  <c:v>1.9391960824321566E-2</c:v>
                </c:pt>
                <c:pt idx="16">
                  <c:v>1.936536005501523E-2</c:v>
                </c:pt>
                <c:pt idx="17">
                  <c:v>1.9273967411898445E-2</c:v>
                </c:pt>
                <c:pt idx="18">
                  <c:v>1.9124485502606786E-2</c:v>
                </c:pt>
                <c:pt idx="19">
                  <c:v>1.8922723253757736E-2</c:v>
                </c:pt>
                <c:pt idx="20">
                  <c:v>1.8673740053050399E-2</c:v>
                </c:pt>
                <c:pt idx="21">
                  <c:v>1.8381962864721484E-2</c:v>
                </c:pt>
                <c:pt idx="22">
                  <c:v>1.805128205128205E-2</c:v>
                </c:pt>
                <c:pt idx="23">
                  <c:v>1.7685130285535963E-2</c:v>
                </c:pt>
                <c:pt idx="24">
                  <c:v>1.7286547934823798E-2</c:v>
                </c:pt>
                <c:pt idx="25">
                  <c:v>1.6858237547892719E-2</c:v>
                </c:pt>
                <c:pt idx="26">
                  <c:v>1.6402609506057781E-2</c:v>
                </c:pt>
              </c:numCache>
            </c:numRef>
          </c:val>
          <c:extLst>
            <c:ext xmlns:c16="http://schemas.microsoft.com/office/drawing/2014/chart" uri="{C3380CC4-5D6E-409C-BE32-E72D297353CC}">
              <c16:uniqueId val="{0000000B-06F3-4601-8035-89E89D436B90}"/>
            </c:ext>
          </c:extLst>
        </c:ser>
        <c:ser>
          <c:idx val="12"/>
          <c:order val="12"/>
          <c:tx>
            <c:strRef>
              <c:f>'Ej. 4'!$AC$38</c:f>
              <c:strCache>
                <c:ptCount val="1"/>
                <c:pt idx="0">
                  <c:v>12</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4'!$AC$39:$AC$67</c:f>
              <c:numCache>
                <c:formatCode>0.00%</c:formatCode>
                <c:ptCount val="29"/>
                <c:pt idx="0">
                  <c:v>0</c:v>
                </c:pt>
                <c:pt idx="1">
                  <c:v>3.8359518465619262E-3</c:v>
                </c:pt>
                <c:pt idx="2">
                  <c:v>6.9814323607427049E-3</c:v>
                </c:pt>
                <c:pt idx="3">
                  <c:v>9.574535809018566E-3</c:v>
                </c:pt>
                <c:pt idx="4">
                  <c:v>1.1718832891246684E-2</c:v>
                </c:pt>
                <c:pt idx="5">
                  <c:v>1.3493524730847245E-2</c:v>
                </c:pt>
                <c:pt idx="6">
                  <c:v>1.4960212201591513E-2</c:v>
                </c:pt>
                <c:pt idx="7">
                  <c:v>1.6167527572246262E-2</c:v>
                </c:pt>
                <c:pt idx="8">
                  <c:v>1.7154376657824936E-2</c:v>
                </c:pt>
                <c:pt idx="9">
                  <c:v>1.7952254641909814E-2</c:v>
                </c:pt>
                <c:pt idx="10">
                  <c:v>1.8586930311068242E-2</c:v>
                </c:pt>
                <c:pt idx="11">
                  <c:v>1.9079690923768884E-2</c:v>
                </c:pt>
                <c:pt idx="12">
                  <c:v>1.9448275862068962E-2</c:v>
                </c:pt>
                <c:pt idx="13">
                  <c:v>1.9707586206896551E-2</c:v>
                </c:pt>
                <c:pt idx="14">
                  <c:v>1.9870230565190775E-2</c:v>
                </c:pt>
                <c:pt idx="15">
                  <c:v>1.9946949602122014E-2</c:v>
                </c:pt>
                <c:pt idx="16">
                  <c:v>1.9946949602122014E-2</c:v>
                </c:pt>
                <c:pt idx="17">
                  <c:v>1.9878167017287111E-2</c:v>
                </c:pt>
                <c:pt idx="18">
                  <c:v>1.9747480106100793E-2</c:v>
                </c:pt>
                <c:pt idx="19">
                  <c:v>1.9560879609822879E-2</c:v>
                </c:pt>
                <c:pt idx="20">
                  <c:v>1.9323607427055703E-2</c:v>
                </c:pt>
                <c:pt idx="21">
                  <c:v>1.904027007475283E-2</c:v>
                </c:pt>
                <c:pt idx="22">
                  <c:v>1.871493212669683E-2</c:v>
                </c:pt>
                <c:pt idx="23">
                  <c:v>1.8351193633952254E-2</c:v>
                </c:pt>
                <c:pt idx="24">
                  <c:v>1.7952254641909818E-2</c:v>
                </c:pt>
                <c:pt idx="25">
                  <c:v>1.7520969245107175E-2</c:v>
                </c:pt>
                <c:pt idx="26">
                  <c:v>1.7059891107078038E-2</c:v>
                </c:pt>
              </c:numCache>
            </c:numRef>
          </c:val>
          <c:extLst>
            <c:ext xmlns:c16="http://schemas.microsoft.com/office/drawing/2014/chart" uri="{C3380CC4-5D6E-409C-BE32-E72D297353CC}">
              <c16:uniqueId val="{0000000C-06F3-4601-8035-89E89D436B90}"/>
            </c:ext>
          </c:extLst>
        </c:ser>
        <c:ser>
          <c:idx val="13"/>
          <c:order val="13"/>
          <c:tx>
            <c:strRef>
              <c:f>'Ej. 4'!$AD$38</c:f>
              <c:strCache>
                <c:ptCount val="1"/>
                <c:pt idx="0">
                  <c:v>13</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4'!$AD$39:$AD$67</c:f>
              <c:numCache>
                <c:formatCode>0.00%</c:formatCode>
                <c:ptCount val="29"/>
                <c:pt idx="0">
                  <c:v>0</c:v>
                </c:pt>
                <c:pt idx="1">
                  <c:v>3.7766830870279151E-3</c:v>
                </c:pt>
                <c:pt idx="2">
                  <c:v>6.9088122605363983E-3</c:v>
                </c:pt>
                <c:pt idx="3">
                  <c:v>9.5172413793103445E-3</c:v>
                </c:pt>
                <c:pt idx="4">
                  <c:v>1.1694388100067614E-2</c:v>
                </c:pt>
                <c:pt idx="5">
                  <c:v>1.3512132822477652E-2</c:v>
                </c:pt>
                <c:pt idx="6">
                  <c:v>1.5027223230490017E-2</c:v>
                </c:pt>
                <c:pt idx="7">
                  <c:v>1.6285057471264366E-2</c:v>
                </c:pt>
                <c:pt idx="8">
                  <c:v>1.7322386425834703E-2</c:v>
                </c:pt>
                <c:pt idx="9">
                  <c:v>1.8169278996865205E-2</c:v>
                </c:pt>
                <c:pt idx="10">
                  <c:v>1.8850574712643679E-2</c:v>
                </c:pt>
                <c:pt idx="11">
                  <c:v>1.9386973180076629E-2</c:v>
                </c:pt>
                <c:pt idx="12">
                  <c:v>1.9795862068965518E-2</c:v>
                </c:pt>
                <c:pt idx="13">
                  <c:v>2.0091954022988506E-2</c:v>
                </c:pt>
                <c:pt idx="14">
                  <c:v>2.0287782034908473E-2</c:v>
                </c:pt>
                <c:pt idx="15">
                  <c:v>2.0394088669950738E-2</c:v>
                </c:pt>
                <c:pt idx="16">
                  <c:v>2.0420134760206106E-2</c:v>
                </c:pt>
                <c:pt idx="17">
                  <c:v>2.0373946360153258E-2</c:v>
                </c:pt>
                <c:pt idx="18">
                  <c:v>2.0262513904338156E-2</c:v>
                </c:pt>
                <c:pt idx="19">
                  <c:v>2.0091954022988506E-2</c:v>
                </c:pt>
                <c:pt idx="20">
                  <c:v>1.9867641936607453E-2</c:v>
                </c:pt>
                <c:pt idx="21">
                  <c:v>1.9594320486815416E-2</c:v>
                </c:pt>
                <c:pt idx="22">
                  <c:v>1.9276190476190475E-2</c:v>
                </c:pt>
                <c:pt idx="23">
                  <c:v>1.891698595146871E-2</c:v>
                </c:pt>
                <c:pt idx="24">
                  <c:v>1.8520037278657971E-2</c:v>
                </c:pt>
                <c:pt idx="25">
                  <c:v>1.808832425892317E-2</c:v>
                </c:pt>
                <c:pt idx="26">
                  <c:v>1.7624521072796936E-2</c:v>
                </c:pt>
              </c:numCache>
            </c:numRef>
          </c:val>
          <c:extLst>
            <c:ext xmlns:c16="http://schemas.microsoft.com/office/drawing/2014/chart" uri="{C3380CC4-5D6E-409C-BE32-E72D297353CC}">
              <c16:uniqueId val="{0000000D-06F3-4601-8035-89E89D436B90}"/>
            </c:ext>
          </c:extLst>
        </c:ser>
        <c:ser>
          <c:idx val="14"/>
          <c:order val="14"/>
          <c:tx>
            <c:strRef>
              <c:f>'Ej. 4'!$AE$38</c:f>
              <c:strCache>
                <c:ptCount val="1"/>
                <c:pt idx="0">
                  <c:v>14</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4'!$AE$39:$AE$67</c:f>
              <c:numCache>
                <c:formatCode>0.00%</c:formatCode>
                <c:ptCount val="29"/>
                <c:pt idx="0">
                  <c:v>0</c:v>
                </c:pt>
                <c:pt idx="1">
                  <c:v>3.7135278514588859E-3</c:v>
                </c:pt>
                <c:pt idx="2">
                  <c:v>6.8236074270557031E-3</c:v>
                </c:pt>
                <c:pt idx="3">
                  <c:v>9.4367295990014036E-3</c:v>
                </c:pt>
                <c:pt idx="4">
                  <c:v>1.1635720601237843E-2</c:v>
                </c:pt>
                <c:pt idx="5">
                  <c:v>1.3485969565824377E-2</c:v>
                </c:pt>
                <c:pt idx="6">
                  <c:v>1.5039787798408488E-2</c:v>
                </c:pt>
                <c:pt idx="7">
                  <c:v>1.6339522546419096E-2</c:v>
                </c:pt>
                <c:pt idx="8">
                  <c:v>1.7419821557752593E-2</c:v>
                </c:pt>
                <c:pt idx="9">
                  <c:v>1.8309306885019031E-2</c:v>
                </c:pt>
                <c:pt idx="10">
                  <c:v>1.9031830238726791E-2</c:v>
                </c:pt>
                <c:pt idx="11">
                  <c:v>1.9607427055702918E-2</c:v>
                </c:pt>
                <c:pt idx="12">
                  <c:v>2.0053050397877983E-2</c:v>
                </c:pt>
                <c:pt idx="13">
                  <c:v>2.0383141762452109E-2</c:v>
                </c:pt>
                <c:pt idx="14">
                  <c:v>2.061007957559682E-2</c:v>
                </c:pt>
                <c:pt idx="15">
                  <c:v>2.0744534894356535E-2</c:v>
                </c:pt>
                <c:pt idx="16">
                  <c:v>2.0795755968169762E-2</c:v>
                </c:pt>
                <c:pt idx="17">
                  <c:v>2.0771797723966801E-2</c:v>
                </c:pt>
                <c:pt idx="18">
                  <c:v>2.067970822281167E-2</c:v>
                </c:pt>
                <c:pt idx="19">
                  <c:v>2.0525681215336388E-2</c:v>
                </c:pt>
                <c:pt idx="20">
                  <c:v>2.0315181775628025E-2</c:v>
                </c:pt>
                <c:pt idx="21">
                  <c:v>2.0053050397877987E-2</c:v>
                </c:pt>
                <c:pt idx="22">
                  <c:v>1.9743589743589741E-2</c:v>
                </c:pt>
                <c:pt idx="23">
                  <c:v>1.9390637321671803E-2</c:v>
                </c:pt>
                <c:pt idx="24">
                  <c:v>1.8997626692726512E-2</c:v>
                </c:pt>
                <c:pt idx="25">
                  <c:v>1.8567639257294429E-2</c:v>
                </c:pt>
                <c:pt idx="26">
                  <c:v>1.810344827586207E-2</c:v>
                </c:pt>
              </c:numCache>
            </c:numRef>
          </c:val>
          <c:extLst>
            <c:ext xmlns:c16="http://schemas.microsoft.com/office/drawing/2014/chart" uri="{C3380CC4-5D6E-409C-BE32-E72D297353CC}">
              <c16:uniqueId val="{0000000E-06F3-4601-8035-89E89D436B90}"/>
            </c:ext>
          </c:extLst>
        </c:ser>
        <c:ser>
          <c:idx val="15"/>
          <c:order val="15"/>
          <c:tx>
            <c:strRef>
              <c:f>'Ej. 4'!$AF$38</c:f>
              <c:strCache>
                <c:ptCount val="1"/>
                <c:pt idx="0">
                  <c:v>15</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4'!$AF$39:$AF$67</c:f>
              <c:numCache>
                <c:formatCode>0.00%</c:formatCode>
                <c:ptCount val="29"/>
                <c:pt idx="0">
                  <c:v>0</c:v>
                </c:pt>
                <c:pt idx="1">
                  <c:v>3.6472148541114059E-3</c:v>
                </c:pt>
                <c:pt idx="2">
                  <c:v>6.7280386955843345E-3</c:v>
                </c:pt>
                <c:pt idx="3">
                  <c:v>9.3368700265251976E-3</c:v>
                </c:pt>
                <c:pt idx="4">
                  <c:v>1.1548233980175904E-2</c:v>
                </c:pt>
                <c:pt idx="5">
                  <c:v>1.3421750663129974E-2</c:v>
                </c:pt>
                <c:pt idx="6">
                  <c:v>1.5005683971201212E-2</c:v>
                </c:pt>
                <c:pt idx="7">
                  <c:v>1.6339522546419096E-2</c:v>
                </c:pt>
                <c:pt idx="8">
                  <c:v>1.7455887440894938E-2</c:v>
                </c:pt>
                <c:pt idx="9">
                  <c:v>1.8381962864721487E-2</c:v>
                </c:pt>
                <c:pt idx="10">
                  <c:v>1.9140583554376655E-2</c:v>
                </c:pt>
                <c:pt idx="11">
                  <c:v>1.9751071209957151E-2</c:v>
                </c:pt>
                <c:pt idx="12">
                  <c:v>2.022988505747126E-2</c:v>
                </c:pt>
                <c:pt idx="13">
                  <c:v>2.0591133004926106E-2</c:v>
                </c:pt>
                <c:pt idx="14">
                  <c:v>2.0846977041982986E-2</c:v>
                </c:pt>
                <c:pt idx="15">
                  <c:v>2.1007957559681698E-2</c:v>
                </c:pt>
                <c:pt idx="16">
                  <c:v>2.1083254898605287E-2</c:v>
                </c:pt>
                <c:pt idx="17">
                  <c:v>2.1080901856763926E-2</c:v>
                </c:pt>
                <c:pt idx="18">
                  <c:v>2.1007957559681698E-2</c:v>
                </c:pt>
                <c:pt idx="19">
                  <c:v>2.0870650647526915E-2</c:v>
                </c:pt>
                <c:pt idx="20">
                  <c:v>2.0674497915877225E-2</c:v>
                </c:pt>
                <c:pt idx="21">
                  <c:v>2.0424403183023871E-2</c:v>
                </c:pt>
                <c:pt idx="22">
                  <c:v>2.0124740124740123E-2</c:v>
                </c:pt>
                <c:pt idx="23">
                  <c:v>1.9779422029875749E-2</c:v>
                </c:pt>
                <c:pt idx="24">
                  <c:v>1.9391960824321569E-2</c:v>
                </c:pt>
                <c:pt idx="25">
                  <c:v>1.896551724137931E-2</c:v>
                </c:pt>
                <c:pt idx="26">
                  <c:v>1.8502943650126155E-2</c:v>
                </c:pt>
              </c:numCache>
            </c:numRef>
          </c:val>
          <c:extLst>
            <c:ext xmlns:c16="http://schemas.microsoft.com/office/drawing/2014/chart" uri="{C3380CC4-5D6E-409C-BE32-E72D297353CC}">
              <c16:uniqueId val="{0000000F-06F3-4601-8035-89E89D436B90}"/>
            </c:ext>
          </c:extLst>
        </c:ser>
        <c:ser>
          <c:idx val="16"/>
          <c:order val="16"/>
          <c:tx>
            <c:strRef>
              <c:f>'Ej. 4'!$AG$38</c:f>
              <c:strCache>
                <c:ptCount val="1"/>
                <c:pt idx="0">
                  <c:v>16</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4'!$AG$39:$AG$67</c:f>
              <c:numCache>
                <c:formatCode>0.00%</c:formatCode>
                <c:ptCount val="29"/>
                <c:pt idx="0">
                  <c:v>0</c:v>
                </c:pt>
                <c:pt idx="1">
                  <c:v>3.578301347064025E-3</c:v>
                </c:pt>
                <c:pt idx="2">
                  <c:v>6.6238333824540719E-3</c:v>
                </c:pt>
                <c:pt idx="3">
                  <c:v>9.2207175764344538E-3</c:v>
                </c:pt>
                <c:pt idx="4">
                  <c:v>1.1436251105216623E-2</c:v>
                </c:pt>
                <c:pt idx="5">
                  <c:v>1.3324912635257464E-2</c:v>
                </c:pt>
                <c:pt idx="6">
                  <c:v>1.4931275620930794E-2</c:v>
                </c:pt>
                <c:pt idx="7">
                  <c:v>1.6292161611501939E-2</c:v>
                </c:pt>
                <c:pt idx="8">
                  <c:v>1.7438255231358682E-2</c:v>
                </c:pt>
                <c:pt idx="9">
                  <c:v>1.8395331564986739E-2</c:v>
                </c:pt>
                <c:pt idx="10">
                  <c:v>1.9185200299258656E-2</c:v>
                </c:pt>
                <c:pt idx="11">
                  <c:v>1.9826440056325115E-2</c:v>
                </c:pt>
                <c:pt idx="12">
                  <c:v>2.0334975369458129E-2</c:v>
                </c:pt>
                <c:pt idx="13">
                  <c:v>2.0724534284581847E-2</c:v>
                </c:pt>
                <c:pt idx="14">
                  <c:v>2.1007014441497201E-2</c:v>
                </c:pt>
                <c:pt idx="15">
                  <c:v>2.1192778300675966E-2</c:v>
                </c:pt>
                <c:pt idx="16">
                  <c:v>2.1290893015030947E-2</c:v>
                </c:pt>
                <c:pt idx="17">
                  <c:v>2.1309326688637033E-2</c:v>
                </c:pt>
                <c:pt idx="18">
                  <c:v>2.1255110001560305E-2</c:v>
                </c:pt>
                <c:pt idx="19">
                  <c:v>2.1134470127573576E-2</c:v>
                </c:pt>
                <c:pt idx="20">
                  <c:v>2.0952942332252679E-2</c:v>
                </c:pt>
                <c:pt idx="21">
                  <c:v>2.0715463474084161E-2</c:v>
                </c:pt>
                <c:pt idx="22">
                  <c:v>2.0426450742240213E-2</c:v>
                </c:pt>
                <c:pt idx="23">
                  <c:v>2.0089868280849712E-2</c:v>
                </c:pt>
                <c:pt idx="24">
                  <c:v>1.9709283819628647E-2</c:v>
                </c:pt>
                <c:pt idx="25">
                  <c:v>1.9287917017101204E-2</c:v>
                </c:pt>
                <c:pt idx="26">
                  <c:v>1.8828680897646416E-2</c:v>
                </c:pt>
              </c:numCache>
            </c:numRef>
          </c:val>
          <c:extLst>
            <c:ext xmlns:c16="http://schemas.microsoft.com/office/drawing/2014/chart" uri="{C3380CC4-5D6E-409C-BE32-E72D297353CC}">
              <c16:uniqueId val="{00000010-06F3-4601-8035-89E89D436B90}"/>
            </c:ext>
          </c:extLst>
        </c:ser>
        <c:ser>
          <c:idx val="17"/>
          <c:order val="17"/>
          <c:tx>
            <c:strRef>
              <c:f>'Ej. 4'!$AH$38</c:f>
              <c:strCache>
                <c:ptCount val="1"/>
                <c:pt idx="0">
                  <c:v>17</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4'!$AH$39:$AH$67</c:f>
              <c:numCache>
                <c:formatCode>0.00%</c:formatCode>
                <c:ptCount val="29"/>
                <c:pt idx="0">
                  <c:v>0</c:v>
                </c:pt>
                <c:pt idx="1">
                  <c:v>3.5072207486000592E-3</c:v>
                </c:pt>
                <c:pt idx="2">
                  <c:v>6.5123551584531621E-3</c:v>
                </c:pt>
                <c:pt idx="3">
                  <c:v>9.090716180371352E-3</c:v>
                </c:pt>
                <c:pt idx="4">
                  <c:v>1.1303271441202476E-2</c:v>
                </c:pt>
                <c:pt idx="5">
                  <c:v>1.3199903544731132E-2</c:v>
                </c:pt>
                <c:pt idx="6">
                  <c:v>1.482181985930112E-2</c:v>
                </c:pt>
                <c:pt idx="7">
                  <c:v>1.620335985853227E-2</c:v>
                </c:pt>
                <c:pt idx="8">
                  <c:v>1.7373368700265252E-2</c:v>
                </c:pt>
                <c:pt idx="9">
                  <c:v>1.8356253825749846E-2</c:v>
                </c:pt>
                <c:pt idx="10">
                  <c:v>1.9172806759013655E-2</c:v>
                </c:pt>
                <c:pt idx="11">
                  <c:v>1.9840848806366048E-2</c:v>
                </c:pt>
                <c:pt idx="12">
                  <c:v>2.0375743162901309E-2</c:v>
                </c:pt>
                <c:pt idx="13">
                  <c:v>2.0790804597701149E-2</c:v>
                </c:pt>
                <c:pt idx="14">
                  <c:v>2.1097629845127065E-2</c:v>
                </c:pt>
                <c:pt idx="15">
                  <c:v>2.1306366047745356E-2</c:v>
                </c:pt>
                <c:pt idx="16">
                  <c:v>2.1425930391447634E-2</c:v>
                </c:pt>
                <c:pt idx="17">
                  <c:v>2.146419098143236E-2</c:v>
                </c:pt>
                <c:pt idx="18">
                  <c:v>2.1428116710875331E-2</c:v>
                </c:pt>
                <c:pt idx="19">
                  <c:v>2.1323902151488359E-2</c:v>
                </c:pt>
                <c:pt idx="20">
                  <c:v>2.1157072191554948E-2</c:v>
                </c:pt>
                <c:pt idx="21">
                  <c:v>2.0932570152170878E-2</c:v>
                </c:pt>
                <c:pt idx="22">
                  <c:v>2.0654832347140037E-2</c:v>
                </c:pt>
                <c:pt idx="23">
                  <c:v>2.0327851458885941E-2</c:v>
                </c:pt>
                <c:pt idx="24">
                  <c:v>1.9955230639839557E-2</c:v>
                </c:pt>
                <c:pt idx="25">
                  <c:v>1.9540229885057471E-2</c:v>
                </c:pt>
                <c:pt idx="26">
                  <c:v>1.9085805934242181E-2</c:v>
                </c:pt>
              </c:numCache>
            </c:numRef>
          </c:val>
          <c:extLst>
            <c:ext xmlns:c16="http://schemas.microsoft.com/office/drawing/2014/chart" uri="{C3380CC4-5D6E-409C-BE32-E72D297353CC}">
              <c16:uniqueId val="{00000011-06F3-4601-8035-89E89D436B90}"/>
            </c:ext>
          </c:extLst>
        </c:ser>
        <c:ser>
          <c:idx val="18"/>
          <c:order val="18"/>
          <c:tx>
            <c:strRef>
              <c:f>'Ej. 4'!$AI$38</c:f>
              <c:strCache>
                <c:ptCount val="1"/>
                <c:pt idx="0">
                  <c:v>18</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4'!$AI$39:$AI$67</c:f>
              <c:numCache>
                <c:formatCode>0.00%</c:formatCode>
                <c:ptCount val="29"/>
                <c:pt idx="0">
                  <c:v>0</c:v>
                </c:pt>
                <c:pt idx="1">
                  <c:v>3.4343152310484432E-3</c:v>
                </c:pt>
                <c:pt idx="2">
                  <c:v>6.3946949602122025E-3</c:v>
                </c:pt>
                <c:pt idx="3">
                  <c:v>8.9488442591890861E-3</c:v>
                </c:pt>
                <c:pt idx="4">
                  <c:v>1.1152158186640946E-2</c:v>
                </c:pt>
                <c:pt idx="5">
                  <c:v>1.3050397877984085E-2</c:v>
                </c:pt>
                <c:pt idx="6">
                  <c:v>1.4681697612732096E-2</c:v>
                </c:pt>
                <c:pt idx="7">
                  <c:v>1.6078090185676394E-2</c:v>
                </c:pt>
                <c:pt idx="8">
                  <c:v>1.7266680269332792E-2</c:v>
                </c:pt>
                <c:pt idx="9">
                  <c:v>1.8270557029177719E-2</c:v>
                </c:pt>
                <c:pt idx="10">
                  <c:v>1.9109511178476698E-2</c:v>
                </c:pt>
                <c:pt idx="11">
                  <c:v>1.9800603676941371E-2</c:v>
                </c:pt>
                <c:pt idx="12">
                  <c:v>2.0358620689655171E-2</c:v>
                </c:pt>
                <c:pt idx="13">
                  <c:v>2.0796440489432706E-2</c:v>
                </c:pt>
                <c:pt idx="14">
                  <c:v>2.1125331564986739E-2</c:v>
                </c:pt>
                <c:pt idx="15">
                  <c:v>2.135519652761032E-2</c:v>
                </c:pt>
                <c:pt idx="16">
                  <c:v>2.1494772975503201E-2</c:v>
                </c:pt>
                <c:pt idx="17">
                  <c:v>2.1551799924213719E-2</c:v>
                </c:pt>
                <c:pt idx="18">
                  <c:v>2.1533156498673742E-2</c:v>
                </c:pt>
                <c:pt idx="19">
                  <c:v>2.1444978134633308E-2</c:v>
                </c:pt>
                <c:pt idx="20">
                  <c:v>2.1292754432500349E-2</c:v>
                </c:pt>
                <c:pt idx="21">
                  <c:v>2.1081411956743523E-2</c:v>
                </c:pt>
                <c:pt idx="22">
                  <c:v>2.0815384615384614E-2</c:v>
                </c:pt>
                <c:pt idx="23">
                  <c:v>2.0498673740053052E-2</c:v>
                </c:pt>
                <c:pt idx="24">
                  <c:v>2.0134899583175447E-2</c:v>
                </c:pt>
                <c:pt idx="25">
                  <c:v>1.9727345629510826E-2</c:v>
                </c:pt>
                <c:pt idx="26">
                  <c:v>1.9278996865203762E-2</c:v>
                </c:pt>
              </c:numCache>
            </c:numRef>
          </c:val>
          <c:extLst>
            <c:ext xmlns:c16="http://schemas.microsoft.com/office/drawing/2014/chart" uri="{C3380CC4-5D6E-409C-BE32-E72D297353CC}">
              <c16:uniqueId val="{00000012-06F3-4601-8035-89E89D436B90}"/>
            </c:ext>
          </c:extLst>
        </c:ser>
        <c:ser>
          <c:idx val="19"/>
          <c:order val="19"/>
          <c:tx>
            <c:strRef>
              <c:f>'Ej. 4'!$AJ$38</c:f>
              <c:strCache>
                <c:ptCount val="1"/>
                <c:pt idx="0">
                  <c:v>19</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4'!$AJ$39:$AJ$67</c:f>
              <c:numCache>
                <c:formatCode>0.00%</c:formatCode>
                <c:ptCount val="29"/>
                <c:pt idx="0">
                  <c:v>0</c:v>
                </c:pt>
                <c:pt idx="1">
                  <c:v>3.359858532272325E-3</c:v>
                </c:pt>
                <c:pt idx="2">
                  <c:v>6.2717359269083405E-3</c:v>
                </c:pt>
                <c:pt idx="3">
                  <c:v>8.7967205208584493E-3</c:v>
                </c:pt>
                <c:pt idx="4">
                  <c:v>1.0985276592472993E-2</c:v>
                </c:pt>
                <c:pt idx="5">
                  <c:v>1.2879457707043913E-2</c:v>
                </c:pt>
                <c:pt idx="6">
                  <c:v>1.4514588859416446E-2</c:v>
                </c:pt>
                <c:pt idx="7">
                  <c:v>1.5920560429844247E-2</c:v>
                </c:pt>
                <c:pt idx="8">
                  <c:v>1.7122834594098961E-2</c:v>
                </c:pt>
                <c:pt idx="9">
                  <c:v>1.8143236074270559E-2</c:v>
                </c:pt>
                <c:pt idx="10">
                  <c:v>1.9000579285953841E-2</c:v>
                </c:pt>
                <c:pt idx="11">
                  <c:v>1.9711170055997641E-2</c:v>
                </c:pt>
                <c:pt idx="12">
                  <c:v>2.028921023359288E-2</c:v>
                </c:pt>
                <c:pt idx="13">
                  <c:v>2.0747126436781609E-2</c:v>
                </c:pt>
                <c:pt idx="14">
                  <c:v>2.1095839026873509E-2</c:v>
                </c:pt>
                <c:pt idx="15">
                  <c:v>2.1344983616788889E-2</c:v>
                </c:pt>
                <c:pt idx="16">
                  <c:v>2.1503094606542882E-2</c:v>
                </c:pt>
                <c:pt idx="17">
                  <c:v>2.1577758129482268E-2</c:v>
                </c:pt>
                <c:pt idx="18">
                  <c:v>2.1575740196429851E-2</c:v>
                </c:pt>
                <c:pt idx="19">
                  <c:v>2.1503094606542882E-2</c:v>
                </c:pt>
                <c:pt idx="20">
                  <c:v>2.1365254256500939E-2</c:v>
                </c:pt>
                <c:pt idx="21">
                  <c:v>2.1167108753315646E-2</c:v>
                </c:pt>
                <c:pt idx="22">
                  <c:v>2.0913070669168227E-2</c:v>
                </c:pt>
                <c:pt idx="23">
                  <c:v>2.0607132331270258E-2</c:v>
                </c:pt>
                <c:pt idx="24">
                  <c:v>2.025291468755783E-2</c:v>
                </c:pt>
                <c:pt idx="25">
                  <c:v>1.985370950888192E-2</c:v>
                </c:pt>
                <c:pt idx="26">
                  <c:v>1.9412515964240099E-2</c:v>
                </c:pt>
              </c:numCache>
            </c:numRef>
          </c:val>
          <c:extLst>
            <c:ext xmlns:c16="http://schemas.microsoft.com/office/drawing/2014/chart" uri="{C3380CC4-5D6E-409C-BE32-E72D297353CC}">
              <c16:uniqueId val="{00000013-06F3-4601-8035-89E89D436B90}"/>
            </c:ext>
          </c:extLst>
        </c:ser>
        <c:ser>
          <c:idx val="20"/>
          <c:order val="20"/>
          <c:tx>
            <c:strRef>
              <c:f>'Ej. 4'!$AK$38</c:f>
              <c:strCache>
                <c:ptCount val="1"/>
                <c:pt idx="0">
                  <c:v>20</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4'!$AK$39:$AK$67</c:f>
              <c:numCache>
                <c:formatCode>0.00%</c:formatCode>
                <c:ptCount val="29"/>
                <c:pt idx="0">
                  <c:v>0</c:v>
                </c:pt>
                <c:pt idx="1">
                  <c:v>3.2840722495894909E-3</c:v>
                </c:pt>
                <c:pt idx="2">
                  <c:v>6.1442006269592474E-3</c:v>
                </c:pt>
                <c:pt idx="3">
                  <c:v>8.6356821589205386E-3</c:v>
                </c:pt>
                <c:pt idx="4">
                  <c:v>1.0804597701149424E-2</c:v>
                </c:pt>
                <c:pt idx="5">
                  <c:v>1.2689655172413794E-2</c:v>
                </c:pt>
                <c:pt idx="6">
                  <c:v>1.4323607427055704E-2</c:v>
                </c:pt>
                <c:pt idx="7">
                  <c:v>1.5734355044699871E-2</c:v>
                </c:pt>
                <c:pt idx="8">
                  <c:v>1.6945812807881776E-2</c:v>
                </c:pt>
                <c:pt idx="9">
                  <c:v>1.7978596908442331E-2</c:v>
                </c:pt>
                <c:pt idx="10">
                  <c:v>1.8850574712643679E-2</c:v>
                </c:pt>
                <c:pt idx="11">
                  <c:v>1.9577308120133481E-2</c:v>
                </c:pt>
                <c:pt idx="12">
                  <c:v>2.0172413793103448E-2</c:v>
                </c:pt>
                <c:pt idx="13">
                  <c:v>2.06478578892372E-2</c:v>
                </c:pt>
                <c:pt idx="14">
                  <c:v>2.1014198782961461E-2</c:v>
                </c:pt>
                <c:pt idx="15">
                  <c:v>2.1280788177339898E-2</c:v>
                </c:pt>
                <c:pt idx="16">
                  <c:v>2.145593869731801E-2</c:v>
                </c:pt>
                <c:pt idx="17">
                  <c:v>2.1547064305684996E-2</c:v>
                </c:pt>
                <c:pt idx="18">
                  <c:v>2.1560798548094375E-2</c:v>
                </c:pt>
                <c:pt idx="19">
                  <c:v>2.1503094606542882E-2</c:v>
                </c:pt>
                <c:pt idx="20">
                  <c:v>2.1379310344827589E-2</c:v>
                </c:pt>
                <c:pt idx="21">
                  <c:v>2.1194280908326323E-2</c:v>
                </c:pt>
                <c:pt idx="22">
                  <c:v>2.0952380952380951E-2</c:v>
                </c:pt>
                <c:pt idx="23">
                  <c:v>2.065757818765036E-2</c:v>
                </c:pt>
                <c:pt idx="24">
                  <c:v>2.0313479623824456E-2</c:v>
                </c:pt>
                <c:pt idx="25">
                  <c:v>1.9923371647509579E-2</c:v>
                </c:pt>
                <c:pt idx="26">
                  <c:v>1.9490254872563718E-2</c:v>
                </c:pt>
              </c:numCache>
            </c:numRef>
          </c:val>
          <c:extLst>
            <c:ext xmlns:c16="http://schemas.microsoft.com/office/drawing/2014/chart" uri="{C3380CC4-5D6E-409C-BE32-E72D297353CC}">
              <c16:uniqueId val="{00000014-06F3-4601-8035-89E89D436B90}"/>
            </c:ext>
          </c:extLst>
        </c:ser>
        <c:ser>
          <c:idx val="21"/>
          <c:order val="21"/>
          <c:tx>
            <c:strRef>
              <c:f>'Ej. 4'!$AL$38</c:f>
              <c:strCache>
                <c:ptCount val="1"/>
                <c:pt idx="0">
                  <c:v>21</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4'!$AL$39:$AL$67</c:f>
              <c:numCache>
                <c:formatCode>0.00%</c:formatCode>
                <c:ptCount val="29"/>
                <c:pt idx="0">
                  <c:v>0</c:v>
                </c:pt>
                <c:pt idx="1">
                  <c:v>3.2071376898963107E-3</c:v>
                </c:pt>
                <c:pt idx="2">
                  <c:v>6.0126859647099528E-3</c:v>
                </c:pt>
                <c:pt idx="3">
                  <c:v>8.4668435013262582E-3</c:v>
                </c:pt>
                <c:pt idx="4">
                  <c:v>1.0611777188328913E-2</c:v>
                </c:pt>
                <c:pt idx="5">
                  <c:v>1.2483166700673332E-2</c:v>
                </c:pt>
                <c:pt idx="6">
                  <c:v>1.4111405835543767E-2</c:v>
                </c:pt>
                <c:pt idx="7">
                  <c:v>1.5522546419098142E-2</c:v>
                </c:pt>
                <c:pt idx="8">
                  <c:v>1.673904692216226E-2</c:v>
                </c:pt>
                <c:pt idx="9">
                  <c:v>1.7780371352785145E-2</c:v>
                </c:pt>
                <c:pt idx="10">
                  <c:v>1.8663472234106269E-2</c:v>
                </c:pt>
                <c:pt idx="11">
                  <c:v>1.9403183023872679E-2</c:v>
                </c:pt>
                <c:pt idx="12">
                  <c:v>2.0012539184952976E-2</c:v>
                </c:pt>
                <c:pt idx="13">
                  <c:v>2.0503042596348883E-2</c:v>
                </c:pt>
                <c:pt idx="14">
                  <c:v>2.0884880636604774E-2</c:v>
                </c:pt>
                <c:pt idx="15">
                  <c:v>2.1167108753315646E-2</c:v>
                </c:pt>
                <c:pt idx="16">
                  <c:v>2.1357803426768945E-2</c:v>
                </c:pt>
                <c:pt idx="17">
                  <c:v>2.146419098143236E-2</c:v>
                </c:pt>
                <c:pt idx="18">
                  <c:v>2.1492756580289735E-2</c:v>
                </c:pt>
                <c:pt idx="19">
                  <c:v>2.1449336870026522E-2</c:v>
                </c:pt>
                <c:pt idx="20">
                  <c:v>2.1339199068383257E-2</c:v>
                </c:pt>
                <c:pt idx="21">
                  <c:v>2.116710875331565E-2</c:v>
                </c:pt>
                <c:pt idx="22">
                  <c:v>2.0937388193202143E-2</c:v>
                </c:pt>
                <c:pt idx="23">
                  <c:v>2.0653966722932238E-2</c:v>
                </c:pt>
                <c:pt idx="24">
                  <c:v>2.0320424403183025E-2</c:v>
                </c:pt>
                <c:pt idx="25">
                  <c:v>1.9940029985007494E-2</c:v>
                </c:pt>
                <c:pt idx="26">
                  <c:v>1.9515774027879677E-2</c:v>
                </c:pt>
              </c:numCache>
            </c:numRef>
          </c:val>
          <c:extLst>
            <c:ext xmlns:c16="http://schemas.microsoft.com/office/drawing/2014/chart" uri="{C3380CC4-5D6E-409C-BE32-E72D297353CC}">
              <c16:uniqueId val="{00000015-06F3-4601-8035-89E89D436B90}"/>
            </c:ext>
          </c:extLst>
        </c:ser>
        <c:ser>
          <c:idx val="22"/>
          <c:order val="22"/>
          <c:tx>
            <c:strRef>
              <c:f>'Ej. 4'!$AM$38</c:f>
              <c:strCache>
                <c:ptCount val="1"/>
                <c:pt idx="0">
                  <c:v>22</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4'!$AM$39:$AM$67</c:f>
              <c:numCache>
                <c:formatCode>0.00%</c:formatCode>
                <c:ptCount val="29"/>
                <c:pt idx="0">
                  <c:v>0</c:v>
                </c:pt>
                <c:pt idx="1">
                  <c:v>3.1292046284550033E-3</c:v>
                </c:pt>
                <c:pt idx="2">
                  <c:v>5.8776893604479815E-3</c:v>
                </c:pt>
                <c:pt idx="3">
                  <c:v>8.2911405835543756E-3</c:v>
                </c:pt>
                <c:pt idx="4">
                  <c:v>1.0408216010338025E-2</c:v>
                </c:pt>
                <c:pt idx="5">
                  <c:v>1.2261846284834789E-2</c:v>
                </c:pt>
                <c:pt idx="6">
                  <c:v>1.3880257673361122E-2</c:v>
                </c:pt>
                <c:pt idx="7">
                  <c:v>1.5287783164120857E-2</c:v>
                </c:pt>
                <c:pt idx="8">
                  <c:v>1.6505511346890659E-2</c:v>
                </c:pt>
                <c:pt idx="9">
                  <c:v>1.7551809703088901E-2</c:v>
                </c:pt>
                <c:pt idx="10">
                  <c:v>1.8442749778956675E-2</c:v>
                </c:pt>
                <c:pt idx="11">
                  <c:v>1.9192455054524018E-2</c:v>
                </c:pt>
                <c:pt idx="12">
                  <c:v>1.981338742393509E-2</c:v>
                </c:pt>
                <c:pt idx="13">
                  <c:v>2.0316584564860424E-2</c:v>
                </c:pt>
                <c:pt idx="14">
                  <c:v>2.0711857746340503E-2</c:v>
                </c:pt>
                <c:pt idx="15">
                  <c:v>2.1007957559681694E-2</c:v>
                </c:pt>
                <c:pt idx="16">
                  <c:v>2.1212713481316023E-2</c:v>
                </c:pt>
                <c:pt idx="17">
                  <c:v>2.1333151964451697E-2</c:v>
                </c:pt>
                <c:pt idx="18">
                  <c:v>2.1375596816976126E-2</c:v>
                </c:pt>
                <c:pt idx="19">
                  <c:v>2.1345754889909641E-2</c:v>
                </c:pt>
                <c:pt idx="20">
                  <c:v>2.1248789524651594E-2</c:v>
                </c:pt>
                <c:pt idx="21">
                  <c:v>2.1089383751773487E-2</c:v>
                </c:pt>
                <c:pt idx="22">
                  <c:v>2.0871794871794871E-2</c:v>
                </c:pt>
                <c:pt idx="23">
                  <c:v>2.0599901758522447E-2</c:v>
                </c:pt>
                <c:pt idx="24">
                  <c:v>2.0277245992388421E-2</c:v>
                </c:pt>
                <c:pt idx="25">
                  <c:v>1.9907067742724383E-2</c:v>
                </c:pt>
                <c:pt idx="26">
                  <c:v>1.9492337164750958E-2</c:v>
                </c:pt>
              </c:numCache>
            </c:numRef>
          </c:val>
          <c:extLst>
            <c:ext xmlns:c16="http://schemas.microsoft.com/office/drawing/2014/chart" uri="{C3380CC4-5D6E-409C-BE32-E72D297353CC}">
              <c16:uniqueId val="{00000016-06F3-4601-8035-89E89D436B90}"/>
            </c:ext>
          </c:extLst>
        </c:ser>
        <c:ser>
          <c:idx val="23"/>
          <c:order val="23"/>
          <c:tx>
            <c:strRef>
              <c:f>'Ej. 4'!$AN$38</c:f>
              <c:strCache>
                <c:ptCount val="1"/>
                <c:pt idx="0">
                  <c:v>23</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4'!$AN$39:$AN$67</c:f>
              <c:numCache>
                <c:formatCode>0.00%</c:formatCode>
                <c:ptCount val="29"/>
                <c:pt idx="0">
                  <c:v>0</c:v>
                </c:pt>
                <c:pt idx="1">
                  <c:v>3.0503978779840859E-3</c:v>
                </c:pt>
                <c:pt idx="2">
                  <c:v>5.7396286472148547E-3</c:v>
                </c:pt>
                <c:pt idx="3">
                  <c:v>8.1093654356253833E-3</c:v>
                </c:pt>
                <c:pt idx="4">
                  <c:v>1.019510757441792E-2</c:v>
                </c:pt>
                <c:pt idx="5">
                  <c:v>1.2027283061765823E-2</c:v>
                </c:pt>
                <c:pt idx="6">
                  <c:v>1.3632122930577155E-2</c:v>
                </c:pt>
                <c:pt idx="7">
                  <c:v>1.503236074270557E-2</c:v>
                </c:pt>
                <c:pt idx="8">
                  <c:v>1.6247796697184909E-2</c:v>
                </c:pt>
                <c:pt idx="9">
                  <c:v>1.7295755968169763E-2</c:v>
                </c:pt>
                <c:pt idx="10">
                  <c:v>1.8191463708705089E-2</c:v>
                </c:pt>
                <c:pt idx="11">
                  <c:v>1.8948353877359964E-2</c:v>
                </c:pt>
                <c:pt idx="12">
                  <c:v>1.9578325123152711E-2</c:v>
                </c:pt>
                <c:pt idx="13">
                  <c:v>2.0091954022988509E-2</c:v>
                </c:pt>
                <c:pt idx="14">
                  <c:v>2.0498673740053056E-2</c:v>
                </c:pt>
                <c:pt idx="15">
                  <c:v>2.0806924472986182E-2</c:v>
                </c:pt>
                <c:pt idx="16">
                  <c:v>2.1024280759028773E-2</c:v>
                </c:pt>
                <c:pt idx="17">
                  <c:v>2.1157559681697614E-2</c:v>
                </c:pt>
                <c:pt idx="18">
                  <c:v>2.121291324319079E-2</c:v>
                </c:pt>
                <c:pt idx="19">
                  <c:v>2.119590754073513E-2</c:v>
                </c:pt>
                <c:pt idx="20">
                  <c:v>2.1111590895071253E-2</c:v>
                </c:pt>
                <c:pt idx="21">
                  <c:v>2.0964552688690623E-2</c:v>
                </c:pt>
                <c:pt idx="22">
                  <c:v>2.075897435897436E-2</c:v>
                </c:pt>
                <c:pt idx="23">
                  <c:v>2.0498673740053052E-2</c:v>
                </c:pt>
                <c:pt idx="24">
                  <c:v>2.0187143744003617E-2</c:v>
                </c:pt>
                <c:pt idx="25">
                  <c:v>1.9827586206896553E-2</c:v>
                </c:pt>
                <c:pt idx="26">
                  <c:v>1.9422941590429278E-2</c:v>
                </c:pt>
              </c:numCache>
            </c:numRef>
          </c:val>
          <c:extLst>
            <c:ext xmlns:c16="http://schemas.microsoft.com/office/drawing/2014/chart" uri="{C3380CC4-5D6E-409C-BE32-E72D297353CC}">
              <c16:uniqueId val="{00000017-06F3-4601-8035-89E89D436B90}"/>
            </c:ext>
          </c:extLst>
        </c:ser>
        <c:ser>
          <c:idx val="24"/>
          <c:order val="24"/>
          <c:tx>
            <c:strRef>
              <c:f>'Ej. 4'!$AO$38</c:f>
              <c:strCache>
                <c:ptCount val="1"/>
                <c:pt idx="0">
                  <c:v>24</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4'!$AO$39:$AO$67</c:f>
              <c:numCache>
                <c:formatCode>0.00%</c:formatCode>
                <c:ptCount val="29"/>
                <c:pt idx="0">
                  <c:v>0</c:v>
                </c:pt>
                <c:pt idx="1">
                  <c:v>2.9708222811671093E-3</c:v>
                </c:pt>
                <c:pt idx="2">
                  <c:v>5.5988573760457055E-3</c:v>
                </c:pt>
                <c:pt idx="3">
                  <c:v>7.9221927497789574E-3</c:v>
                </c:pt>
                <c:pt idx="4">
                  <c:v>9.9734748010610087E-3</c:v>
                </c:pt>
                <c:pt idx="5">
                  <c:v>1.1780846977041983E-2</c:v>
                </c:pt>
                <c:pt idx="6">
                  <c:v>1.3368700265251991E-2</c:v>
                </c:pt>
                <c:pt idx="7">
                  <c:v>1.4758278429023702E-2</c:v>
                </c:pt>
                <c:pt idx="8">
                  <c:v>1.5968169761273212E-2</c:v>
                </c:pt>
                <c:pt idx="9">
                  <c:v>1.7014709428502531E-2</c:v>
                </c:pt>
                <c:pt idx="10">
                  <c:v>1.7912310812919333E-2</c:v>
                </c:pt>
                <c:pt idx="11">
                  <c:v>1.8673740053050399E-2</c:v>
                </c:pt>
                <c:pt idx="12">
                  <c:v>1.9310344827586208E-2</c:v>
                </c:pt>
                <c:pt idx="13">
                  <c:v>1.983224603914259E-2</c:v>
                </c:pt>
                <c:pt idx="14">
                  <c:v>2.0248499232165294E-2</c:v>
                </c:pt>
                <c:pt idx="15">
                  <c:v>2.0567231177310751E-2</c:v>
                </c:pt>
                <c:pt idx="16">
                  <c:v>2.0795755968169762E-2</c:v>
                </c:pt>
                <c:pt idx="17">
                  <c:v>2.0940674128226696E-2</c:v>
                </c:pt>
                <c:pt idx="18">
                  <c:v>2.1007957559681698E-2</c:v>
                </c:pt>
                <c:pt idx="19">
                  <c:v>2.1003022638948862E-2</c:v>
                </c:pt>
                <c:pt idx="20">
                  <c:v>2.0930793344586449E-2</c:v>
                </c:pt>
                <c:pt idx="21">
                  <c:v>2.0795755968169762E-2</c:v>
                </c:pt>
                <c:pt idx="22">
                  <c:v>2.0602006688963212E-2</c:v>
                </c:pt>
                <c:pt idx="23">
                  <c:v>2.035329307522998E-2</c:v>
                </c:pt>
                <c:pt idx="24">
                  <c:v>2.0053050397877987E-2</c:v>
                </c:pt>
                <c:pt idx="25">
                  <c:v>1.9704433497536946E-2</c:v>
                </c:pt>
                <c:pt idx="26">
                  <c:v>1.9310344827586208E-2</c:v>
                </c:pt>
              </c:numCache>
            </c:numRef>
          </c:val>
          <c:extLst>
            <c:ext xmlns:c16="http://schemas.microsoft.com/office/drawing/2014/chart" uri="{C3380CC4-5D6E-409C-BE32-E72D297353CC}">
              <c16:uniqueId val="{00000018-06F3-4601-8035-89E89D436B90}"/>
            </c:ext>
          </c:extLst>
        </c:ser>
        <c:ser>
          <c:idx val="25"/>
          <c:order val="25"/>
          <c:tx>
            <c:strRef>
              <c:f>'Ej. 4'!$AP$38</c:f>
              <c:strCache>
                <c:ptCount val="1"/>
                <c:pt idx="0">
                  <c:v>25</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4'!$AP$39:$AP$67</c:f>
              <c:numCache>
                <c:formatCode>0.00%</c:formatCode>
                <c:ptCount val="29"/>
                <c:pt idx="0">
                  <c:v>0</c:v>
                </c:pt>
                <c:pt idx="1">
                  <c:v>2.8905665510440045E-3</c:v>
                </c:pt>
                <c:pt idx="2">
                  <c:v>5.4556767200445366E-3</c:v>
                </c:pt>
                <c:pt idx="3">
                  <c:v>7.7302008336491085E-3</c:v>
                </c:pt>
                <c:pt idx="4">
                  <c:v>9.7441995182779972E-3</c:v>
                </c:pt>
                <c:pt idx="5">
                  <c:v>1.1523725316828767E-2</c:v>
                </c:pt>
                <c:pt idx="6">
                  <c:v>1.3091469153760589E-2</c:v>
                </c:pt>
                <c:pt idx="7">
                  <c:v>1.4467285587975243E-2</c:v>
                </c:pt>
                <c:pt idx="8">
                  <c:v>1.5668622565174289E-2</c:v>
                </c:pt>
                <c:pt idx="9">
                  <c:v>1.6710875331564987E-2</c:v>
                </c:pt>
                <c:pt idx="10">
                  <c:v>1.7607679676645196E-2</c:v>
                </c:pt>
                <c:pt idx="11">
                  <c:v>1.8371156302190786E-2</c:v>
                </c:pt>
                <c:pt idx="12">
                  <c:v>1.90121155638397E-2</c:v>
                </c:pt>
                <c:pt idx="13">
                  <c:v>1.9540229885057471E-2</c:v>
                </c:pt>
                <c:pt idx="14">
                  <c:v>1.996417964587726E-2</c:v>
                </c:pt>
                <c:pt idx="15">
                  <c:v>2.0291777188328912E-2</c:v>
                </c:pt>
                <c:pt idx="16">
                  <c:v>2.0530072674732051E-2</c:v>
                </c:pt>
                <c:pt idx="17">
                  <c:v>2.0685444823375858E-2</c:v>
                </c:pt>
                <c:pt idx="18">
                  <c:v>2.0763678983406329E-2</c:v>
                </c:pt>
                <c:pt idx="19">
                  <c:v>2.0770034563138012E-2</c:v>
                </c:pt>
                <c:pt idx="20">
                  <c:v>2.070930346792416E-2</c:v>
                </c:pt>
                <c:pt idx="21">
                  <c:v>2.0585860915695999E-2</c:v>
                </c:pt>
                <c:pt idx="22">
                  <c:v>2.0403709765411893E-2</c:v>
                </c:pt>
                <c:pt idx="23">
                  <c:v>2.0166519304450337E-2</c:v>
                </c:pt>
                <c:pt idx="24">
                  <c:v>1.9877659286526284E-2</c:v>
                </c:pt>
                <c:pt idx="25">
                  <c:v>1.9540229885057471E-2</c:v>
                </c:pt>
                <c:pt idx="26">
                  <c:v>1.9157088122605366E-2</c:v>
                </c:pt>
              </c:numCache>
            </c:numRef>
          </c:val>
          <c:extLst>
            <c:ext xmlns:c16="http://schemas.microsoft.com/office/drawing/2014/chart" uri="{C3380CC4-5D6E-409C-BE32-E72D297353CC}">
              <c16:uniqueId val="{00000019-06F3-4601-8035-89E89D436B90}"/>
            </c:ext>
          </c:extLst>
        </c:ser>
        <c:ser>
          <c:idx val="26"/>
          <c:order val="26"/>
          <c:tx>
            <c:strRef>
              <c:f>'Ej. 4'!$AQ$38</c:f>
              <c:strCache>
                <c:ptCount val="1"/>
                <c:pt idx="0">
                  <c:v>26</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4'!$AQ$39:$AQ$67</c:f>
              <c:numCache>
                <c:formatCode>0.00%</c:formatCode>
                <c:ptCount val="29"/>
                <c:pt idx="0">
                  <c:v>0</c:v>
                </c:pt>
                <c:pt idx="1">
                  <c:v>2.80970625798212E-3</c:v>
                </c:pt>
                <c:pt idx="2">
                  <c:v>5.3103448275862069E-3</c:v>
                </c:pt>
                <c:pt idx="3">
                  <c:v>7.5338882282996429E-3</c:v>
                </c:pt>
                <c:pt idx="4">
                  <c:v>9.508045977011494E-3</c:v>
                </c:pt>
                <c:pt idx="5">
                  <c:v>1.1256952169076751E-2</c:v>
                </c:pt>
                <c:pt idx="6">
                  <c:v>1.2801724137931035E-2</c:v>
                </c:pt>
                <c:pt idx="7">
                  <c:v>1.4160919540229883E-2</c:v>
                </c:pt>
                <c:pt idx="8">
                  <c:v>1.5350912778904668E-2</c:v>
                </c:pt>
                <c:pt idx="9">
                  <c:v>1.6386206896551726E-2</c:v>
                </c:pt>
                <c:pt idx="10">
                  <c:v>1.7279693486590038E-2</c:v>
                </c:pt>
                <c:pt idx="11">
                  <c:v>1.8042870456663564E-2</c:v>
                </c:pt>
                <c:pt idx="12">
                  <c:v>1.8686025408348454E-2</c:v>
                </c:pt>
                <c:pt idx="13">
                  <c:v>1.9218390804597699E-2</c:v>
                </c:pt>
                <c:pt idx="14">
                  <c:v>1.9648275862068965E-2</c:v>
                </c:pt>
                <c:pt idx="15">
                  <c:v>1.9983179142136247E-2</c:v>
                </c:pt>
                <c:pt idx="16">
                  <c:v>2.0229885057471267E-2</c:v>
                </c:pt>
                <c:pt idx="17">
                  <c:v>2.0394546912590215E-2</c:v>
                </c:pt>
                <c:pt idx="18">
                  <c:v>2.0482758620689656E-2</c:v>
                </c:pt>
                <c:pt idx="19">
                  <c:v>2.0499616858237549E-2</c:v>
                </c:pt>
                <c:pt idx="20">
                  <c:v>2.044977511244378E-2</c:v>
                </c:pt>
                <c:pt idx="21">
                  <c:v>2.0337490829053558E-2</c:v>
                </c:pt>
                <c:pt idx="22">
                  <c:v>2.0166666666666663E-2</c:v>
                </c:pt>
                <c:pt idx="23">
                  <c:v>1.9940886699507387E-2</c:v>
                </c:pt>
                <c:pt idx="24">
                  <c:v>1.9663448275862069E-2</c:v>
                </c:pt>
                <c:pt idx="25">
                  <c:v>1.9337390128465179E-2</c:v>
                </c:pt>
                <c:pt idx="26">
                  <c:v>1.896551724137931E-2</c:v>
                </c:pt>
              </c:numCache>
            </c:numRef>
          </c:val>
          <c:extLst>
            <c:ext xmlns:c16="http://schemas.microsoft.com/office/drawing/2014/chart" uri="{C3380CC4-5D6E-409C-BE32-E72D297353CC}">
              <c16:uniqueId val="{0000001A-06F3-4601-8035-89E89D436B90}"/>
            </c:ext>
          </c:extLst>
        </c:ser>
        <c:ser>
          <c:idx val="27"/>
          <c:order val="27"/>
          <c:tx>
            <c:strRef>
              <c:f>'Ej. 4'!$AR$38</c:f>
              <c:strCache>
                <c:ptCount val="1"/>
                <c:pt idx="0">
                  <c:v>27</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4'!$AR$39:$AR$67</c:f>
              <c:numCache>
                <c:formatCode>0.00%</c:formatCode>
                <c:ptCount val="29"/>
                <c:pt idx="0">
                  <c:v>0</c:v>
                </c:pt>
                <c:pt idx="1">
                  <c:v>2.7283061765820391E-3</c:v>
                </c:pt>
                <c:pt idx="2">
                  <c:v>5.1630842403731815E-3</c:v>
                </c:pt>
                <c:pt idx="3">
                  <c:v>7.333687002652519E-3</c:v>
                </c:pt>
                <c:pt idx="4">
                  <c:v>9.2656798151792598E-3</c:v>
                </c:pt>
                <c:pt idx="5">
                  <c:v>1.0981432360742706E-2</c:v>
                </c:pt>
                <c:pt idx="6">
                  <c:v>1.2500602845430432E-2</c:v>
                </c:pt>
                <c:pt idx="7">
                  <c:v>1.3840536745202059E-2</c:v>
                </c:pt>
                <c:pt idx="8">
                  <c:v>1.5016597195907542E-2</c:v>
                </c:pt>
                <c:pt idx="9">
                  <c:v>1.6042440318302389E-2</c:v>
                </c:pt>
                <c:pt idx="10">
                  <c:v>1.6930245895763137E-2</c:v>
                </c:pt>
                <c:pt idx="11">
                  <c:v>1.7690911629205639E-2</c:v>
                </c:pt>
                <c:pt idx="12">
                  <c:v>1.8334217506631299E-2</c:v>
                </c:pt>
                <c:pt idx="13">
                  <c:v>1.886896551724138E-2</c:v>
                </c:pt>
                <c:pt idx="14">
                  <c:v>1.9303098919583362E-2</c:v>
                </c:pt>
                <c:pt idx="15">
                  <c:v>1.9643804471390674E-2</c:v>
                </c:pt>
                <c:pt idx="16">
                  <c:v>1.9897600394793657E-2</c:v>
                </c:pt>
                <c:pt idx="17">
                  <c:v>2.0070412346274415E-2</c:v>
                </c:pt>
                <c:pt idx="18">
                  <c:v>2.016763925729443E-2</c:v>
                </c:pt>
                <c:pt idx="19">
                  <c:v>2.0194210587014184E-2</c:v>
                </c:pt>
                <c:pt idx="20">
                  <c:v>2.0154636266154977E-2</c:v>
                </c:pt>
                <c:pt idx="21">
                  <c:v>2.0053050397877983E-2</c:v>
                </c:pt>
                <c:pt idx="22">
                  <c:v>1.9893249607535322E-2</c:v>
                </c:pt>
                <c:pt idx="23">
                  <c:v>1.9678726790450927E-2</c:v>
                </c:pt>
                <c:pt idx="24">
                  <c:v>1.9412700889374319E-2</c:v>
                </c:pt>
                <c:pt idx="25">
                  <c:v>1.9098143236074269E-2</c:v>
                </c:pt>
                <c:pt idx="26">
                  <c:v>1.8737800910865323E-2</c:v>
                </c:pt>
              </c:numCache>
            </c:numRef>
          </c:val>
          <c:extLst>
            <c:ext xmlns:c16="http://schemas.microsoft.com/office/drawing/2014/chart" uri="{C3380CC4-5D6E-409C-BE32-E72D297353CC}">
              <c16:uniqueId val="{0000001B-06F3-4601-8035-89E89D436B90}"/>
            </c:ext>
          </c:extLst>
        </c:ser>
        <c:ser>
          <c:idx val="28"/>
          <c:order val="28"/>
          <c:tx>
            <c:strRef>
              <c:f>'Ej. 4'!$AS$38</c:f>
              <c:strCache>
                <c:ptCount val="1"/>
                <c:pt idx="0">
                  <c:v>28</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4'!$AS$39:$AS$67</c:f>
              <c:numCache>
                <c:formatCode>0.00%</c:formatCode>
                <c:ptCount val="29"/>
                <c:pt idx="0">
                  <c:v>0</c:v>
                </c:pt>
                <c:pt idx="1">
                  <c:v>2.6464221470166777E-3</c:v>
                </c:pt>
                <c:pt idx="2">
                  <c:v>5.0140878278809317E-3</c:v>
                </c:pt>
                <c:pt idx="3">
                  <c:v>7.1299734748010608E-3</c:v>
                </c:pt>
                <c:pt idx="4">
                  <c:v>9.0176834659593287E-3</c:v>
                </c:pt>
                <c:pt idx="5">
                  <c:v>1.0697961042788631E-2</c:v>
                </c:pt>
                <c:pt idx="6">
                  <c:v>1.2189109065376815E-2</c:v>
                </c:pt>
                <c:pt idx="7">
                  <c:v>1.3507338638373121E-2</c:v>
                </c:pt>
                <c:pt idx="8">
                  <c:v>1.4667059632576878E-2</c:v>
                </c:pt>
                <c:pt idx="9">
                  <c:v>1.56811240949172E-2</c:v>
                </c:pt>
                <c:pt idx="10">
                  <c:v>1.656103122527805E-2</c:v>
                </c:pt>
                <c:pt idx="11">
                  <c:v>1.7317100818427082E-2</c:v>
                </c:pt>
                <c:pt idx="12">
                  <c:v>1.7958620689655171E-2</c:v>
                </c:pt>
                <c:pt idx="13">
                  <c:v>1.8493972525932156E-2</c:v>
                </c:pt>
                <c:pt idx="14">
                  <c:v>1.8930739758325967E-2</c:v>
                </c:pt>
                <c:pt idx="15">
                  <c:v>1.9275800382456357E-2</c:v>
                </c:pt>
                <c:pt idx="16">
                  <c:v>1.9535407121614022E-2</c:v>
                </c:pt>
                <c:pt idx="17">
                  <c:v>1.97152569014638E-2</c:v>
                </c:pt>
                <c:pt idx="18">
                  <c:v>1.9820551262830124E-2</c:v>
                </c:pt>
                <c:pt idx="19">
                  <c:v>1.9856049062211941E-2</c:v>
                </c:pt>
                <c:pt idx="20">
                  <c:v>1.9826112584733279E-2</c:v>
                </c:pt>
                <c:pt idx="21">
                  <c:v>1.9734748010610079E-2</c:v>
                </c:pt>
                <c:pt idx="22">
                  <c:v>1.9585641025641025E-2</c:v>
                </c:pt>
                <c:pt idx="23">
                  <c:v>1.9382188242228812E-2</c:v>
                </c:pt>
                <c:pt idx="24">
                  <c:v>1.9127524994899003E-2</c:v>
                </c:pt>
                <c:pt idx="25">
                  <c:v>1.8824549989156367E-2</c:v>
                </c:pt>
                <c:pt idx="26">
                  <c:v>1.8475947211579396E-2</c:v>
                </c:pt>
              </c:numCache>
            </c:numRef>
          </c:val>
          <c:extLst>
            <c:ext xmlns:c16="http://schemas.microsoft.com/office/drawing/2014/chart" uri="{C3380CC4-5D6E-409C-BE32-E72D297353CC}">
              <c16:uniqueId val="{0000001C-06F3-4601-8035-89E89D436B90}"/>
            </c:ext>
          </c:extLst>
        </c:ser>
        <c:ser>
          <c:idx val="29"/>
          <c:order val="29"/>
          <c:tx>
            <c:strRef>
              <c:f>'Ej. 4'!$AT$38</c:f>
              <c:strCache>
                <c:ptCount val="1"/>
                <c:pt idx="0">
                  <c:v>29</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4'!$AT$39:$AT$67</c:f>
              <c:numCache>
                <c:formatCode>0.00%</c:formatCode>
                <c:ptCount val="29"/>
                <c:pt idx="0">
                  <c:v>0</c:v>
                </c:pt>
                <c:pt idx="1">
                  <c:v>2.5641025641025641E-3</c:v>
                </c:pt>
                <c:pt idx="2">
                  <c:v>4.8635235732009926E-3</c:v>
                </c:pt>
                <c:pt idx="3">
                  <c:v>6.9230769230769224E-3</c:v>
                </c:pt>
                <c:pt idx="4">
                  <c:v>8.7645687645687646E-3</c:v>
                </c:pt>
                <c:pt idx="5">
                  <c:v>1.0407239819004526E-2</c:v>
                </c:pt>
                <c:pt idx="6">
                  <c:v>1.1868131868131869E-2</c:v>
                </c:pt>
                <c:pt idx="7">
                  <c:v>1.3162393162393161E-2</c:v>
                </c:pt>
                <c:pt idx="8">
                  <c:v>1.4303534303534305E-2</c:v>
                </c:pt>
                <c:pt idx="9">
                  <c:v>1.5303643724696357E-2</c:v>
                </c:pt>
                <c:pt idx="10">
                  <c:v>1.6173570019723867E-2</c:v>
                </c:pt>
                <c:pt idx="11">
                  <c:v>1.6923076923076923E-2</c:v>
                </c:pt>
                <c:pt idx="12">
                  <c:v>1.7560975609756096E-2</c:v>
                </c:pt>
                <c:pt idx="13">
                  <c:v>1.8095238095238095E-2</c:v>
                </c:pt>
                <c:pt idx="14">
                  <c:v>1.8533094812164582E-2</c:v>
                </c:pt>
                <c:pt idx="15">
                  <c:v>1.8881118881118878E-2</c:v>
                </c:pt>
                <c:pt idx="16">
                  <c:v>1.9145299145299145E-2</c:v>
                </c:pt>
                <c:pt idx="17">
                  <c:v>1.9331103678929765E-2</c:v>
                </c:pt>
                <c:pt idx="18">
                  <c:v>1.9443535188216041E-2</c:v>
                </c:pt>
                <c:pt idx="19">
                  <c:v>1.9487179487179488E-2</c:v>
                </c:pt>
                <c:pt idx="20">
                  <c:v>1.946624803767661E-2</c:v>
                </c:pt>
                <c:pt idx="21">
                  <c:v>1.9384615384615386E-2</c:v>
                </c:pt>
                <c:pt idx="22">
                  <c:v>1.9245852187028657E-2</c:v>
                </c:pt>
                <c:pt idx="23">
                  <c:v>1.9053254437869822E-2</c:v>
                </c:pt>
                <c:pt idx="24">
                  <c:v>1.8809869375907114E-2</c:v>
                </c:pt>
                <c:pt idx="25">
                  <c:v>1.8518518518518517E-2</c:v>
                </c:pt>
                <c:pt idx="26">
                  <c:v>1.8181818181818181E-2</c:v>
                </c:pt>
              </c:numCache>
            </c:numRef>
          </c:val>
          <c:extLst>
            <c:ext xmlns:c16="http://schemas.microsoft.com/office/drawing/2014/chart" uri="{C3380CC4-5D6E-409C-BE32-E72D297353CC}">
              <c16:uniqueId val="{0000001D-06F3-4601-8035-89E89D436B90}"/>
            </c:ext>
          </c:extLst>
        </c:ser>
        <c:ser>
          <c:idx val="30"/>
          <c:order val="30"/>
          <c:tx>
            <c:strRef>
              <c:f>'Ej. 4'!$AU$38</c:f>
              <c:strCache>
                <c:ptCount val="1"/>
                <c:pt idx="0">
                  <c:v>30</c:v>
                </c:pt>
              </c:strCache>
            </c:strRef>
          </c:tx>
          <c:cat>
            <c:numRef>
              <c:f>'Ej. 4'!$P$39:$P$67</c:f>
              <c:numCache>
                <c:formatCode>@</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numCache>
            </c:numRef>
          </c:cat>
          <c:val>
            <c:numRef>
              <c:f>'Ej. 4'!$AU$39:$AU$67</c:f>
              <c:numCache>
                <c:formatCode>0.00%</c:formatCode>
                <c:ptCount val="29"/>
                <c:pt idx="0">
                  <c:v>0</c:v>
                </c:pt>
                <c:pt idx="1">
                  <c:v>2.4813895781637717E-3</c:v>
                </c:pt>
                <c:pt idx="2">
                  <c:v>4.7115384615384615E-3</c:v>
                </c:pt>
                <c:pt idx="3">
                  <c:v>6.7132867132867124E-3</c:v>
                </c:pt>
                <c:pt idx="4">
                  <c:v>8.5067873303167427E-3</c:v>
                </c:pt>
                <c:pt idx="5">
                  <c:v>1.0109890109890111E-2</c:v>
                </c:pt>
                <c:pt idx="6">
                  <c:v>1.1538461538461539E-2</c:v>
                </c:pt>
                <c:pt idx="7">
                  <c:v>1.2806652806652805E-2</c:v>
                </c:pt>
                <c:pt idx="8">
                  <c:v>1.3927125506072877E-2</c:v>
                </c:pt>
                <c:pt idx="9">
                  <c:v>1.4911242603550296E-2</c:v>
                </c:pt>
                <c:pt idx="10">
                  <c:v>1.5769230769230768E-2</c:v>
                </c:pt>
                <c:pt idx="11">
                  <c:v>1.651031894934334E-2</c:v>
                </c:pt>
                <c:pt idx="12">
                  <c:v>1.7142857142857144E-2</c:v>
                </c:pt>
                <c:pt idx="13">
                  <c:v>1.7674418604651163E-2</c:v>
                </c:pt>
                <c:pt idx="14">
                  <c:v>1.8111888111888113E-2</c:v>
                </c:pt>
                <c:pt idx="15">
                  <c:v>1.846153846153846E-2</c:v>
                </c:pt>
                <c:pt idx="16">
                  <c:v>1.8729096989966557E-2</c:v>
                </c:pt>
                <c:pt idx="17">
                  <c:v>1.8919803600654664E-2</c:v>
                </c:pt>
                <c:pt idx="18">
                  <c:v>1.9038461538461539E-2</c:v>
                </c:pt>
                <c:pt idx="19">
                  <c:v>1.9089481946624805E-2</c:v>
                </c:pt>
                <c:pt idx="20">
                  <c:v>1.9076923076923078E-2</c:v>
                </c:pt>
                <c:pt idx="21">
                  <c:v>1.9004524886877826E-2</c:v>
                </c:pt>
                <c:pt idx="22">
                  <c:v>1.8875739644970413E-2</c:v>
                </c:pt>
                <c:pt idx="23">
                  <c:v>1.8693759071117561E-2</c:v>
                </c:pt>
                <c:pt idx="24">
                  <c:v>1.8461538461538463E-2</c:v>
                </c:pt>
                <c:pt idx="25">
                  <c:v>1.8181818181818181E-2</c:v>
                </c:pt>
                <c:pt idx="26">
                  <c:v>1.7857142857142856E-2</c:v>
                </c:pt>
              </c:numCache>
            </c:numRef>
          </c:val>
          <c:extLst>
            <c:ext xmlns:c16="http://schemas.microsoft.com/office/drawing/2014/chart" uri="{C3380CC4-5D6E-409C-BE32-E72D297353CC}">
              <c16:uniqueId val="{0000001E-06F3-4601-8035-89E89D436B90}"/>
            </c:ext>
          </c:extLst>
        </c:ser>
        <c:bandFmts/>
        <c:axId val="95014064"/>
        <c:axId val="95007408"/>
        <c:axId val="152980672"/>
      </c:surfaceChart>
      <c:catAx>
        <c:axId val="95014064"/>
        <c:scaling>
          <c:orientation val="minMax"/>
        </c:scaling>
        <c:delete val="0"/>
        <c:axPos val="b"/>
        <c:numFmt formatCode="@" sourceLinked="1"/>
        <c:majorTickMark val="out"/>
        <c:minorTickMark val="none"/>
        <c:tickLblPos val="high"/>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07408"/>
        <c:crosses val="autoZero"/>
        <c:auto val="1"/>
        <c:lblAlgn val="ctr"/>
        <c:lblOffset val="100"/>
        <c:noMultiLvlLbl val="0"/>
      </c:catAx>
      <c:valAx>
        <c:axId val="95007408"/>
        <c:scaling>
          <c:orientation val="minMax"/>
          <c:max val="2.0000000000000004E-2"/>
          <c:min val="0"/>
        </c:scaling>
        <c:delete val="0"/>
        <c:axPos val="l"/>
        <c:majorGridlines>
          <c:spPr>
            <a:ln w="9525" cap="flat" cmpd="sng" algn="ctr">
              <a:solidFill>
                <a:schemeClr val="tx1">
                  <a:lumMod val="15000"/>
                  <a:lumOff val="85000"/>
                </a:schemeClr>
              </a:solidFill>
              <a:prstDash val="solid"/>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Abadi Extra Light" panose="020B0204020104020204" pitchFamily="34" charset="0"/>
                    <a:ea typeface="+mn-ea"/>
                    <a:cs typeface="+mn-cs"/>
                  </a:defRPr>
                </a:pPr>
                <a:r>
                  <a:rPr lang="es-ES" b="0"/>
                  <a:t>Temas Parte A</a:t>
                </a:r>
              </a:p>
            </c:rich>
          </c:tx>
          <c:layout>
            <c:manualLayout>
              <c:xMode val="edge"/>
              <c:yMode val="edge"/>
              <c:x val="0.17010514570701354"/>
              <c:y val="0.46057971014492755"/>
            </c:manualLayout>
          </c:layout>
          <c:overlay val="0"/>
          <c:spPr>
            <a:noFill/>
            <a:ln>
              <a:noFill/>
            </a:ln>
            <a:effectLst/>
          </c:spPr>
        </c:title>
        <c:numFmt formatCode="0%" sourceLinked="0"/>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14064"/>
        <c:crosses val="autoZero"/>
        <c:crossBetween val="midCat"/>
        <c:majorUnit val="1.0000000000000002E-3"/>
      </c:valAx>
      <c:serAx>
        <c:axId val="152980672"/>
        <c:scaling>
          <c:orientation val="maxMin"/>
        </c:scaling>
        <c:delete val="0"/>
        <c:axPos val="b"/>
        <c:majorTickMark val="none"/>
        <c:minorTickMark val="none"/>
        <c:tickLblPos val="high"/>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074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badi Extra Light" panose="020B0204020104020204" pitchFamily="34" charset="0"/>
                <a:ea typeface="+mn-ea"/>
                <a:cs typeface="+mn-cs"/>
              </a:defRPr>
            </a:pPr>
            <a:r>
              <a:rPr lang="es-ES"/>
              <a:t>Probabilidades por tema estudiado</a:t>
            </a:r>
          </a:p>
        </c:rich>
      </c:tx>
      <c:overlay val="0"/>
      <c:spPr>
        <a:noFill/>
        <a:ln>
          <a:noFill/>
        </a:ln>
        <a:effectLst/>
      </c:spPr>
    </c:title>
    <c:autoTitleDeleted val="0"/>
    <c:view3D>
      <c:rotX val="10"/>
      <c:rotY val="45"/>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0494200706001009E-2"/>
          <c:y val="9.476463539883602E-2"/>
          <c:w val="0.87464054701180505"/>
          <c:h val="0.83869536688348734"/>
        </c:manualLayout>
      </c:layout>
      <c:surface3DChart>
        <c:wireframe val="0"/>
        <c:ser>
          <c:idx val="0"/>
          <c:order val="0"/>
          <c:tx>
            <c:strRef>
              <c:f>'Ej. 4'!$P$39</c:f>
              <c:strCache>
                <c:ptCount val="1"/>
                <c:pt idx="0">
                  <c:v>0</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4'!$Q$39:$AU$39</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15CA-41F8-9818-73C05ADBBA8F}"/>
            </c:ext>
          </c:extLst>
        </c:ser>
        <c:ser>
          <c:idx val="1"/>
          <c:order val="1"/>
          <c:tx>
            <c:strRef>
              <c:f>'Ej. 4'!$P$40</c:f>
              <c:strCache>
                <c:ptCount val="1"/>
                <c:pt idx="0">
                  <c:v>1</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4'!$Q$40:$AU$40</c:f>
              <c:numCache>
                <c:formatCode>0.00%</c:formatCode>
                <c:ptCount val="31"/>
                <c:pt idx="0">
                  <c:v>0</c:v>
                </c:pt>
                <c:pt idx="1">
                  <c:v>2.5641025641025641E-3</c:v>
                </c:pt>
                <c:pt idx="2">
                  <c:v>3.359858532272325E-3</c:v>
                </c:pt>
                <c:pt idx="3">
                  <c:v>3.7135278514588859E-3</c:v>
                </c:pt>
                <c:pt idx="4">
                  <c:v>3.8903625110521664E-3</c:v>
                </c:pt>
                <c:pt idx="5">
                  <c:v>3.9787798408488064E-3</c:v>
                </c:pt>
                <c:pt idx="6">
                  <c:v>4.0166729821902239E-3</c:v>
                </c:pt>
                <c:pt idx="7">
                  <c:v>4.0229885057471272E-3</c:v>
                </c:pt>
                <c:pt idx="8">
                  <c:v>4.008252284114353E-3</c:v>
                </c:pt>
                <c:pt idx="9">
                  <c:v>3.9787798408488064E-3</c:v>
                </c:pt>
                <c:pt idx="10">
                  <c:v>3.938590145486697E-3</c:v>
                </c:pt>
                <c:pt idx="11">
                  <c:v>3.8903625110521668E-3</c:v>
                </c:pt>
                <c:pt idx="12">
                  <c:v>3.8359518465619262E-3</c:v>
                </c:pt>
                <c:pt idx="13">
                  <c:v>3.7766830870279151E-3</c:v>
                </c:pt>
                <c:pt idx="14">
                  <c:v>3.7135278514588859E-3</c:v>
                </c:pt>
                <c:pt idx="15">
                  <c:v>3.6472148541114059E-3</c:v>
                </c:pt>
                <c:pt idx="16">
                  <c:v>3.578301347064025E-3</c:v>
                </c:pt>
                <c:pt idx="17">
                  <c:v>3.5072207486000592E-3</c:v>
                </c:pt>
                <c:pt idx="18">
                  <c:v>3.4343152310484432E-3</c:v>
                </c:pt>
                <c:pt idx="19">
                  <c:v>3.359858532272325E-3</c:v>
                </c:pt>
                <c:pt idx="20">
                  <c:v>3.2840722495894909E-3</c:v>
                </c:pt>
                <c:pt idx="21">
                  <c:v>3.2071376898963107E-3</c:v>
                </c:pt>
                <c:pt idx="22">
                  <c:v>3.1292046284550033E-3</c:v>
                </c:pt>
                <c:pt idx="23">
                  <c:v>3.0503978779840859E-3</c:v>
                </c:pt>
                <c:pt idx="24">
                  <c:v>2.9708222811671093E-3</c:v>
                </c:pt>
                <c:pt idx="25">
                  <c:v>2.8905665510440045E-3</c:v>
                </c:pt>
                <c:pt idx="26">
                  <c:v>2.80970625798212E-3</c:v>
                </c:pt>
                <c:pt idx="27">
                  <c:v>2.7283061765820391E-3</c:v>
                </c:pt>
                <c:pt idx="28">
                  <c:v>2.6464221470166777E-3</c:v>
                </c:pt>
                <c:pt idx="29">
                  <c:v>2.5641025641025641E-3</c:v>
                </c:pt>
                <c:pt idx="30">
                  <c:v>2.4813895781637717E-3</c:v>
                </c:pt>
              </c:numCache>
            </c:numRef>
          </c:val>
          <c:extLst>
            <c:ext xmlns:c16="http://schemas.microsoft.com/office/drawing/2014/chart" uri="{C3380CC4-5D6E-409C-BE32-E72D297353CC}">
              <c16:uniqueId val="{00000001-15CA-41F8-9818-73C05ADBBA8F}"/>
            </c:ext>
          </c:extLst>
        </c:ser>
        <c:ser>
          <c:idx val="2"/>
          <c:order val="2"/>
          <c:tx>
            <c:strRef>
              <c:f>'Ej. 4'!$P$41</c:f>
              <c:strCache>
                <c:ptCount val="1"/>
                <c:pt idx="0">
                  <c:v>2</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4'!$Q$41:$AU$41</c:f>
              <c:numCache>
                <c:formatCode>0.00%</c:formatCode>
                <c:ptCount val="31"/>
                <c:pt idx="0">
                  <c:v>0</c:v>
                </c:pt>
                <c:pt idx="1">
                  <c:v>3.3504273504273503E-3</c:v>
                </c:pt>
                <c:pt idx="2">
                  <c:v>4.9389920424403174E-3</c:v>
                </c:pt>
                <c:pt idx="3">
                  <c:v>5.8228116710875326E-3</c:v>
                </c:pt>
                <c:pt idx="4">
                  <c:v>6.3542587680518728E-3</c:v>
                </c:pt>
                <c:pt idx="5">
                  <c:v>6.6843501326259947E-3</c:v>
                </c:pt>
                <c:pt idx="6">
                  <c:v>6.8885941644562338E-3</c:v>
                </c:pt>
                <c:pt idx="7">
                  <c:v>7.0089399744572168E-3</c:v>
                </c:pt>
                <c:pt idx="8">
                  <c:v>7.0705570291777183E-3</c:v>
                </c:pt>
                <c:pt idx="9">
                  <c:v>7.0894622618760533E-3</c:v>
                </c:pt>
                <c:pt idx="10">
                  <c:v>7.0763336280577661E-3</c:v>
                </c:pt>
                <c:pt idx="11">
                  <c:v>7.0385635584574576E-3</c:v>
                </c:pt>
                <c:pt idx="12">
                  <c:v>6.9814323607427049E-3</c:v>
                </c:pt>
                <c:pt idx="13">
                  <c:v>6.9088122605363983E-3</c:v>
                </c:pt>
                <c:pt idx="14">
                  <c:v>6.8236074270557031E-3</c:v>
                </c:pt>
                <c:pt idx="15">
                  <c:v>6.7280386955843345E-3</c:v>
                </c:pt>
                <c:pt idx="16">
                  <c:v>6.6238333824540719E-3</c:v>
                </c:pt>
                <c:pt idx="17">
                  <c:v>6.5123551584531621E-3</c:v>
                </c:pt>
                <c:pt idx="18">
                  <c:v>6.3946949602122025E-3</c:v>
                </c:pt>
                <c:pt idx="19">
                  <c:v>6.2717359269083405E-3</c:v>
                </c:pt>
                <c:pt idx="20">
                  <c:v>6.1442006269592474E-3</c:v>
                </c:pt>
                <c:pt idx="21">
                  <c:v>6.0126859647099528E-3</c:v>
                </c:pt>
                <c:pt idx="22">
                  <c:v>5.8776893604479815E-3</c:v>
                </c:pt>
                <c:pt idx="23">
                  <c:v>5.7396286472148547E-3</c:v>
                </c:pt>
                <c:pt idx="24">
                  <c:v>5.5988573760457055E-3</c:v>
                </c:pt>
                <c:pt idx="25">
                  <c:v>5.4556767200445366E-3</c:v>
                </c:pt>
                <c:pt idx="26">
                  <c:v>5.3103448275862069E-3</c:v>
                </c:pt>
                <c:pt idx="27">
                  <c:v>5.1630842403731815E-3</c:v>
                </c:pt>
                <c:pt idx="28">
                  <c:v>5.0140878278809317E-3</c:v>
                </c:pt>
                <c:pt idx="29">
                  <c:v>4.8635235732009926E-3</c:v>
                </c:pt>
                <c:pt idx="30">
                  <c:v>4.7115384615384615E-3</c:v>
                </c:pt>
              </c:numCache>
            </c:numRef>
          </c:val>
          <c:extLst>
            <c:ext xmlns:c16="http://schemas.microsoft.com/office/drawing/2014/chart" uri="{C3380CC4-5D6E-409C-BE32-E72D297353CC}">
              <c16:uniqueId val="{00000002-15CA-41F8-9818-73C05ADBBA8F}"/>
            </c:ext>
          </c:extLst>
        </c:ser>
        <c:ser>
          <c:idx val="3"/>
          <c:order val="3"/>
          <c:tx>
            <c:strRef>
              <c:f>'Ej. 4'!$P$42</c:f>
              <c:strCache>
                <c:ptCount val="1"/>
                <c:pt idx="0">
                  <c:v>3</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4'!$Q$42:$AU$42</c:f>
              <c:numCache>
                <c:formatCode>0.00%</c:formatCode>
                <c:ptCount val="31"/>
                <c:pt idx="0">
                  <c:v>0</c:v>
                </c:pt>
                <c:pt idx="1">
                  <c:v>3.6923076923076918E-3</c:v>
                </c:pt>
                <c:pt idx="2">
                  <c:v>5.8058355437665774E-3</c:v>
                </c:pt>
                <c:pt idx="3">
                  <c:v>7.12997347480106E-3</c:v>
                </c:pt>
                <c:pt idx="4">
                  <c:v>8.0030314513073134E-3</c:v>
                </c:pt>
                <c:pt idx="5">
                  <c:v>8.5941644562334205E-3</c:v>
                </c:pt>
                <c:pt idx="6">
                  <c:v>8.9973474801061E-3</c:v>
                </c:pt>
                <c:pt idx="7">
                  <c:v>9.2689655172413787E-3</c:v>
                </c:pt>
                <c:pt idx="8">
                  <c:v>9.4448999276585469E-3</c:v>
                </c:pt>
                <c:pt idx="9">
                  <c:v>9.5490716180371329E-3</c:v>
                </c:pt>
                <c:pt idx="10">
                  <c:v>9.5980412160783495E-3</c:v>
                </c:pt>
                <c:pt idx="11">
                  <c:v>9.6036377415687751E-3</c:v>
                </c:pt>
                <c:pt idx="12">
                  <c:v>9.574535809018566E-3</c:v>
                </c:pt>
                <c:pt idx="13">
                  <c:v>9.5172413793103445E-3</c:v>
                </c:pt>
                <c:pt idx="14">
                  <c:v>9.4367295990014036E-3</c:v>
                </c:pt>
                <c:pt idx="15">
                  <c:v>9.3368700265251976E-3</c:v>
                </c:pt>
                <c:pt idx="16">
                  <c:v>9.2207175764344538E-3</c:v>
                </c:pt>
                <c:pt idx="17">
                  <c:v>9.090716180371352E-3</c:v>
                </c:pt>
                <c:pt idx="18">
                  <c:v>8.9488442591890861E-3</c:v>
                </c:pt>
                <c:pt idx="19">
                  <c:v>8.7967205208584493E-3</c:v>
                </c:pt>
                <c:pt idx="20">
                  <c:v>8.6356821589205386E-3</c:v>
                </c:pt>
                <c:pt idx="21">
                  <c:v>8.4668435013262582E-3</c:v>
                </c:pt>
                <c:pt idx="22">
                  <c:v>8.2911405835543756E-3</c:v>
                </c:pt>
                <c:pt idx="23">
                  <c:v>8.1093654356253833E-3</c:v>
                </c:pt>
                <c:pt idx="24">
                  <c:v>7.9221927497789574E-3</c:v>
                </c:pt>
                <c:pt idx="25">
                  <c:v>7.7302008336491085E-3</c:v>
                </c:pt>
                <c:pt idx="26">
                  <c:v>7.5338882282996429E-3</c:v>
                </c:pt>
                <c:pt idx="27">
                  <c:v>7.333687002652519E-3</c:v>
                </c:pt>
                <c:pt idx="28">
                  <c:v>7.1299734748010608E-3</c:v>
                </c:pt>
                <c:pt idx="29">
                  <c:v>6.9230769230769224E-3</c:v>
                </c:pt>
                <c:pt idx="30">
                  <c:v>6.7132867132867124E-3</c:v>
                </c:pt>
              </c:numCache>
            </c:numRef>
          </c:val>
          <c:extLst>
            <c:ext xmlns:c16="http://schemas.microsoft.com/office/drawing/2014/chart" uri="{C3380CC4-5D6E-409C-BE32-E72D297353CC}">
              <c16:uniqueId val="{00000003-15CA-41F8-9818-73C05ADBBA8F}"/>
            </c:ext>
          </c:extLst>
        </c:ser>
        <c:ser>
          <c:idx val="4"/>
          <c:order val="4"/>
          <c:tx>
            <c:strRef>
              <c:f>'Ej. 4'!$P$43</c:f>
              <c:strCache>
                <c:ptCount val="1"/>
                <c:pt idx="0">
                  <c:v>4</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4'!$Q$43:$AU$43</c:f>
              <c:numCache>
                <c:formatCode>0.00%</c:formatCode>
                <c:ptCount val="31"/>
                <c:pt idx="0">
                  <c:v>0</c:v>
                </c:pt>
                <c:pt idx="1">
                  <c:v>3.8564102564102565E-3</c:v>
                </c:pt>
                <c:pt idx="2">
                  <c:v>6.3165340406719714E-3</c:v>
                </c:pt>
                <c:pt idx="3">
                  <c:v>7.9787798408488073E-3</c:v>
                </c:pt>
                <c:pt idx="4">
                  <c:v>9.1423519009725916E-3</c:v>
                </c:pt>
                <c:pt idx="5">
                  <c:v>9.9734748010610087E-3</c:v>
                </c:pt>
                <c:pt idx="6">
                  <c:v>1.0571883289124669E-2</c:v>
                </c:pt>
                <c:pt idx="7">
                  <c:v>1.1001044932079415E-2</c:v>
                </c:pt>
                <c:pt idx="8">
                  <c:v>1.1303271441202474E-2</c:v>
                </c:pt>
                <c:pt idx="9">
                  <c:v>1.1507855539685778E-2</c:v>
                </c:pt>
                <c:pt idx="10">
                  <c:v>1.1635720601237841E-2</c:v>
                </c:pt>
                <c:pt idx="11">
                  <c:v>1.1702210433244915E-2</c:v>
                </c:pt>
                <c:pt idx="12">
                  <c:v>1.1718832891246684E-2</c:v>
                </c:pt>
                <c:pt idx="13">
                  <c:v>1.1694388100067614E-2</c:v>
                </c:pt>
                <c:pt idx="14">
                  <c:v>1.1635720601237843E-2</c:v>
                </c:pt>
                <c:pt idx="15">
                  <c:v>1.1548233980175904E-2</c:v>
                </c:pt>
                <c:pt idx="16">
                  <c:v>1.1436251105216623E-2</c:v>
                </c:pt>
                <c:pt idx="17">
                  <c:v>1.1303271441202476E-2</c:v>
                </c:pt>
                <c:pt idx="18">
                  <c:v>1.1152158186640946E-2</c:v>
                </c:pt>
                <c:pt idx="19">
                  <c:v>1.0985276592472993E-2</c:v>
                </c:pt>
                <c:pt idx="20">
                  <c:v>1.0804597701149424E-2</c:v>
                </c:pt>
                <c:pt idx="21">
                  <c:v>1.0611777188328913E-2</c:v>
                </c:pt>
                <c:pt idx="22">
                  <c:v>1.0408216010338025E-2</c:v>
                </c:pt>
                <c:pt idx="23">
                  <c:v>1.019510757441792E-2</c:v>
                </c:pt>
                <c:pt idx="24">
                  <c:v>9.9734748010610087E-3</c:v>
                </c:pt>
                <c:pt idx="25">
                  <c:v>9.7441995182779972E-3</c:v>
                </c:pt>
                <c:pt idx="26">
                  <c:v>9.508045977011494E-3</c:v>
                </c:pt>
                <c:pt idx="27">
                  <c:v>9.2656798151792598E-3</c:v>
                </c:pt>
                <c:pt idx="28">
                  <c:v>9.0176834659593287E-3</c:v>
                </c:pt>
                <c:pt idx="29">
                  <c:v>8.7645687645687646E-3</c:v>
                </c:pt>
                <c:pt idx="30">
                  <c:v>8.5067873303167427E-3</c:v>
                </c:pt>
              </c:numCache>
            </c:numRef>
          </c:val>
          <c:extLst>
            <c:ext xmlns:c16="http://schemas.microsoft.com/office/drawing/2014/chart" uri="{C3380CC4-5D6E-409C-BE32-E72D297353CC}">
              <c16:uniqueId val="{00000004-15CA-41F8-9818-73C05ADBBA8F}"/>
            </c:ext>
          </c:extLst>
        </c:ser>
        <c:ser>
          <c:idx val="5"/>
          <c:order val="5"/>
          <c:tx>
            <c:strRef>
              <c:f>'Ej. 4'!$P$44</c:f>
              <c:strCache>
                <c:ptCount val="1"/>
                <c:pt idx="0">
                  <c:v>5</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4'!$Q$44:$AU$44</c:f>
              <c:numCache>
                <c:formatCode>0.00%</c:formatCode>
                <c:ptCount val="31"/>
                <c:pt idx="0">
                  <c:v>0</c:v>
                </c:pt>
                <c:pt idx="1">
                  <c:v>3.9316239316239321E-3</c:v>
                </c:pt>
                <c:pt idx="2">
                  <c:v>6.6237211064797269E-3</c:v>
                </c:pt>
                <c:pt idx="3">
                  <c:v>8.5411140583554375E-3</c:v>
                </c:pt>
                <c:pt idx="4">
                  <c:v>9.9420375282444264E-3</c:v>
                </c:pt>
                <c:pt idx="5">
                  <c:v>1.0981432360742706E-2</c:v>
                </c:pt>
                <c:pt idx="6">
                  <c:v>1.1757897275138656E-2</c:v>
                </c:pt>
                <c:pt idx="7">
                  <c:v>1.2337164750957856E-2</c:v>
                </c:pt>
                <c:pt idx="8">
                  <c:v>1.2764741889410323E-2</c:v>
                </c:pt>
                <c:pt idx="9">
                  <c:v>1.3073133762788933E-2</c:v>
                </c:pt>
                <c:pt idx="10">
                  <c:v>1.3286177424108458E-2</c:v>
                </c:pt>
                <c:pt idx="11">
                  <c:v>1.3421750663129974E-2</c:v>
                </c:pt>
                <c:pt idx="12">
                  <c:v>1.3493524730847245E-2</c:v>
                </c:pt>
                <c:pt idx="13">
                  <c:v>1.3512132822477652E-2</c:v>
                </c:pt>
                <c:pt idx="14">
                  <c:v>1.3485969565824377E-2</c:v>
                </c:pt>
                <c:pt idx="15">
                  <c:v>1.3421750663129974E-2</c:v>
                </c:pt>
                <c:pt idx="16">
                  <c:v>1.3324912635257464E-2</c:v>
                </c:pt>
                <c:pt idx="17">
                  <c:v>1.3199903544731132E-2</c:v>
                </c:pt>
                <c:pt idx="18">
                  <c:v>1.3050397877984085E-2</c:v>
                </c:pt>
                <c:pt idx="19">
                  <c:v>1.2879457707043913E-2</c:v>
                </c:pt>
                <c:pt idx="20">
                  <c:v>1.2689655172413794E-2</c:v>
                </c:pt>
                <c:pt idx="21">
                  <c:v>1.2483166700673332E-2</c:v>
                </c:pt>
                <c:pt idx="22">
                  <c:v>1.2261846284834789E-2</c:v>
                </c:pt>
                <c:pt idx="23">
                  <c:v>1.2027283061765823E-2</c:v>
                </c:pt>
                <c:pt idx="24">
                  <c:v>1.1780846977041983E-2</c:v>
                </c:pt>
                <c:pt idx="25">
                  <c:v>1.1523725316828767E-2</c:v>
                </c:pt>
                <c:pt idx="26">
                  <c:v>1.1256952169076751E-2</c:v>
                </c:pt>
                <c:pt idx="27">
                  <c:v>1.0981432360742706E-2</c:v>
                </c:pt>
                <c:pt idx="28">
                  <c:v>1.0697961042788631E-2</c:v>
                </c:pt>
                <c:pt idx="29">
                  <c:v>1.0407239819004526E-2</c:v>
                </c:pt>
                <c:pt idx="30">
                  <c:v>1.0109890109890111E-2</c:v>
                </c:pt>
              </c:numCache>
            </c:numRef>
          </c:val>
          <c:extLst>
            <c:ext xmlns:c16="http://schemas.microsoft.com/office/drawing/2014/chart" uri="{C3380CC4-5D6E-409C-BE32-E72D297353CC}">
              <c16:uniqueId val="{00000005-15CA-41F8-9818-73C05ADBBA8F}"/>
            </c:ext>
          </c:extLst>
        </c:ser>
        <c:ser>
          <c:idx val="6"/>
          <c:order val="6"/>
          <c:tx>
            <c:strRef>
              <c:f>'Ej. 4'!$P$45</c:f>
              <c:strCache>
                <c:ptCount val="1"/>
                <c:pt idx="0">
                  <c:v>6</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4'!$Q$45:$AU$45</c:f>
              <c:numCache>
                <c:formatCode>0.00%</c:formatCode>
                <c:ptCount val="31"/>
                <c:pt idx="0">
                  <c:v>0</c:v>
                </c:pt>
                <c:pt idx="1">
                  <c:v>3.956043956043956E-3</c:v>
                </c:pt>
                <c:pt idx="2">
                  <c:v>6.8037135278514582E-3</c:v>
                </c:pt>
                <c:pt idx="3">
                  <c:v>8.9124668435013252E-3</c:v>
                </c:pt>
                <c:pt idx="4">
                  <c:v>1.0503978779840851E-2</c:v>
                </c:pt>
                <c:pt idx="5">
                  <c:v>1.1719315167591031E-2</c:v>
                </c:pt>
                <c:pt idx="6">
                  <c:v>1.2652519893899206E-2</c:v>
                </c:pt>
                <c:pt idx="7">
                  <c:v>1.3368700265251991E-2</c:v>
                </c:pt>
                <c:pt idx="8">
                  <c:v>1.3914361500568396E-2</c:v>
                </c:pt>
                <c:pt idx="9">
                  <c:v>1.4323607427055702E-2</c:v>
                </c:pt>
                <c:pt idx="10">
                  <c:v>1.4622015915119364E-2</c:v>
                </c:pt>
                <c:pt idx="11">
                  <c:v>1.4829146512716492E-2</c:v>
                </c:pt>
                <c:pt idx="12">
                  <c:v>1.4960212201591513E-2</c:v>
                </c:pt>
                <c:pt idx="13">
                  <c:v>1.5027223230490017E-2</c:v>
                </c:pt>
                <c:pt idx="14">
                  <c:v>1.5039787798408488E-2</c:v>
                </c:pt>
                <c:pt idx="15">
                  <c:v>1.5005683971201212E-2</c:v>
                </c:pt>
                <c:pt idx="16">
                  <c:v>1.4931275620930794E-2</c:v>
                </c:pt>
                <c:pt idx="17">
                  <c:v>1.482181985930112E-2</c:v>
                </c:pt>
                <c:pt idx="18">
                  <c:v>1.4681697612732096E-2</c:v>
                </c:pt>
                <c:pt idx="19">
                  <c:v>1.4514588859416446E-2</c:v>
                </c:pt>
                <c:pt idx="20">
                  <c:v>1.4323607427055704E-2</c:v>
                </c:pt>
                <c:pt idx="21">
                  <c:v>1.4111405835543767E-2</c:v>
                </c:pt>
                <c:pt idx="22">
                  <c:v>1.3880257673361122E-2</c:v>
                </c:pt>
                <c:pt idx="23">
                  <c:v>1.3632122930577155E-2</c:v>
                </c:pt>
                <c:pt idx="24">
                  <c:v>1.3368700265251991E-2</c:v>
                </c:pt>
                <c:pt idx="25">
                  <c:v>1.3091469153760589E-2</c:v>
                </c:pt>
                <c:pt idx="26">
                  <c:v>1.2801724137931035E-2</c:v>
                </c:pt>
                <c:pt idx="27">
                  <c:v>1.2500602845430432E-2</c:v>
                </c:pt>
                <c:pt idx="28">
                  <c:v>1.2189109065376815E-2</c:v>
                </c:pt>
                <c:pt idx="29">
                  <c:v>1.1868131868131869E-2</c:v>
                </c:pt>
                <c:pt idx="30">
                  <c:v>1.1538461538461539E-2</c:v>
                </c:pt>
              </c:numCache>
            </c:numRef>
          </c:val>
          <c:extLst>
            <c:ext xmlns:c16="http://schemas.microsoft.com/office/drawing/2014/chart" uri="{C3380CC4-5D6E-409C-BE32-E72D297353CC}">
              <c16:uniqueId val="{00000006-15CA-41F8-9818-73C05ADBBA8F}"/>
            </c:ext>
          </c:extLst>
        </c:ser>
        <c:ser>
          <c:idx val="7"/>
          <c:order val="7"/>
          <c:tx>
            <c:strRef>
              <c:f>'Ej. 4'!$P$46</c:f>
              <c:strCache>
                <c:ptCount val="1"/>
                <c:pt idx="0">
                  <c:v>7</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4'!$Q$46:$AU$46</c:f>
              <c:numCache>
                <c:formatCode>0.00%</c:formatCode>
                <c:ptCount val="31"/>
                <c:pt idx="0">
                  <c:v>0</c:v>
                </c:pt>
                <c:pt idx="1">
                  <c:v>3.948717948717948E-3</c:v>
                </c:pt>
                <c:pt idx="2">
                  <c:v>6.8989095195991735E-3</c:v>
                </c:pt>
                <c:pt idx="3">
                  <c:v>9.1501326259946954E-3</c:v>
                </c:pt>
                <c:pt idx="4">
                  <c:v>1.0893015030946066E-2</c:v>
                </c:pt>
                <c:pt idx="5">
                  <c:v>1.2254641909814323E-2</c:v>
                </c:pt>
                <c:pt idx="6">
                  <c:v>1.3322995307080187E-2</c:v>
                </c:pt>
                <c:pt idx="7">
                  <c:v>1.4160919540229884E-2</c:v>
                </c:pt>
                <c:pt idx="8">
                  <c:v>1.4814500442086646E-2</c:v>
                </c:pt>
                <c:pt idx="9">
                  <c:v>1.5318302387267901E-2</c:v>
                </c:pt>
                <c:pt idx="10">
                  <c:v>1.5698756956363445E-2</c:v>
                </c:pt>
                <c:pt idx="11">
                  <c:v>1.5976422045387559E-2</c:v>
                </c:pt>
                <c:pt idx="12">
                  <c:v>1.6167527572246262E-2</c:v>
                </c:pt>
                <c:pt idx="13">
                  <c:v>1.6285057471264366E-2</c:v>
                </c:pt>
                <c:pt idx="14">
                  <c:v>1.6339522546419096E-2</c:v>
                </c:pt>
                <c:pt idx="15">
                  <c:v>1.6339522546419096E-2</c:v>
                </c:pt>
                <c:pt idx="16">
                  <c:v>1.6292161611501939E-2</c:v>
                </c:pt>
                <c:pt idx="17">
                  <c:v>1.620335985853227E-2</c:v>
                </c:pt>
                <c:pt idx="18">
                  <c:v>1.6078090185676394E-2</c:v>
                </c:pt>
                <c:pt idx="19">
                  <c:v>1.5920560429844247E-2</c:v>
                </c:pt>
                <c:pt idx="20">
                  <c:v>1.5734355044699871E-2</c:v>
                </c:pt>
                <c:pt idx="21">
                  <c:v>1.5522546419098142E-2</c:v>
                </c:pt>
                <c:pt idx="22">
                  <c:v>1.5287783164120857E-2</c:v>
                </c:pt>
                <c:pt idx="23">
                  <c:v>1.503236074270557E-2</c:v>
                </c:pt>
                <c:pt idx="24">
                  <c:v>1.4758278429023702E-2</c:v>
                </c:pt>
                <c:pt idx="25">
                  <c:v>1.4467285587975243E-2</c:v>
                </c:pt>
                <c:pt idx="26">
                  <c:v>1.4160919540229883E-2</c:v>
                </c:pt>
                <c:pt idx="27">
                  <c:v>1.3840536745202059E-2</c:v>
                </c:pt>
                <c:pt idx="28">
                  <c:v>1.3507338638373121E-2</c:v>
                </c:pt>
                <c:pt idx="29">
                  <c:v>1.3162393162393161E-2</c:v>
                </c:pt>
                <c:pt idx="30">
                  <c:v>1.2806652806652805E-2</c:v>
                </c:pt>
              </c:numCache>
            </c:numRef>
          </c:val>
          <c:extLst>
            <c:ext xmlns:c16="http://schemas.microsoft.com/office/drawing/2014/chart" uri="{C3380CC4-5D6E-409C-BE32-E72D297353CC}">
              <c16:uniqueId val="{00000007-15CA-41F8-9818-73C05ADBBA8F}"/>
            </c:ext>
          </c:extLst>
        </c:ser>
        <c:ser>
          <c:idx val="8"/>
          <c:order val="8"/>
          <c:tx>
            <c:strRef>
              <c:f>'Ej. 4'!$P$47</c:f>
              <c:strCache>
                <c:ptCount val="1"/>
                <c:pt idx="0">
                  <c:v>8</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4'!$Q$47:$AU$47</c:f>
              <c:numCache>
                <c:formatCode>0.00%</c:formatCode>
                <c:ptCount val="31"/>
                <c:pt idx="0">
                  <c:v>0</c:v>
                </c:pt>
                <c:pt idx="1">
                  <c:v>3.9202279202279209E-3</c:v>
                </c:pt>
                <c:pt idx="2">
                  <c:v>6.9347480106100798E-3</c:v>
                </c:pt>
                <c:pt idx="3">
                  <c:v>9.2905714974680503E-3</c:v>
                </c:pt>
                <c:pt idx="4">
                  <c:v>1.1152372531682879E-2</c:v>
                </c:pt>
                <c:pt idx="5">
                  <c:v>1.263415629463375E-2</c:v>
                </c:pt>
                <c:pt idx="6">
                  <c:v>1.381735505873437E-2</c:v>
                </c:pt>
                <c:pt idx="7">
                  <c:v>1.476168582375479E-2</c:v>
                </c:pt>
                <c:pt idx="8">
                  <c:v>1.5511936339522546E-2</c:v>
                </c:pt>
                <c:pt idx="9">
                  <c:v>1.6102356061788111E-2</c:v>
                </c:pt>
                <c:pt idx="10">
                  <c:v>1.6559583456135181E-2</c:v>
                </c:pt>
                <c:pt idx="11">
                  <c:v>1.6904648890129836E-2</c:v>
                </c:pt>
                <c:pt idx="12">
                  <c:v>1.7154376657824936E-2</c:v>
                </c:pt>
                <c:pt idx="13">
                  <c:v>1.7322386425834703E-2</c:v>
                </c:pt>
                <c:pt idx="14">
                  <c:v>1.7419821557752593E-2</c:v>
                </c:pt>
                <c:pt idx="15">
                  <c:v>1.7455887440894938E-2</c:v>
                </c:pt>
                <c:pt idx="16">
                  <c:v>1.7438255231358682E-2</c:v>
                </c:pt>
                <c:pt idx="17">
                  <c:v>1.7373368700265252E-2</c:v>
                </c:pt>
                <c:pt idx="18">
                  <c:v>1.7266680269332792E-2</c:v>
                </c:pt>
                <c:pt idx="19">
                  <c:v>1.7122834594098961E-2</c:v>
                </c:pt>
                <c:pt idx="20">
                  <c:v>1.6945812807881776E-2</c:v>
                </c:pt>
                <c:pt idx="21">
                  <c:v>1.673904692216226E-2</c:v>
                </c:pt>
                <c:pt idx="22">
                  <c:v>1.6505511346890659E-2</c:v>
                </c:pt>
                <c:pt idx="23">
                  <c:v>1.6247796697184909E-2</c:v>
                </c:pt>
                <c:pt idx="24">
                  <c:v>1.5968169761273212E-2</c:v>
                </c:pt>
                <c:pt idx="25">
                  <c:v>1.5668622565174289E-2</c:v>
                </c:pt>
                <c:pt idx="26">
                  <c:v>1.5350912778904668E-2</c:v>
                </c:pt>
                <c:pt idx="27">
                  <c:v>1.5016597195907542E-2</c:v>
                </c:pt>
                <c:pt idx="28">
                  <c:v>1.4667059632576878E-2</c:v>
                </c:pt>
                <c:pt idx="29">
                  <c:v>1.4303534303534305E-2</c:v>
                </c:pt>
                <c:pt idx="30">
                  <c:v>1.3927125506072877E-2</c:v>
                </c:pt>
              </c:numCache>
            </c:numRef>
          </c:val>
          <c:extLst>
            <c:ext xmlns:c16="http://schemas.microsoft.com/office/drawing/2014/chart" uri="{C3380CC4-5D6E-409C-BE32-E72D297353CC}">
              <c16:uniqueId val="{00000008-15CA-41F8-9818-73C05ADBBA8F}"/>
            </c:ext>
          </c:extLst>
        </c:ser>
        <c:ser>
          <c:idx val="9"/>
          <c:order val="9"/>
          <c:tx>
            <c:strRef>
              <c:f>'Ej. 4'!$P$48</c:f>
              <c:strCache>
                <c:ptCount val="1"/>
                <c:pt idx="0">
                  <c:v>9</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4'!$Q$48:$AU$48</c:f>
              <c:numCache>
                <c:formatCode>0.00%</c:formatCode>
                <c:ptCount val="31"/>
                <c:pt idx="0">
                  <c:v>0</c:v>
                </c:pt>
                <c:pt idx="1">
                  <c:v>3.8769230769230773E-3</c:v>
                </c:pt>
                <c:pt idx="2">
                  <c:v>6.9274174101760311E-3</c:v>
                </c:pt>
                <c:pt idx="3">
                  <c:v>9.3580901856763921E-3</c:v>
                </c:pt>
                <c:pt idx="4">
                  <c:v>1.1311977147520915E-2</c:v>
                </c:pt>
                <c:pt idx="5">
                  <c:v>1.2891246684350132E-2</c:v>
                </c:pt>
                <c:pt idx="6">
                  <c:v>1.417082228116711E-2</c:v>
                </c:pt>
                <c:pt idx="7">
                  <c:v>1.520689655172414E-2</c:v>
                </c:pt>
                <c:pt idx="8">
                  <c:v>1.6042440318302386E-2</c:v>
                </c:pt>
                <c:pt idx="9">
                  <c:v>1.6710875331564984E-2</c:v>
                </c:pt>
                <c:pt idx="10">
                  <c:v>1.7238587184140723E-2</c:v>
                </c:pt>
                <c:pt idx="11">
                  <c:v>1.7646684350132627E-2</c:v>
                </c:pt>
                <c:pt idx="12">
                  <c:v>1.7952254641909814E-2</c:v>
                </c:pt>
                <c:pt idx="13">
                  <c:v>1.8169278996865205E-2</c:v>
                </c:pt>
                <c:pt idx="14">
                  <c:v>1.8309306885019031E-2</c:v>
                </c:pt>
                <c:pt idx="15">
                  <c:v>1.8381962864721487E-2</c:v>
                </c:pt>
                <c:pt idx="16">
                  <c:v>1.8395331564986739E-2</c:v>
                </c:pt>
                <c:pt idx="17">
                  <c:v>1.8356253825749846E-2</c:v>
                </c:pt>
                <c:pt idx="18">
                  <c:v>1.8270557029177719E-2</c:v>
                </c:pt>
                <c:pt idx="19">
                  <c:v>1.8143236074270559E-2</c:v>
                </c:pt>
                <c:pt idx="20">
                  <c:v>1.7978596908442331E-2</c:v>
                </c:pt>
                <c:pt idx="21">
                  <c:v>1.7780371352785145E-2</c:v>
                </c:pt>
                <c:pt idx="22">
                  <c:v>1.7551809703088901E-2</c:v>
                </c:pt>
                <c:pt idx="23">
                  <c:v>1.7295755968169763E-2</c:v>
                </c:pt>
                <c:pt idx="24">
                  <c:v>1.7014709428502531E-2</c:v>
                </c:pt>
                <c:pt idx="25">
                  <c:v>1.6710875331564987E-2</c:v>
                </c:pt>
                <c:pt idx="26">
                  <c:v>1.6386206896551726E-2</c:v>
                </c:pt>
                <c:pt idx="27">
                  <c:v>1.6042440318302389E-2</c:v>
                </c:pt>
                <c:pt idx="28">
                  <c:v>1.56811240949172E-2</c:v>
                </c:pt>
                <c:pt idx="29">
                  <c:v>1.5303643724696357E-2</c:v>
                </c:pt>
                <c:pt idx="30">
                  <c:v>1.4911242603550296E-2</c:v>
                </c:pt>
              </c:numCache>
            </c:numRef>
          </c:val>
          <c:extLst>
            <c:ext xmlns:c16="http://schemas.microsoft.com/office/drawing/2014/chart" uri="{C3380CC4-5D6E-409C-BE32-E72D297353CC}">
              <c16:uniqueId val="{00000009-15CA-41F8-9818-73C05ADBBA8F}"/>
            </c:ext>
          </c:extLst>
        </c:ser>
        <c:ser>
          <c:idx val="10"/>
          <c:order val="10"/>
          <c:tx>
            <c:strRef>
              <c:f>'Ej. 4'!$P$49</c:f>
              <c:strCache>
                <c:ptCount val="1"/>
                <c:pt idx="0">
                  <c:v>10</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4'!$Q$49:$AU$49</c:f>
              <c:numCache>
                <c:formatCode>0.00%</c:formatCode>
                <c:ptCount val="31"/>
                <c:pt idx="0">
                  <c:v>0</c:v>
                </c:pt>
                <c:pt idx="1">
                  <c:v>3.8228438228438228E-3</c:v>
                </c:pt>
                <c:pt idx="2">
                  <c:v>6.8877099911582662E-3</c:v>
                </c:pt>
                <c:pt idx="3">
                  <c:v>9.369516425219342E-3</c:v>
                </c:pt>
                <c:pt idx="4">
                  <c:v>1.1393204496652773E-2</c:v>
                </c:pt>
                <c:pt idx="5">
                  <c:v>1.3050397877984085E-2</c:v>
                </c:pt>
                <c:pt idx="6">
                  <c:v>1.4409814323607427E-2</c:v>
                </c:pt>
                <c:pt idx="7">
                  <c:v>1.5524002704530089E-2</c:v>
                </c:pt>
                <c:pt idx="8">
                  <c:v>1.6433834364868845E-2</c:v>
                </c:pt>
                <c:pt idx="9">
                  <c:v>1.7171576155242216E-2</c:v>
                </c:pt>
                <c:pt idx="10">
                  <c:v>1.7763041556145005E-2</c:v>
                </c:pt>
                <c:pt idx="11">
                  <c:v>1.8229127194644434E-2</c:v>
                </c:pt>
                <c:pt idx="12">
                  <c:v>1.8586930311068242E-2</c:v>
                </c:pt>
                <c:pt idx="13">
                  <c:v>1.8850574712643679E-2</c:v>
                </c:pt>
                <c:pt idx="14">
                  <c:v>1.9031830238726791E-2</c:v>
                </c:pt>
                <c:pt idx="15">
                  <c:v>1.9140583554376655E-2</c:v>
                </c:pt>
                <c:pt idx="16">
                  <c:v>1.9185200299258656E-2</c:v>
                </c:pt>
                <c:pt idx="17">
                  <c:v>1.9172806759013655E-2</c:v>
                </c:pt>
                <c:pt idx="18">
                  <c:v>1.9109511178476698E-2</c:v>
                </c:pt>
                <c:pt idx="19">
                  <c:v>1.9000579285953841E-2</c:v>
                </c:pt>
                <c:pt idx="20">
                  <c:v>1.8850574712643679E-2</c:v>
                </c:pt>
                <c:pt idx="21">
                  <c:v>1.8663472234106269E-2</c:v>
                </c:pt>
                <c:pt idx="22">
                  <c:v>1.8442749778956675E-2</c:v>
                </c:pt>
                <c:pt idx="23">
                  <c:v>1.8191463708705089E-2</c:v>
                </c:pt>
                <c:pt idx="24">
                  <c:v>1.7912310812919333E-2</c:v>
                </c:pt>
                <c:pt idx="25">
                  <c:v>1.7607679676645196E-2</c:v>
                </c:pt>
                <c:pt idx="26">
                  <c:v>1.7279693486590038E-2</c:v>
                </c:pt>
                <c:pt idx="27">
                  <c:v>1.6930245895763137E-2</c:v>
                </c:pt>
                <c:pt idx="28">
                  <c:v>1.656103122527805E-2</c:v>
                </c:pt>
                <c:pt idx="29">
                  <c:v>1.6173570019723867E-2</c:v>
                </c:pt>
                <c:pt idx="30">
                  <c:v>1.5769230769230768E-2</c:v>
                </c:pt>
              </c:numCache>
            </c:numRef>
          </c:val>
          <c:extLst>
            <c:ext xmlns:c16="http://schemas.microsoft.com/office/drawing/2014/chart" uri="{C3380CC4-5D6E-409C-BE32-E72D297353CC}">
              <c16:uniqueId val="{0000000A-15CA-41F8-9818-73C05ADBBA8F}"/>
            </c:ext>
          </c:extLst>
        </c:ser>
        <c:ser>
          <c:idx val="11"/>
          <c:order val="11"/>
          <c:tx>
            <c:strRef>
              <c:f>'Ej. 4'!$P$50</c:f>
              <c:strCache>
                <c:ptCount val="1"/>
                <c:pt idx="0">
                  <c:v>11</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4'!$Q$50:$AU$50</c:f>
              <c:numCache>
                <c:formatCode>0.00%</c:formatCode>
                <c:ptCount val="31"/>
                <c:pt idx="0">
                  <c:v>0</c:v>
                </c:pt>
                <c:pt idx="1">
                  <c:v>3.7606837606837611E-3</c:v>
                </c:pt>
                <c:pt idx="2">
                  <c:v>6.8230973270761068E-3</c:v>
                </c:pt>
                <c:pt idx="3">
                  <c:v>9.3368700265251993E-3</c:v>
                </c:pt>
                <c:pt idx="4">
                  <c:v>1.1411730032419689E-2</c:v>
                </c:pt>
                <c:pt idx="5">
                  <c:v>1.3129973474801063E-2</c:v>
                </c:pt>
                <c:pt idx="6">
                  <c:v>1.4554532688406929E-2</c:v>
                </c:pt>
                <c:pt idx="7">
                  <c:v>1.5734355044699874E-2</c:v>
                </c:pt>
                <c:pt idx="8">
                  <c:v>1.670808320536088E-2</c:v>
                </c:pt>
                <c:pt idx="9">
                  <c:v>1.7506631299734746E-2</c:v>
                </c:pt>
                <c:pt idx="10">
                  <c:v>1.8155025051576776E-2</c:v>
                </c:pt>
                <c:pt idx="11">
                  <c:v>1.8673740053050399E-2</c:v>
                </c:pt>
                <c:pt idx="12">
                  <c:v>1.9079690923768884E-2</c:v>
                </c:pt>
                <c:pt idx="13">
                  <c:v>1.9386973180076629E-2</c:v>
                </c:pt>
                <c:pt idx="14">
                  <c:v>1.9607427055702918E-2</c:v>
                </c:pt>
                <c:pt idx="15">
                  <c:v>1.9751071209957151E-2</c:v>
                </c:pt>
                <c:pt idx="16">
                  <c:v>1.9826440056325115E-2</c:v>
                </c:pt>
                <c:pt idx="17">
                  <c:v>1.9840848806366048E-2</c:v>
                </c:pt>
                <c:pt idx="18">
                  <c:v>1.9800603676941371E-2</c:v>
                </c:pt>
                <c:pt idx="19">
                  <c:v>1.9711170055997641E-2</c:v>
                </c:pt>
                <c:pt idx="20">
                  <c:v>1.9577308120133481E-2</c:v>
                </c:pt>
                <c:pt idx="21">
                  <c:v>1.9403183023872679E-2</c:v>
                </c:pt>
                <c:pt idx="22">
                  <c:v>1.9192455054524018E-2</c:v>
                </c:pt>
                <c:pt idx="23">
                  <c:v>1.8948353877359964E-2</c:v>
                </c:pt>
                <c:pt idx="24">
                  <c:v>1.8673740053050399E-2</c:v>
                </c:pt>
                <c:pt idx="25">
                  <c:v>1.8371156302190786E-2</c:v>
                </c:pt>
                <c:pt idx="26">
                  <c:v>1.8042870456663564E-2</c:v>
                </c:pt>
                <c:pt idx="27">
                  <c:v>1.7690911629205639E-2</c:v>
                </c:pt>
                <c:pt idx="28">
                  <c:v>1.7317100818427082E-2</c:v>
                </c:pt>
                <c:pt idx="29">
                  <c:v>1.6923076923076923E-2</c:v>
                </c:pt>
                <c:pt idx="30">
                  <c:v>1.651031894934334E-2</c:v>
                </c:pt>
              </c:numCache>
            </c:numRef>
          </c:val>
          <c:extLst>
            <c:ext xmlns:c16="http://schemas.microsoft.com/office/drawing/2014/chart" uri="{C3380CC4-5D6E-409C-BE32-E72D297353CC}">
              <c16:uniqueId val="{0000000B-15CA-41F8-9818-73C05ADBBA8F}"/>
            </c:ext>
          </c:extLst>
        </c:ser>
        <c:ser>
          <c:idx val="12"/>
          <c:order val="12"/>
          <c:tx>
            <c:strRef>
              <c:f>'Ej. 4'!$P$51</c:f>
              <c:strCache>
                <c:ptCount val="1"/>
                <c:pt idx="0">
                  <c:v>12</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4'!$Q$51:$AU$51</c:f>
              <c:numCache>
                <c:formatCode>0.00%</c:formatCode>
                <c:ptCount val="31"/>
                <c:pt idx="0">
                  <c:v>0</c:v>
                </c:pt>
                <c:pt idx="1">
                  <c:v>3.6923076923076922E-3</c:v>
                </c:pt>
                <c:pt idx="2">
                  <c:v>6.7389162561576343E-3</c:v>
                </c:pt>
                <c:pt idx="3">
                  <c:v>9.2689655172413787E-3</c:v>
                </c:pt>
                <c:pt idx="4">
                  <c:v>1.1379310344827587E-2</c:v>
                </c:pt>
                <c:pt idx="5">
                  <c:v>1.3144016227180528E-2</c:v>
                </c:pt>
                <c:pt idx="6">
                  <c:v>1.4620689655172416E-2</c:v>
                </c:pt>
                <c:pt idx="7">
                  <c:v>1.5854809437386569E-2</c:v>
                </c:pt>
                <c:pt idx="8">
                  <c:v>1.6882758620689654E-2</c:v>
                </c:pt>
                <c:pt idx="9">
                  <c:v>1.7733990147783246E-2</c:v>
                </c:pt>
                <c:pt idx="10">
                  <c:v>1.8432601880877742E-2</c:v>
                </c:pt>
                <c:pt idx="11">
                  <c:v>1.8998500749625186E-2</c:v>
                </c:pt>
                <c:pt idx="12">
                  <c:v>1.9448275862068962E-2</c:v>
                </c:pt>
                <c:pt idx="13">
                  <c:v>1.9795862068965518E-2</c:v>
                </c:pt>
                <c:pt idx="14">
                  <c:v>2.0053050397877983E-2</c:v>
                </c:pt>
                <c:pt idx="15">
                  <c:v>2.022988505747126E-2</c:v>
                </c:pt>
                <c:pt idx="16">
                  <c:v>2.0334975369458129E-2</c:v>
                </c:pt>
                <c:pt idx="17">
                  <c:v>2.0375743162901309E-2</c:v>
                </c:pt>
                <c:pt idx="18">
                  <c:v>2.0358620689655171E-2</c:v>
                </c:pt>
                <c:pt idx="19">
                  <c:v>2.028921023359288E-2</c:v>
                </c:pt>
                <c:pt idx="20">
                  <c:v>2.0172413793103448E-2</c:v>
                </c:pt>
                <c:pt idx="21">
                  <c:v>2.0012539184952976E-2</c:v>
                </c:pt>
                <c:pt idx="22">
                  <c:v>1.981338742393509E-2</c:v>
                </c:pt>
                <c:pt idx="23">
                  <c:v>1.9578325123152711E-2</c:v>
                </c:pt>
                <c:pt idx="24">
                  <c:v>1.9310344827586208E-2</c:v>
                </c:pt>
                <c:pt idx="25">
                  <c:v>1.90121155638397E-2</c:v>
                </c:pt>
                <c:pt idx="26">
                  <c:v>1.8686025408348454E-2</c:v>
                </c:pt>
                <c:pt idx="27">
                  <c:v>1.8334217506631299E-2</c:v>
                </c:pt>
                <c:pt idx="28">
                  <c:v>1.7958620689655171E-2</c:v>
                </c:pt>
                <c:pt idx="29">
                  <c:v>1.7560975609756096E-2</c:v>
                </c:pt>
                <c:pt idx="30">
                  <c:v>1.7142857142857144E-2</c:v>
                </c:pt>
              </c:numCache>
            </c:numRef>
          </c:val>
          <c:extLst>
            <c:ext xmlns:c16="http://schemas.microsoft.com/office/drawing/2014/chart" uri="{C3380CC4-5D6E-409C-BE32-E72D297353CC}">
              <c16:uniqueId val="{0000000C-15CA-41F8-9818-73C05ADBBA8F}"/>
            </c:ext>
          </c:extLst>
        </c:ser>
        <c:ser>
          <c:idx val="13"/>
          <c:order val="13"/>
          <c:tx>
            <c:strRef>
              <c:f>'Ej. 4'!$P$52</c:f>
              <c:strCache>
                <c:ptCount val="1"/>
                <c:pt idx="0">
                  <c:v>13</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4'!$Q$52:$AU$52</c:f>
              <c:numCache>
                <c:formatCode>0.00%</c:formatCode>
                <c:ptCount val="31"/>
                <c:pt idx="0">
                  <c:v>0</c:v>
                </c:pt>
                <c:pt idx="1">
                  <c:v>3.619047619047619E-3</c:v>
                </c:pt>
                <c:pt idx="2">
                  <c:v>6.6390804597701147E-3</c:v>
                </c:pt>
                <c:pt idx="3">
                  <c:v>9.1724137931034483E-3</c:v>
                </c:pt>
                <c:pt idx="4">
                  <c:v>1.1304935767410415E-2</c:v>
                </c:pt>
                <c:pt idx="5">
                  <c:v>1.3103448275862069E-2</c:v>
                </c:pt>
                <c:pt idx="6">
                  <c:v>1.4620689655172414E-2</c:v>
                </c:pt>
                <c:pt idx="7">
                  <c:v>1.5898850574712645E-2</c:v>
                </c:pt>
                <c:pt idx="8">
                  <c:v>1.6972085385878487E-2</c:v>
                </c:pt>
                <c:pt idx="9">
                  <c:v>1.7868338557993729E-2</c:v>
                </c:pt>
                <c:pt idx="10">
                  <c:v>1.8610694652673662E-2</c:v>
                </c:pt>
                <c:pt idx="11">
                  <c:v>1.9218390804597699E-2</c:v>
                </c:pt>
                <c:pt idx="12">
                  <c:v>1.9707586206896551E-2</c:v>
                </c:pt>
                <c:pt idx="13">
                  <c:v>2.0091954022988506E-2</c:v>
                </c:pt>
                <c:pt idx="14">
                  <c:v>2.0383141762452109E-2</c:v>
                </c:pt>
                <c:pt idx="15">
                  <c:v>2.0591133004926106E-2</c:v>
                </c:pt>
                <c:pt idx="16">
                  <c:v>2.0724534284581847E-2</c:v>
                </c:pt>
                <c:pt idx="17">
                  <c:v>2.0790804597701149E-2</c:v>
                </c:pt>
                <c:pt idx="18">
                  <c:v>2.0796440489432706E-2</c:v>
                </c:pt>
                <c:pt idx="19">
                  <c:v>2.0747126436781609E-2</c:v>
                </c:pt>
                <c:pt idx="20">
                  <c:v>2.06478578892372E-2</c:v>
                </c:pt>
                <c:pt idx="21">
                  <c:v>2.0503042596348883E-2</c:v>
                </c:pt>
                <c:pt idx="22">
                  <c:v>2.0316584564860424E-2</c:v>
                </c:pt>
                <c:pt idx="23">
                  <c:v>2.0091954022988509E-2</c:v>
                </c:pt>
                <c:pt idx="24">
                  <c:v>1.983224603914259E-2</c:v>
                </c:pt>
                <c:pt idx="25">
                  <c:v>1.9540229885057471E-2</c:v>
                </c:pt>
                <c:pt idx="26">
                  <c:v>1.9218390804597699E-2</c:v>
                </c:pt>
                <c:pt idx="27">
                  <c:v>1.886896551724138E-2</c:v>
                </c:pt>
                <c:pt idx="28">
                  <c:v>1.8493972525932156E-2</c:v>
                </c:pt>
                <c:pt idx="29">
                  <c:v>1.8095238095238095E-2</c:v>
                </c:pt>
                <c:pt idx="30">
                  <c:v>1.7674418604651163E-2</c:v>
                </c:pt>
              </c:numCache>
            </c:numRef>
          </c:val>
          <c:extLst>
            <c:ext xmlns:c16="http://schemas.microsoft.com/office/drawing/2014/chart" uri="{C3380CC4-5D6E-409C-BE32-E72D297353CC}">
              <c16:uniqueId val="{0000000D-15CA-41F8-9818-73C05ADBBA8F}"/>
            </c:ext>
          </c:extLst>
        </c:ser>
        <c:ser>
          <c:idx val="14"/>
          <c:order val="14"/>
          <c:tx>
            <c:strRef>
              <c:f>'Ej. 4'!$P$53</c:f>
              <c:strCache>
                <c:ptCount val="1"/>
                <c:pt idx="0">
                  <c:v>14</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4'!$Q$53:$AU$53</c:f>
              <c:numCache>
                <c:formatCode>0.00%</c:formatCode>
                <c:ptCount val="31"/>
                <c:pt idx="0">
                  <c:v>0</c:v>
                </c:pt>
                <c:pt idx="1">
                  <c:v>3.541880341880342E-3</c:v>
                </c:pt>
                <c:pt idx="2">
                  <c:v>6.5265251989389912E-3</c:v>
                </c:pt>
                <c:pt idx="3">
                  <c:v>9.052270244968014E-3</c:v>
                </c:pt>
                <c:pt idx="4">
                  <c:v>1.119559878180568E-2</c:v>
                </c:pt>
                <c:pt idx="5">
                  <c:v>1.3016892363534833E-2</c:v>
                </c:pt>
                <c:pt idx="6">
                  <c:v>1.4564456233421752E-2</c:v>
                </c:pt>
                <c:pt idx="7">
                  <c:v>1.5877394636015327E-2</c:v>
                </c:pt>
                <c:pt idx="8">
                  <c:v>1.6987701953219192E-2</c:v>
                </c:pt>
                <c:pt idx="9">
                  <c:v>1.7921808326605927E-2</c:v>
                </c:pt>
                <c:pt idx="10">
                  <c:v>1.8701738874152666E-2</c:v>
                </c:pt>
                <c:pt idx="11">
                  <c:v>1.9345994694960213E-2</c:v>
                </c:pt>
                <c:pt idx="12">
                  <c:v>1.9870230565190775E-2</c:v>
                </c:pt>
                <c:pt idx="13">
                  <c:v>2.0287782034908473E-2</c:v>
                </c:pt>
                <c:pt idx="14">
                  <c:v>2.061007957559682E-2</c:v>
                </c:pt>
                <c:pt idx="15">
                  <c:v>2.0846977041982986E-2</c:v>
                </c:pt>
                <c:pt idx="16">
                  <c:v>2.1007014441497201E-2</c:v>
                </c:pt>
                <c:pt idx="17">
                  <c:v>2.1097629845127065E-2</c:v>
                </c:pt>
                <c:pt idx="18">
                  <c:v>2.1125331564986739E-2</c:v>
                </c:pt>
                <c:pt idx="19">
                  <c:v>2.1095839026873509E-2</c:v>
                </c:pt>
                <c:pt idx="20">
                  <c:v>2.1014198782961461E-2</c:v>
                </c:pt>
                <c:pt idx="21">
                  <c:v>2.0884880636604774E-2</c:v>
                </c:pt>
                <c:pt idx="22">
                  <c:v>2.0711857746340503E-2</c:v>
                </c:pt>
                <c:pt idx="23">
                  <c:v>2.0498673740053056E-2</c:v>
                </c:pt>
                <c:pt idx="24">
                  <c:v>2.0248499232165294E-2</c:v>
                </c:pt>
                <c:pt idx="25">
                  <c:v>1.996417964587726E-2</c:v>
                </c:pt>
                <c:pt idx="26">
                  <c:v>1.9648275862068965E-2</c:v>
                </c:pt>
                <c:pt idx="27">
                  <c:v>1.9303098919583362E-2</c:v>
                </c:pt>
                <c:pt idx="28">
                  <c:v>1.8930739758325967E-2</c:v>
                </c:pt>
                <c:pt idx="29">
                  <c:v>1.8533094812164582E-2</c:v>
                </c:pt>
                <c:pt idx="30">
                  <c:v>1.8111888111888113E-2</c:v>
                </c:pt>
              </c:numCache>
            </c:numRef>
          </c:val>
          <c:extLst>
            <c:ext xmlns:c16="http://schemas.microsoft.com/office/drawing/2014/chart" uri="{C3380CC4-5D6E-409C-BE32-E72D297353CC}">
              <c16:uniqueId val="{0000000E-15CA-41F8-9818-73C05ADBBA8F}"/>
            </c:ext>
          </c:extLst>
        </c:ser>
        <c:ser>
          <c:idx val="15"/>
          <c:order val="15"/>
          <c:tx>
            <c:strRef>
              <c:f>'Ej. 4'!$P$54</c:f>
              <c:strCache>
                <c:ptCount val="1"/>
                <c:pt idx="0">
                  <c:v>15</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4'!$Q$54:$AU$54</c:f>
              <c:numCache>
                <c:formatCode>0.00%</c:formatCode>
                <c:ptCount val="31"/>
                <c:pt idx="0">
                  <c:v>0</c:v>
                </c:pt>
                <c:pt idx="1">
                  <c:v>3.4615384615384612E-3</c:v>
                </c:pt>
                <c:pt idx="2">
                  <c:v>6.4034950850366656E-3</c:v>
                </c:pt>
                <c:pt idx="3">
                  <c:v>8.9124668435013252E-3</c:v>
                </c:pt>
                <c:pt idx="4">
                  <c:v>1.1056819768253526E-2</c:v>
                </c:pt>
                <c:pt idx="5">
                  <c:v>1.2891246684350132E-2</c:v>
                </c:pt>
                <c:pt idx="6">
                  <c:v>1.4460022735884804E-2</c:v>
                </c:pt>
                <c:pt idx="7">
                  <c:v>1.5799373040752351E-2</c:v>
                </c:pt>
                <c:pt idx="8">
                  <c:v>1.6939222696344132E-2</c:v>
                </c:pt>
                <c:pt idx="9">
                  <c:v>1.7904509283819623E-2</c:v>
                </c:pt>
                <c:pt idx="10">
                  <c:v>1.8716180371352781E-2</c:v>
                </c:pt>
                <c:pt idx="11">
                  <c:v>1.9391960824321566E-2</c:v>
                </c:pt>
                <c:pt idx="12">
                  <c:v>1.9946949602122014E-2</c:v>
                </c:pt>
                <c:pt idx="13">
                  <c:v>2.0394088669950738E-2</c:v>
                </c:pt>
                <c:pt idx="14">
                  <c:v>2.0744534894356535E-2</c:v>
                </c:pt>
                <c:pt idx="15">
                  <c:v>2.1007957559681698E-2</c:v>
                </c:pt>
                <c:pt idx="16">
                  <c:v>2.1192778300675966E-2</c:v>
                </c:pt>
                <c:pt idx="17">
                  <c:v>2.1306366047745356E-2</c:v>
                </c:pt>
                <c:pt idx="18">
                  <c:v>2.135519652761032E-2</c:v>
                </c:pt>
                <c:pt idx="19">
                  <c:v>2.1344983616788889E-2</c:v>
                </c:pt>
                <c:pt idx="20">
                  <c:v>2.1280788177339898E-2</c:v>
                </c:pt>
                <c:pt idx="21">
                  <c:v>2.1167108753315646E-2</c:v>
                </c:pt>
                <c:pt idx="22">
                  <c:v>2.1007957559681694E-2</c:v>
                </c:pt>
                <c:pt idx="23">
                  <c:v>2.0806924472986182E-2</c:v>
                </c:pt>
                <c:pt idx="24">
                  <c:v>2.0567231177310751E-2</c:v>
                </c:pt>
                <c:pt idx="25">
                  <c:v>2.0291777188328912E-2</c:v>
                </c:pt>
                <c:pt idx="26">
                  <c:v>1.9983179142136247E-2</c:v>
                </c:pt>
                <c:pt idx="27">
                  <c:v>1.9643804471390674E-2</c:v>
                </c:pt>
                <c:pt idx="28">
                  <c:v>1.9275800382456357E-2</c:v>
                </c:pt>
                <c:pt idx="29">
                  <c:v>1.8881118881118878E-2</c:v>
                </c:pt>
                <c:pt idx="30">
                  <c:v>1.846153846153846E-2</c:v>
                </c:pt>
              </c:numCache>
            </c:numRef>
          </c:val>
          <c:extLst>
            <c:ext xmlns:c16="http://schemas.microsoft.com/office/drawing/2014/chart" uri="{C3380CC4-5D6E-409C-BE32-E72D297353CC}">
              <c16:uniqueId val="{0000000F-15CA-41F8-9818-73C05ADBBA8F}"/>
            </c:ext>
          </c:extLst>
        </c:ser>
        <c:ser>
          <c:idx val="16"/>
          <c:order val="16"/>
          <c:tx>
            <c:strRef>
              <c:f>'Ej. 4'!$P$55</c:f>
              <c:strCache>
                <c:ptCount val="1"/>
                <c:pt idx="0">
                  <c:v>16</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4'!$Q$55:$AU$55</c:f>
              <c:numCache>
                <c:formatCode>0.00%</c:formatCode>
                <c:ptCount val="31"/>
                <c:pt idx="0">
                  <c:v>0</c:v>
                </c:pt>
                <c:pt idx="1">
                  <c:v>3.3785822021116137E-3</c:v>
                </c:pt>
                <c:pt idx="2">
                  <c:v>6.2717359269083396E-3</c:v>
                </c:pt>
                <c:pt idx="3">
                  <c:v>8.7561077760714787E-3</c:v>
                </c:pt>
                <c:pt idx="4">
                  <c:v>1.0893015030946068E-2</c:v>
                </c:pt>
                <c:pt idx="5">
                  <c:v>1.273209549071618E-2</c:v>
                </c:pt>
                <c:pt idx="6">
                  <c:v>1.4313961900168797E-2</c:v>
                </c:pt>
                <c:pt idx="7">
                  <c:v>1.5672163918040983E-2</c:v>
                </c:pt>
                <c:pt idx="8">
                  <c:v>1.6834659593280281E-2</c:v>
                </c:pt>
                <c:pt idx="9">
                  <c:v>1.782493368700265E-2</c:v>
                </c:pt>
                <c:pt idx="10">
                  <c:v>1.8662857920152352E-2</c:v>
                </c:pt>
                <c:pt idx="11">
                  <c:v>1.936536005501523E-2</c:v>
                </c:pt>
                <c:pt idx="12">
                  <c:v>1.9946949602122014E-2</c:v>
                </c:pt>
                <c:pt idx="13">
                  <c:v>2.0420134760206106E-2</c:v>
                </c:pt>
                <c:pt idx="14">
                  <c:v>2.0795755968169762E-2</c:v>
                </c:pt>
                <c:pt idx="15">
                  <c:v>2.1083254898605287E-2</c:v>
                </c:pt>
                <c:pt idx="16">
                  <c:v>2.1290893015030947E-2</c:v>
                </c:pt>
                <c:pt idx="17">
                  <c:v>2.1425930391447634E-2</c:v>
                </c:pt>
                <c:pt idx="18">
                  <c:v>2.1494772975503201E-2</c:v>
                </c:pt>
                <c:pt idx="19">
                  <c:v>2.1503094606542882E-2</c:v>
                </c:pt>
                <c:pt idx="20">
                  <c:v>2.145593869731801E-2</c:v>
                </c:pt>
                <c:pt idx="21">
                  <c:v>2.1357803426768945E-2</c:v>
                </c:pt>
                <c:pt idx="22">
                  <c:v>2.1212713481316023E-2</c:v>
                </c:pt>
                <c:pt idx="23">
                  <c:v>2.1024280759028773E-2</c:v>
                </c:pt>
                <c:pt idx="24">
                  <c:v>2.0795755968169762E-2</c:v>
                </c:pt>
                <c:pt idx="25">
                  <c:v>2.0530072674732051E-2</c:v>
                </c:pt>
                <c:pt idx="26">
                  <c:v>2.0229885057471267E-2</c:v>
                </c:pt>
                <c:pt idx="27">
                  <c:v>1.9897600394793657E-2</c:v>
                </c:pt>
                <c:pt idx="28">
                  <c:v>1.9535407121614022E-2</c:v>
                </c:pt>
                <c:pt idx="29">
                  <c:v>1.9145299145299145E-2</c:v>
                </c:pt>
                <c:pt idx="30">
                  <c:v>1.8729096989966557E-2</c:v>
                </c:pt>
              </c:numCache>
            </c:numRef>
          </c:val>
          <c:extLst>
            <c:ext xmlns:c16="http://schemas.microsoft.com/office/drawing/2014/chart" uri="{C3380CC4-5D6E-409C-BE32-E72D297353CC}">
              <c16:uniqueId val="{00000010-15CA-41F8-9818-73C05ADBBA8F}"/>
            </c:ext>
          </c:extLst>
        </c:ser>
        <c:ser>
          <c:idx val="17"/>
          <c:order val="17"/>
          <c:tx>
            <c:strRef>
              <c:f>'Ej. 4'!$P$56</c:f>
              <c:strCache>
                <c:ptCount val="1"/>
                <c:pt idx="0">
                  <c:v>17</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4'!$Q$56:$AU$56</c:f>
              <c:numCache>
                <c:formatCode>0.00%</c:formatCode>
                <c:ptCount val="31"/>
                <c:pt idx="0">
                  <c:v>0</c:v>
                </c:pt>
                <c:pt idx="1">
                  <c:v>3.2934472934472935E-3</c:v>
                </c:pt>
                <c:pt idx="2">
                  <c:v>6.1326259946949601E-3</c:v>
                </c:pt>
                <c:pt idx="3">
                  <c:v>8.5856763925729433E-3</c:v>
                </c:pt>
                <c:pt idx="4">
                  <c:v>1.0707759673276916E-2</c:v>
                </c:pt>
                <c:pt idx="5">
                  <c:v>1.2544007716421512E-2</c:v>
                </c:pt>
                <c:pt idx="6">
                  <c:v>1.4131703379079694E-2</c:v>
                </c:pt>
                <c:pt idx="7">
                  <c:v>1.5501915708812262E-2</c:v>
                </c:pt>
                <c:pt idx="8">
                  <c:v>1.6680742705570292E-2</c:v>
                </c:pt>
                <c:pt idx="9">
                  <c:v>1.7690267292389306E-2</c:v>
                </c:pt>
                <c:pt idx="10">
                  <c:v>1.8549300848151425E-2</c:v>
                </c:pt>
                <c:pt idx="11">
                  <c:v>1.9273967411898445E-2</c:v>
                </c:pt>
                <c:pt idx="12">
                  <c:v>1.9878167017287111E-2</c:v>
                </c:pt>
                <c:pt idx="13">
                  <c:v>2.0373946360153258E-2</c:v>
                </c:pt>
                <c:pt idx="14">
                  <c:v>2.0771797723966801E-2</c:v>
                </c:pt>
                <c:pt idx="15">
                  <c:v>2.1080901856763926E-2</c:v>
                </c:pt>
                <c:pt idx="16">
                  <c:v>2.1309326688637033E-2</c:v>
                </c:pt>
                <c:pt idx="17">
                  <c:v>2.146419098143236E-2</c:v>
                </c:pt>
                <c:pt idx="18">
                  <c:v>2.1551799924213719E-2</c:v>
                </c:pt>
                <c:pt idx="19">
                  <c:v>2.1577758129482268E-2</c:v>
                </c:pt>
                <c:pt idx="20">
                  <c:v>2.1547064305684996E-2</c:v>
                </c:pt>
                <c:pt idx="21">
                  <c:v>2.146419098143236E-2</c:v>
                </c:pt>
                <c:pt idx="22">
                  <c:v>2.1333151964451697E-2</c:v>
                </c:pt>
                <c:pt idx="23">
                  <c:v>2.1157559681697614E-2</c:v>
                </c:pt>
                <c:pt idx="24">
                  <c:v>2.0940674128226696E-2</c:v>
                </c:pt>
                <c:pt idx="25">
                  <c:v>2.0685444823375858E-2</c:v>
                </c:pt>
                <c:pt idx="26">
                  <c:v>2.0394546912590215E-2</c:v>
                </c:pt>
                <c:pt idx="27">
                  <c:v>2.0070412346274415E-2</c:v>
                </c:pt>
                <c:pt idx="28">
                  <c:v>1.97152569014638E-2</c:v>
                </c:pt>
                <c:pt idx="29">
                  <c:v>1.9331103678929765E-2</c:v>
                </c:pt>
                <c:pt idx="30">
                  <c:v>1.8919803600654664E-2</c:v>
                </c:pt>
              </c:numCache>
            </c:numRef>
          </c:val>
          <c:extLst>
            <c:ext xmlns:c16="http://schemas.microsoft.com/office/drawing/2014/chart" uri="{C3380CC4-5D6E-409C-BE32-E72D297353CC}">
              <c16:uniqueId val="{00000011-15CA-41F8-9818-73C05ADBBA8F}"/>
            </c:ext>
          </c:extLst>
        </c:ser>
        <c:ser>
          <c:idx val="18"/>
          <c:order val="18"/>
          <c:tx>
            <c:strRef>
              <c:f>'Ej. 4'!$P$57</c:f>
              <c:strCache>
                <c:ptCount val="1"/>
                <c:pt idx="0">
                  <c:v>18</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4'!$Q$57:$AU$57</c:f>
              <c:numCache>
                <c:formatCode>0.00%</c:formatCode>
                <c:ptCount val="31"/>
                <c:pt idx="0">
                  <c:v>0</c:v>
                </c:pt>
                <c:pt idx="1">
                  <c:v>3.2064777327935222E-3</c:v>
                </c:pt>
                <c:pt idx="2">
                  <c:v>5.9872679045092827E-3</c:v>
                </c:pt>
                <c:pt idx="3">
                  <c:v>8.4031830238726797E-3</c:v>
                </c:pt>
                <c:pt idx="4">
                  <c:v>1.0503978779840849E-2</c:v>
                </c:pt>
                <c:pt idx="5">
                  <c:v>1.2330757698074039E-2</c:v>
                </c:pt>
                <c:pt idx="6">
                  <c:v>1.3917771883289125E-2</c:v>
                </c:pt>
                <c:pt idx="7">
                  <c:v>1.5293793103448276E-2</c:v>
                </c:pt>
                <c:pt idx="8">
                  <c:v>1.6483166700673329E-2</c:v>
                </c:pt>
                <c:pt idx="9">
                  <c:v>1.7506631299734746E-2</c:v>
                </c:pt>
                <c:pt idx="10">
                  <c:v>1.8381962864721487E-2</c:v>
                </c:pt>
                <c:pt idx="11">
                  <c:v>1.9124485502606786E-2</c:v>
                </c:pt>
                <c:pt idx="12">
                  <c:v>1.9747480106100793E-2</c:v>
                </c:pt>
                <c:pt idx="13">
                  <c:v>2.0262513904338156E-2</c:v>
                </c:pt>
                <c:pt idx="14">
                  <c:v>2.067970822281167E-2</c:v>
                </c:pt>
                <c:pt idx="15">
                  <c:v>2.1007957559681698E-2</c:v>
                </c:pt>
                <c:pt idx="16">
                  <c:v>2.1255110001560305E-2</c:v>
                </c:pt>
                <c:pt idx="17">
                  <c:v>2.1428116710875331E-2</c:v>
                </c:pt>
                <c:pt idx="18">
                  <c:v>2.1533156498673742E-2</c:v>
                </c:pt>
                <c:pt idx="19">
                  <c:v>2.1575740196429851E-2</c:v>
                </c:pt>
                <c:pt idx="20">
                  <c:v>2.1560798548094375E-2</c:v>
                </c:pt>
                <c:pt idx="21">
                  <c:v>2.1492756580289735E-2</c:v>
                </c:pt>
                <c:pt idx="22">
                  <c:v>2.1375596816976126E-2</c:v>
                </c:pt>
                <c:pt idx="23">
                  <c:v>2.121291324319079E-2</c:v>
                </c:pt>
                <c:pt idx="24">
                  <c:v>2.1007957559681698E-2</c:v>
                </c:pt>
                <c:pt idx="25">
                  <c:v>2.0763678983406329E-2</c:v>
                </c:pt>
                <c:pt idx="26">
                  <c:v>2.0482758620689656E-2</c:v>
                </c:pt>
                <c:pt idx="27">
                  <c:v>2.016763925729443E-2</c:v>
                </c:pt>
                <c:pt idx="28">
                  <c:v>1.9820551262830124E-2</c:v>
                </c:pt>
                <c:pt idx="29">
                  <c:v>1.9443535188216041E-2</c:v>
                </c:pt>
                <c:pt idx="30">
                  <c:v>1.9038461538461539E-2</c:v>
                </c:pt>
              </c:numCache>
            </c:numRef>
          </c:val>
          <c:extLst>
            <c:ext xmlns:c16="http://schemas.microsoft.com/office/drawing/2014/chart" uri="{C3380CC4-5D6E-409C-BE32-E72D297353CC}">
              <c16:uniqueId val="{00000012-15CA-41F8-9818-73C05ADBBA8F}"/>
            </c:ext>
          </c:extLst>
        </c:ser>
        <c:ser>
          <c:idx val="19"/>
          <c:order val="19"/>
          <c:tx>
            <c:strRef>
              <c:f>'Ej. 4'!$P$58</c:f>
              <c:strCache>
                <c:ptCount val="1"/>
                <c:pt idx="0">
                  <c:v>19</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4'!$Q$58:$AU$58</c:f>
              <c:numCache>
                <c:formatCode>0.00%</c:formatCode>
                <c:ptCount val="31"/>
                <c:pt idx="0">
                  <c:v>0</c:v>
                </c:pt>
                <c:pt idx="1">
                  <c:v>3.1179487179487176E-3</c:v>
                </c:pt>
                <c:pt idx="2">
                  <c:v>5.836554250347353E-3</c:v>
                </c:pt>
                <c:pt idx="3">
                  <c:v>8.2102724861345556E-3</c:v>
                </c:pt>
                <c:pt idx="4">
                  <c:v>1.0284088724868336E-2</c:v>
                </c:pt>
                <c:pt idx="5">
                  <c:v>1.2095490716180372E-2</c:v>
                </c:pt>
                <c:pt idx="6">
                  <c:v>1.3675968169761273E-2</c:v>
                </c:pt>
                <c:pt idx="7">
                  <c:v>1.5052166224580018E-2</c:v>
                </c:pt>
                <c:pt idx="8">
                  <c:v>1.6246782591610175E-2</c:v>
                </c:pt>
                <c:pt idx="9">
                  <c:v>1.7279272451686242E-2</c:v>
                </c:pt>
                <c:pt idx="10">
                  <c:v>1.8166407512424158E-2</c:v>
                </c:pt>
                <c:pt idx="11">
                  <c:v>1.8922723253757736E-2</c:v>
                </c:pt>
                <c:pt idx="12">
                  <c:v>1.9560879609822879E-2</c:v>
                </c:pt>
                <c:pt idx="13">
                  <c:v>2.0091954022988506E-2</c:v>
                </c:pt>
                <c:pt idx="14">
                  <c:v>2.0525681215336388E-2</c:v>
                </c:pt>
                <c:pt idx="15">
                  <c:v>2.0870650647526915E-2</c:v>
                </c:pt>
                <c:pt idx="16">
                  <c:v>2.1134470127573576E-2</c:v>
                </c:pt>
                <c:pt idx="17">
                  <c:v>2.1323902151488359E-2</c:v>
                </c:pt>
                <c:pt idx="18">
                  <c:v>2.1444978134633308E-2</c:v>
                </c:pt>
                <c:pt idx="19">
                  <c:v>2.1503094606542882E-2</c:v>
                </c:pt>
                <c:pt idx="20">
                  <c:v>2.1503094606542882E-2</c:v>
                </c:pt>
                <c:pt idx="21">
                  <c:v>2.1449336870026522E-2</c:v>
                </c:pt>
                <c:pt idx="22">
                  <c:v>2.1345754889909641E-2</c:v>
                </c:pt>
                <c:pt idx="23">
                  <c:v>2.119590754073513E-2</c:v>
                </c:pt>
                <c:pt idx="24">
                  <c:v>2.1003022638948862E-2</c:v>
                </c:pt>
                <c:pt idx="25">
                  <c:v>2.0770034563138012E-2</c:v>
                </c:pt>
                <c:pt idx="26">
                  <c:v>2.0499616858237549E-2</c:v>
                </c:pt>
                <c:pt idx="27">
                  <c:v>2.0194210587014184E-2</c:v>
                </c:pt>
                <c:pt idx="28">
                  <c:v>1.9856049062211941E-2</c:v>
                </c:pt>
                <c:pt idx="29">
                  <c:v>1.9487179487179488E-2</c:v>
                </c:pt>
                <c:pt idx="30">
                  <c:v>1.9089481946624805E-2</c:v>
                </c:pt>
              </c:numCache>
            </c:numRef>
          </c:val>
          <c:extLst>
            <c:ext xmlns:c16="http://schemas.microsoft.com/office/drawing/2014/chart" uri="{C3380CC4-5D6E-409C-BE32-E72D297353CC}">
              <c16:uniqueId val="{00000013-15CA-41F8-9818-73C05ADBBA8F}"/>
            </c:ext>
          </c:extLst>
        </c:ser>
        <c:ser>
          <c:idx val="20"/>
          <c:order val="20"/>
          <c:tx>
            <c:strRef>
              <c:f>'Ej. 4'!$P$59</c:f>
              <c:strCache>
                <c:ptCount val="1"/>
                <c:pt idx="0">
                  <c:v>20</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4'!$Q$59:$AU$59</c:f>
              <c:numCache>
                <c:formatCode>0.00%</c:formatCode>
                <c:ptCount val="31"/>
                <c:pt idx="0">
                  <c:v>0</c:v>
                </c:pt>
                <c:pt idx="1">
                  <c:v>3.0280830280830281E-3</c:v>
                </c:pt>
                <c:pt idx="2">
                  <c:v>5.68121533638775E-3</c:v>
                </c:pt>
                <c:pt idx="3">
                  <c:v>8.0083035405374252E-3</c:v>
                </c:pt>
                <c:pt idx="4">
                  <c:v>1.0050103153551431E-2</c:v>
                </c:pt>
                <c:pt idx="5">
                  <c:v>1.184084880636605E-2</c:v>
                </c:pt>
                <c:pt idx="6">
                  <c:v>1.340950826361967E-2</c:v>
                </c:pt>
                <c:pt idx="7">
                  <c:v>1.4780757769263518E-2</c:v>
                </c:pt>
                <c:pt idx="8">
                  <c:v>1.5975748389541491E-2</c:v>
                </c:pt>
                <c:pt idx="9">
                  <c:v>1.7012713802250067E-2</c:v>
                </c:pt>
                <c:pt idx="10">
                  <c:v>1.7907456528146185E-2</c:v>
                </c:pt>
                <c:pt idx="11">
                  <c:v>1.8673740053050399E-2</c:v>
                </c:pt>
                <c:pt idx="12">
                  <c:v>1.9323607427055703E-2</c:v>
                </c:pt>
                <c:pt idx="13">
                  <c:v>1.9867641936607453E-2</c:v>
                </c:pt>
                <c:pt idx="14">
                  <c:v>2.0315181775628025E-2</c:v>
                </c:pt>
                <c:pt idx="15">
                  <c:v>2.0674497915877225E-2</c:v>
                </c:pt>
                <c:pt idx="16">
                  <c:v>2.0952942332252679E-2</c:v>
                </c:pt>
                <c:pt idx="17">
                  <c:v>2.1157072191554948E-2</c:v>
                </c:pt>
                <c:pt idx="18">
                  <c:v>2.1292754432500349E-2</c:v>
                </c:pt>
                <c:pt idx="19">
                  <c:v>2.1365254256500939E-2</c:v>
                </c:pt>
                <c:pt idx="20">
                  <c:v>2.1379310344827589E-2</c:v>
                </c:pt>
                <c:pt idx="21">
                  <c:v>2.1339199068383257E-2</c:v>
                </c:pt>
                <c:pt idx="22">
                  <c:v>2.1248789524651594E-2</c:v>
                </c:pt>
                <c:pt idx="23">
                  <c:v>2.1111590895071253E-2</c:v>
                </c:pt>
                <c:pt idx="24">
                  <c:v>2.0930793344586449E-2</c:v>
                </c:pt>
                <c:pt idx="25">
                  <c:v>2.070930346792416E-2</c:v>
                </c:pt>
                <c:pt idx="26">
                  <c:v>2.044977511244378E-2</c:v>
                </c:pt>
                <c:pt idx="27">
                  <c:v>2.0154636266154977E-2</c:v>
                </c:pt>
                <c:pt idx="28">
                  <c:v>1.9826112584733279E-2</c:v>
                </c:pt>
                <c:pt idx="29">
                  <c:v>1.946624803767661E-2</c:v>
                </c:pt>
                <c:pt idx="30">
                  <c:v>1.9076923076923078E-2</c:v>
                </c:pt>
              </c:numCache>
            </c:numRef>
          </c:val>
          <c:extLst>
            <c:ext xmlns:c16="http://schemas.microsoft.com/office/drawing/2014/chart" uri="{C3380CC4-5D6E-409C-BE32-E72D297353CC}">
              <c16:uniqueId val="{00000014-15CA-41F8-9818-73C05ADBBA8F}"/>
            </c:ext>
          </c:extLst>
        </c:ser>
        <c:ser>
          <c:idx val="21"/>
          <c:order val="21"/>
          <c:tx>
            <c:strRef>
              <c:f>'Ej. 4'!$P$60</c:f>
              <c:strCache>
                <c:ptCount val="1"/>
                <c:pt idx="0">
                  <c:v>21</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4'!$Q$60:$AU$60</c:f>
              <c:numCache>
                <c:formatCode>0.00%</c:formatCode>
                <c:ptCount val="31"/>
                <c:pt idx="0">
                  <c:v>0</c:v>
                </c:pt>
                <c:pt idx="1">
                  <c:v>2.9370629370629371E-3</c:v>
                </c:pt>
                <c:pt idx="2">
                  <c:v>5.5218544573866898E-3</c:v>
                </c:pt>
                <c:pt idx="3">
                  <c:v>7.7984084880636595E-3</c:v>
                </c:pt>
                <c:pt idx="4">
                  <c:v>9.8037135278514591E-3</c:v>
                </c:pt>
                <c:pt idx="5">
                  <c:v>1.1569067537237299E-2</c:v>
                </c:pt>
                <c:pt idx="6">
                  <c:v>1.3121131741821397E-2</c:v>
                </c:pt>
                <c:pt idx="7">
                  <c:v>1.4482758620689656E-2</c:v>
                </c:pt>
                <c:pt idx="8">
                  <c:v>1.567364858684716E-2</c:v>
                </c:pt>
                <c:pt idx="9">
                  <c:v>1.6710875331564987E-2</c:v>
                </c:pt>
                <c:pt idx="10">
                  <c:v>1.7609309489176009E-2</c:v>
                </c:pt>
                <c:pt idx="11">
                  <c:v>1.8381962864721484E-2</c:v>
                </c:pt>
                <c:pt idx="12">
                  <c:v>1.904027007475283E-2</c:v>
                </c:pt>
                <c:pt idx="13">
                  <c:v>1.9594320486815416E-2</c:v>
                </c:pt>
                <c:pt idx="14">
                  <c:v>2.0053050397877987E-2</c:v>
                </c:pt>
                <c:pt idx="15">
                  <c:v>2.0424403183023871E-2</c:v>
                </c:pt>
                <c:pt idx="16">
                  <c:v>2.0715463474084161E-2</c:v>
                </c:pt>
                <c:pt idx="17">
                  <c:v>2.0932570152170878E-2</c:v>
                </c:pt>
                <c:pt idx="18">
                  <c:v>2.1081411956743523E-2</c:v>
                </c:pt>
                <c:pt idx="19">
                  <c:v>2.1167108753315646E-2</c:v>
                </c:pt>
                <c:pt idx="20">
                  <c:v>2.1194280908326323E-2</c:v>
                </c:pt>
                <c:pt idx="21">
                  <c:v>2.116710875331565E-2</c:v>
                </c:pt>
                <c:pt idx="22">
                  <c:v>2.1089383751773487E-2</c:v>
                </c:pt>
                <c:pt idx="23">
                  <c:v>2.0964552688690623E-2</c:v>
                </c:pt>
                <c:pt idx="24">
                  <c:v>2.0795755968169762E-2</c:v>
                </c:pt>
                <c:pt idx="25">
                  <c:v>2.0585860915695999E-2</c:v>
                </c:pt>
                <c:pt idx="26">
                  <c:v>2.0337490829053558E-2</c:v>
                </c:pt>
                <c:pt idx="27">
                  <c:v>2.0053050397877983E-2</c:v>
                </c:pt>
                <c:pt idx="28">
                  <c:v>1.9734748010610079E-2</c:v>
                </c:pt>
                <c:pt idx="29">
                  <c:v>1.9384615384615386E-2</c:v>
                </c:pt>
                <c:pt idx="30">
                  <c:v>1.9004524886877826E-2</c:v>
                </c:pt>
              </c:numCache>
            </c:numRef>
          </c:val>
          <c:extLst>
            <c:ext xmlns:c16="http://schemas.microsoft.com/office/drawing/2014/chart" uri="{C3380CC4-5D6E-409C-BE32-E72D297353CC}">
              <c16:uniqueId val="{00000015-15CA-41F8-9818-73C05ADBBA8F}"/>
            </c:ext>
          </c:extLst>
        </c:ser>
        <c:ser>
          <c:idx val="22"/>
          <c:order val="22"/>
          <c:tx>
            <c:strRef>
              <c:f>'Ej. 4'!$P$61</c:f>
              <c:strCache>
                <c:ptCount val="1"/>
                <c:pt idx="0">
                  <c:v>22</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4'!$Q$61:$AU$61</c:f>
              <c:numCache>
                <c:formatCode>0.00%</c:formatCode>
                <c:ptCount val="31"/>
                <c:pt idx="0">
                  <c:v>0</c:v>
                </c:pt>
                <c:pt idx="1">
                  <c:v>2.8450390189520623E-3</c:v>
                </c:pt>
                <c:pt idx="2">
                  <c:v>5.3589743589743588E-3</c:v>
                </c:pt>
                <c:pt idx="3">
                  <c:v>7.5815384615384607E-3</c:v>
                </c:pt>
                <c:pt idx="4">
                  <c:v>9.5463510848126237E-3</c:v>
                </c:pt>
                <c:pt idx="5">
                  <c:v>1.1282051282051283E-2</c:v>
                </c:pt>
                <c:pt idx="6">
                  <c:v>1.2813186813186812E-2</c:v>
                </c:pt>
                <c:pt idx="7">
                  <c:v>1.4160919540229886E-2</c:v>
                </c:pt>
                <c:pt idx="8">
                  <c:v>1.534358974358974E-2</c:v>
                </c:pt>
                <c:pt idx="9">
                  <c:v>1.6377171215880889E-2</c:v>
                </c:pt>
                <c:pt idx="10">
                  <c:v>1.7275641025641025E-2</c:v>
                </c:pt>
                <c:pt idx="11">
                  <c:v>1.805128205128205E-2</c:v>
                </c:pt>
                <c:pt idx="12">
                  <c:v>1.871493212669683E-2</c:v>
                </c:pt>
                <c:pt idx="13">
                  <c:v>1.9276190476190475E-2</c:v>
                </c:pt>
                <c:pt idx="14">
                  <c:v>1.9743589743589741E-2</c:v>
                </c:pt>
                <c:pt idx="15">
                  <c:v>2.0124740124740123E-2</c:v>
                </c:pt>
                <c:pt idx="16">
                  <c:v>2.0426450742240213E-2</c:v>
                </c:pt>
                <c:pt idx="17">
                  <c:v>2.0654832347140037E-2</c:v>
                </c:pt>
                <c:pt idx="18">
                  <c:v>2.0815384615384614E-2</c:v>
                </c:pt>
                <c:pt idx="19">
                  <c:v>2.0913070669168227E-2</c:v>
                </c:pt>
                <c:pt idx="20">
                  <c:v>2.0952380952380951E-2</c:v>
                </c:pt>
                <c:pt idx="21">
                  <c:v>2.0937388193202143E-2</c:v>
                </c:pt>
                <c:pt idx="22">
                  <c:v>2.0871794871794871E-2</c:v>
                </c:pt>
                <c:pt idx="23">
                  <c:v>2.075897435897436E-2</c:v>
                </c:pt>
                <c:pt idx="24">
                  <c:v>2.0602006688963212E-2</c:v>
                </c:pt>
                <c:pt idx="25">
                  <c:v>2.0403709765411893E-2</c:v>
                </c:pt>
                <c:pt idx="26">
                  <c:v>2.0166666666666663E-2</c:v>
                </c:pt>
                <c:pt idx="27">
                  <c:v>1.9893249607535322E-2</c:v>
                </c:pt>
                <c:pt idx="28">
                  <c:v>1.9585641025641025E-2</c:v>
                </c:pt>
                <c:pt idx="29">
                  <c:v>1.9245852187028657E-2</c:v>
                </c:pt>
                <c:pt idx="30">
                  <c:v>1.8875739644970413E-2</c:v>
                </c:pt>
              </c:numCache>
            </c:numRef>
          </c:val>
          <c:extLst>
            <c:ext xmlns:c16="http://schemas.microsoft.com/office/drawing/2014/chart" uri="{C3380CC4-5D6E-409C-BE32-E72D297353CC}">
              <c16:uniqueId val="{00000016-15CA-41F8-9818-73C05ADBBA8F}"/>
            </c:ext>
          </c:extLst>
        </c:ser>
        <c:ser>
          <c:idx val="23"/>
          <c:order val="23"/>
          <c:tx>
            <c:strRef>
              <c:f>'Ej. 4'!$P$62</c:f>
              <c:strCache>
                <c:ptCount val="1"/>
                <c:pt idx="0">
                  <c:v>23</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4'!$Q$62:$AU$62</c:f>
              <c:numCache>
                <c:formatCode>0.00%</c:formatCode>
                <c:ptCount val="31"/>
                <c:pt idx="0">
                  <c:v>0</c:v>
                </c:pt>
                <c:pt idx="1">
                  <c:v>2.7521367521367523E-3</c:v>
                </c:pt>
                <c:pt idx="2">
                  <c:v>5.192997347480105E-3</c:v>
                </c:pt>
                <c:pt idx="3">
                  <c:v>7.3584982656600692E-3</c:v>
                </c:pt>
                <c:pt idx="4">
                  <c:v>9.2792350263614636E-3</c:v>
                </c:pt>
                <c:pt idx="5">
                  <c:v>1.0981432360742704E-2</c:v>
                </c:pt>
                <c:pt idx="6">
                  <c:v>1.2487697795664502E-2</c:v>
                </c:pt>
                <c:pt idx="7">
                  <c:v>1.3817624521072797E-2</c:v>
                </c:pt>
                <c:pt idx="8">
                  <c:v>1.498827757337212E-2</c:v>
                </c:pt>
                <c:pt idx="9">
                  <c:v>1.6014588859416444E-2</c:v>
                </c:pt>
                <c:pt idx="10">
                  <c:v>1.6909680357956217E-2</c:v>
                </c:pt>
                <c:pt idx="11">
                  <c:v>1.7685130285535963E-2</c:v>
                </c:pt>
                <c:pt idx="12">
                  <c:v>1.8351193633952254E-2</c:v>
                </c:pt>
                <c:pt idx="13">
                  <c:v>1.891698595146871E-2</c:v>
                </c:pt>
                <c:pt idx="14">
                  <c:v>1.9390637321671803E-2</c:v>
                </c:pt>
                <c:pt idx="15">
                  <c:v>1.9779422029875749E-2</c:v>
                </c:pt>
                <c:pt idx="16">
                  <c:v>2.0089868280849712E-2</c:v>
                </c:pt>
                <c:pt idx="17">
                  <c:v>2.0327851458885941E-2</c:v>
                </c:pt>
                <c:pt idx="18">
                  <c:v>2.0498673740053052E-2</c:v>
                </c:pt>
                <c:pt idx="19">
                  <c:v>2.0607132331270258E-2</c:v>
                </c:pt>
                <c:pt idx="20">
                  <c:v>2.065757818765036E-2</c:v>
                </c:pt>
                <c:pt idx="21">
                  <c:v>2.0653966722932238E-2</c:v>
                </c:pt>
                <c:pt idx="22">
                  <c:v>2.0599901758522447E-2</c:v>
                </c:pt>
                <c:pt idx="23">
                  <c:v>2.0498673740053052E-2</c:v>
                </c:pt>
                <c:pt idx="24">
                  <c:v>2.035329307522998E-2</c:v>
                </c:pt>
                <c:pt idx="25">
                  <c:v>2.0166519304450337E-2</c:v>
                </c:pt>
                <c:pt idx="26">
                  <c:v>1.9940886699507387E-2</c:v>
                </c:pt>
                <c:pt idx="27">
                  <c:v>1.9678726790450927E-2</c:v>
                </c:pt>
                <c:pt idx="28">
                  <c:v>1.9382188242228812E-2</c:v>
                </c:pt>
                <c:pt idx="29">
                  <c:v>1.9053254437869822E-2</c:v>
                </c:pt>
                <c:pt idx="30">
                  <c:v>1.8693759071117561E-2</c:v>
                </c:pt>
              </c:numCache>
            </c:numRef>
          </c:val>
          <c:extLst>
            <c:ext xmlns:c16="http://schemas.microsoft.com/office/drawing/2014/chart" uri="{C3380CC4-5D6E-409C-BE32-E72D297353CC}">
              <c16:uniqueId val="{00000017-15CA-41F8-9818-73C05ADBBA8F}"/>
            </c:ext>
          </c:extLst>
        </c:ser>
        <c:ser>
          <c:idx val="24"/>
          <c:order val="24"/>
          <c:tx>
            <c:strRef>
              <c:f>'Ej. 4'!$P$63</c:f>
              <c:strCache>
                <c:ptCount val="1"/>
                <c:pt idx="0">
                  <c:v>24</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4'!$Q$63:$AU$63</c:f>
              <c:numCache>
                <c:formatCode>0.00%</c:formatCode>
                <c:ptCount val="31"/>
                <c:pt idx="0">
                  <c:v>0</c:v>
                </c:pt>
                <c:pt idx="1">
                  <c:v>2.6584615384615384E-3</c:v>
                </c:pt>
                <c:pt idx="2">
                  <c:v>5.0242807590287703E-3</c:v>
                </c:pt>
                <c:pt idx="3">
                  <c:v>7.1299734748010617E-3</c:v>
                </c:pt>
                <c:pt idx="4">
                  <c:v>9.00341038272073E-3</c:v>
                </c:pt>
                <c:pt idx="5">
                  <c:v>1.0668617945669076E-2</c:v>
                </c:pt>
                <c:pt idx="6">
                  <c:v>1.2146419098143237E-2</c:v>
                </c:pt>
                <c:pt idx="7">
                  <c:v>1.3454949944382651E-2</c:v>
                </c:pt>
                <c:pt idx="8">
                  <c:v>1.4610079575596817E-2</c:v>
                </c:pt>
                <c:pt idx="9">
                  <c:v>1.5625753556788038E-2</c:v>
                </c:pt>
                <c:pt idx="10">
                  <c:v>1.6514276798252459E-2</c:v>
                </c:pt>
                <c:pt idx="11">
                  <c:v>1.7286547934823798E-2</c:v>
                </c:pt>
                <c:pt idx="12">
                  <c:v>1.7952254641909818E-2</c:v>
                </c:pt>
                <c:pt idx="13">
                  <c:v>1.8520037278657971E-2</c:v>
                </c:pt>
                <c:pt idx="14">
                  <c:v>1.8997626692726512E-2</c:v>
                </c:pt>
                <c:pt idx="15">
                  <c:v>1.9391960824321569E-2</c:v>
                </c:pt>
                <c:pt idx="16">
                  <c:v>1.9709283819628647E-2</c:v>
                </c:pt>
                <c:pt idx="17">
                  <c:v>1.9955230639839557E-2</c:v>
                </c:pt>
                <c:pt idx="18">
                  <c:v>2.0134899583175447E-2</c:v>
                </c:pt>
                <c:pt idx="19">
                  <c:v>2.025291468755783E-2</c:v>
                </c:pt>
                <c:pt idx="20">
                  <c:v>2.0313479623824456E-2</c:v>
                </c:pt>
                <c:pt idx="21">
                  <c:v>2.0320424403183025E-2</c:v>
                </c:pt>
                <c:pt idx="22">
                  <c:v>2.0277245992388421E-2</c:v>
                </c:pt>
                <c:pt idx="23">
                  <c:v>2.0187143744003617E-2</c:v>
                </c:pt>
                <c:pt idx="24">
                  <c:v>2.0053050397877987E-2</c:v>
                </c:pt>
                <c:pt idx="25">
                  <c:v>1.9877659286526284E-2</c:v>
                </c:pt>
                <c:pt idx="26">
                  <c:v>1.9663448275862069E-2</c:v>
                </c:pt>
                <c:pt idx="27">
                  <c:v>1.9412700889374319E-2</c:v>
                </c:pt>
                <c:pt idx="28">
                  <c:v>1.9127524994899003E-2</c:v>
                </c:pt>
                <c:pt idx="29">
                  <c:v>1.8809869375907114E-2</c:v>
                </c:pt>
                <c:pt idx="30">
                  <c:v>1.8461538461538463E-2</c:v>
                </c:pt>
              </c:numCache>
            </c:numRef>
          </c:val>
          <c:extLst>
            <c:ext xmlns:c16="http://schemas.microsoft.com/office/drawing/2014/chart" uri="{C3380CC4-5D6E-409C-BE32-E72D297353CC}">
              <c16:uniqueId val="{00000018-15CA-41F8-9818-73C05ADBBA8F}"/>
            </c:ext>
          </c:extLst>
        </c:ser>
        <c:ser>
          <c:idx val="25"/>
          <c:order val="25"/>
          <c:tx>
            <c:strRef>
              <c:f>'Ej. 4'!$P$64</c:f>
              <c:strCache>
                <c:ptCount val="1"/>
                <c:pt idx="0">
                  <c:v>25</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4'!$Q$64:$AU$64</c:f>
              <c:numCache>
                <c:formatCode>0.00%</c:formatCode>
                <c:ptCount val="31"/>
                <c:pt idx="0">
                  <c:v>0</c:v>
                </c:pt>
                <c:pt idx="1">
                  <c:v>2.5641025641025641E-3</c:v>
                </c:pt>
                <c:pt idx="2">
                  <c:v>4.8531289910600248E-3</c:v>
                </c:pt>
                <c:pt idx="3">
                  <c:v>6.8965517241379309E-3</c:v>
                </c:pt>
                <c:pt idx="4">
                  <c:v>8.719778042013477E-3</c:v>
                </c:pt>
                <c:pt idx="5">
                  <c:v>1.0344827586206896E-2</c:v>
                </c:pt>
                <c:pt idx="6">
                  <c:v>1.1790878754171301E-2</c:v>
                </c:pt>
                <c:pt idx="7">
                  <c:v>1.3074712643678162E-2</c:v>
                </c:pt>
                <c:pt idx="8">
                  <c:v>1.4211076280041795E-2</c:v>
                </c:pt>
                <c:pt idx="9">
                  <c:v>1.5212981744421905E-2</c:v>
                </c:pt>
                <c:pt idx="10">
                  <c:v>1.6091954022988506E-2</c:v>
                </c:pt>
                <c:pt idx="11">
                  <c:v>1.6858237547892719E-2</c:v>
                </c:pt>
                <c:pt idx="12">
                  <c:v>1.7520969245107175E-2</c:v>
                </c:pt>
                <c:pt idx="13">
                  <c:v>1.808832425892317E-2</c:v>
                </c:pt>
                <c:pt idx="14">
                  <c:v>1.8567639257294429E-2</c:v>
                </c:pt>
                <c:pt idx="15">
                  <c:v>1.896551724137931E-2</c:v>
                </c:pt>
                <c:pt idx="16">
                  <c:v>1.9287917017101204E-2</c:v>
                </c:pt>
                <c:pt idx="17">
                  <c:v>1.9540229885057471E-2</c:v>
                </c:pt>
                <c:pt idx="18">
                  <c:v>1.9727345629510826E-2</c:v>
                </c:pt>
                <c:pt idx="19">
                  <c:v>1.985370950888192E-2</c:v>
                </c:pt>
                <c:pt idx="20">
                  <c:v>1.9923371647509579E-2</c:v>
                </c:pt>
                <c:pt idx="21">
                  <c:v>1.9940029985007494E-2</c:v>
                </c:pt>
                <c:pt idx="22">
                  <c:v>1.9907067742724383E-2</c:v>
                </c:pt>
                <c:pt idx="23">
                  <c:v>1.9827586206896553E-2</c:v>
                </c:pt>
                <c:pt idx="24">
                  <c:v>1.9704433497536946E-2</c:v>
                </c:pt>
                <c:pt idx="25">
                  <c:v>1.9540229885057471E-2</c:v>
                </c:pt>
                <c:pt idx="26">
                  <c:v>1.9337390128465179E-2</c:v>
                </c:pt>
                <c:pt idx="27">
                  <c:v>1.9098143236074269E-2</c:v>
                </c:pt>
                <c:pt idx="28">
                  <c:v>1.8824549989156367E-2</c:v>
                </c:pt>
                <c:pt idx="29">
                  <c:v>1.8518518518518517E-2</c:v>
                </c:pt>
                <c:pt idx="30">
                  <c:v>1.8181818181818181E-2</c:v>
                </c:pt>
              </c:numCache>
            </c:numRef>
          </c:val>
          <c:extLst>
            <c:ext xmlns:c16="http://schemas.microsoft.com/office/drawing/2014/chart" uri="{C3380CC4-5D6E-409C-BE32-E72D297353CC}">
              <c16:uniqueId val="{00000019-15CA-41F8-9818-73C05ADBBA8F}"/>
            </c:ext>
          </c:extLst>
        </c:ser>
        <c:ser>
          <c:idx val="26"/>
          <c:order val="26"/>
          <c:tx>
            <c:strRef>
              <c:f>'Ej. 4'!$P$65</c:f>
              <c:strCache>
                <c:ptCount val="1"/>
                <c:pt idx="0">
                  <c:v>26</c:v>
                </c:pt>
              </c:strCache>
            </c:strRef>
          </c:tx>
          <c:cat>
            <c:numRef>
              <c:f>'Ej. 4'!$Q$38:$AU$38</c:f>
              <c:numCache>
                <c:formatCode>@</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'Ej. 4'!$Q$65:$AU$65</c:f>
              <c:numCache>
                <c:formatCode>0.00%</c:formatCode>
                <c:ptCount val="31"/>
                <c:pt idx="0">
                  <c:v>0</c:v>
                </c:pt>
                <c:pt idx="1">
                  <c:v>2.4691358024691358E-3</c:v>
                </c:pt>
                <c:pt idx="2">
                  <c:v>4.6798029556650239E-3</c:v>
                </c:pt>
                <c:pt idx="3">
                  <c:v>6.6587395957193813E-3</c:v>
                </c:pt>
                <c:pt idx="4">
                  <c:v>8.4291187739463612E-3</c:v>
                </c:pt>
                <c:pt idx="5">
                  <c:v>1.0011123470522803E-2</c:v>
                </c:pt>
                <c:pt idx="6">
                  <c:v>1.1422413793103449E-2</c:v>
                </c:pt>
                <c:pt idx="7">
                  <c:v>1.2678509230233368E-2</c:v>
                </c:pt>
                <c:pt idx="8">
                  <c:v>1.379310344827586E-2</c:v>
                </c:pt>
                <c:pt idx="9">
                  <c:v>1.4778325123152707E-2</c:v>
                </c:pt>
                <c:pt idx="10">
                  <c:v>1.5644955300127713E-2</c:v>
                </c:pt>
                <c:pt idx="11">
                  <c:v>1.6402609506057781E-2</c:v>
                </c:pt>
                <c:pt idx="12">
                  <c:v>1.7059891107078038E-2</c:v>
                </c:pt>
                <c:pt idx="13">
                  <c:v>1.7624521072796936E-2</c:v>
                </c:pt>
                <c:pt idx="14">
                  <c:v>1.810344827586207E-2</c:v>
                </c:pt>
                <c:pt idx="15">
                  <c:v>1.8502943650126155E-2</c:v>
                </c:pt>
                <c:pt idx="16">
                  <c:v>1.8828680897646416E-2</c:v>
                </c:pt>
                <c:pt idx="17">
                  <c:v>1.9085805934242181E-2</c:v>
                </c:pt>
                <c:pt idx="18">
                  <c:v>1.9278996865203762E-2</c:v>
                </c:pt>
                <c:pt idx="19">
                  <c:v>1.9412515964240099E-2</c:v>
                </c:pt>
                <c:pt idx="20">
                  <c:v>1.9490254872563718E-2</c:v>
                </c:pt>
                <c:pt idx="21">
                  <c:v>1.9515774027879677E-2</c:v>
                </c:pt>
                <c:pt idx="22">
                  <c:v>1.9492337164750958E-2</c:v>
                </c:pt>
                <c:pt idx="23">
                  <c:v>1.9422941590429278E-2</c:v>
                </c:pt>
                <c:pt idx="24">
                  <c:v>1.9310344827586208E-2</c:v>
                </c:pt>
                <c:pt idx="25">
                  <c:v>1.9157088122605366E-2</c:v>
                </c:pt>
                <c:pt idx="26">
                  <c:v>1.896551724137931E-2</c:v>
                </c:pt>
                <c:pt idx="27">
                  <c:v>1.8737800910865323E-2</c:v>
                </c:pt>
                <c:pt idx="28">
                  <c:v>1.8475947211579396E-2</c:v>
                </c:pt>
                <c:pt idx="29">
                  <c:v>1.8181818181818181E-2</c:v>
                </c:pt>
                <c:pt idx="30">
                  <c:v>1.7857142857142856E-2</c:v>
                </c:pt>
              </c:numCache>
            </c:numRef>
          </c:val>
          <c:extLst>
            <c:ext xmlns:c16="http://schemas.microsoft.com/office/drawing/2014/chart" uri="{C3380CC4-5D6E-409C-BE32-E72D297353CC}">
              <c16:uniqueId val="{0000001A-15CA-41F8-9818-73C05ADBBA8F}"/>
            </c:ext>
          </c:extLst>
        </c:ser>
        <c:bandFmts/>
        <c:axId val="95014064"/>
        <c:axId val="95007408"/>
        <c:axId val="152980672"/>
      </c:surface3DChart>
      <c:catAx>
        <c:axId val="95014064"/>
        <c:scaling>
          <c:orientation val="maxMin"/>
        </c:scaling>
        <c:delete val="0"/>
        <c:axPos val="b"/>
        <c:numFmt formatCode="@"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07408"/>
        <c:crosses val="autoZero"/>
        <c:auto val="1"/>
        <c:lblAlgn val="ctr"/>
        <c:lblOffset val="100"/>
        <c:noMultiLvlLbl val="0"/>
      </c:catAx>
      <c:valAx>
        <c:axId val="95007408"/>
        <c:scaling>
          <c:orientation val="minMax"/>
          <c:max val="2.2500000000000006E-2"/>
          <c:min val="0"/>
        </c:scaling>
        <c:delete val="0"/>
        <c:axPos val="r"/>
        <c:majorGridlines>
          <c:spPr>
            <a:ln w="9525" cap="flat" cmpd="sng" algn="ctr">
              <a:solidFill>
                <a:schemeClr val="tx1">
                  <a:lumMod val="15000"/>
                  <a:lumOff val="85000"/>
                </a:schemeClr>
              </a:solidFill>
              <a:prstDash val="solid"/>
              <a:round/>
            </a:ln>
            <a:effectLst/>
          </c:spPr>
        </c:majorGridlines>
        <c:numFmt formatCode="0.0%" sourceLinked="0"/>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14064"/>
        <c:crosses val="autoZero"/>
        <c:crossBetween val="midCat"/>
        <c:majorUnit val="1.0000000000000002E-3"/>
      </c:valAx>
      <c:serAx>
        <c:axId val="152980672"/>
        <c:scaling>
          <c:orientation val="minMax"/>
        </c:scaling>
        <c:delete val="0"/>
        <c:axPos val="b"/>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Extra Light" panose="020B0204020104020204" pitchFamily="34" charset="0"/>
                <a:ea typeface="+mn-ea"/>
                <a:cs typeface="+mn-cs"/>
              </a:defRPr>
            </a:pPr>
            <a:endParaRPr lang="es-ES"/>
          </a:p>
        </c:txPr>
        <c:crossAx val="950074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latin typeface="Abadi Extra Light" panose="020B0204020104020204" pitchFamily="34" charset="0"/>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3" Type="http://schemas.openxmlformats.org/officeDocument/2006/relationships/hyperlink" Target="#Temario!A1"/><Relationship Id="rId2" Type="http://schemas.openxmlformats.org/officeDocument/2006/relationships/hyperlink" Target="#Sorteos!A1"/><Relationship Id="rId1" Type="http://schemas.openxmlformats.org/officeDocument/2006/relationships/hyperlink" Target="#Probabilidades!A1"/><Relationship Id="rId4" Type="http://schemas.openxmlformats.org/officeDocument/2006/relationships/hyperlink" Target="#'Organizaci&#243;n del estudio'!A1"/></Relationships>
</file>

<file path=xl/diagrams/_rels/data2.xml.rels><?xml version="1.0" encoding="UTF-8" standalone="yes"?>
<Relationships xmlns="http://schemas.openxmlformats.org/package/2006/relationships"><Relationship Id="rId3" Type="http://schemas.openxmlformats.org/officeDocument/2006/relationships/hyperlink" Target="#'Ej. 5'!A1"/><Relationship Id="rId2" Type="http://schemas.openxmlformats.org/officeDocument/2006/relationships/hyperlink" Target="#'Ej. 4'!A1"/><Relationship Id="rId1" Type="http://schemas.openxmlformats.org/officeDocument/2006/relationships/hyperlink" Target="#'Ej. 3'!A1"/><Relationship Id="rId4" Type="http://schemas.openxmlformats.org/officeDocument/2006/relationships/hyperlink" Target="#'Probabilidad de aprobar'!A1"/></Relationships>
</file>

<file path=xl/diagrams/_rels/data3.xml.rels><?xml version="1.0" encoding="UTF-8" standalone="yes"?>
<Relationships xmlns="http://schemas.openxmlformats.org/package/2006/relationships"><Relationship Id="rId2" Type="http://schemas.openxmlformats.org/officeDocument/2006/relationships/hyperlink" Target="#'Sorteo de temas predefinidos'!A1"/><Relationship Id="rId1" Type="http://schemas.openxmlformats.org/officeDocument/2006/relationships/hyperlink" Target="#'Simulador de sorteos'!A1"/></Relationships>
</file>

<file path=xl/diagrams/_rels/data4.xml.rels><?xml version="1.0" encoding="UTF-8" standalone="yes"?>
<Relationships xmlns="http://schemas.openxmlformats.org/package/2006/relationships"><Relationship Id="rId2" Type="http://schemas.openxmlformats.org/officeDocument/2006/relationships/hyperlink" Target="#'Tabla din&#225;mica temas'!A1"/><Relationship Id="rId1" Type="http://schemas.openxmlformats.org/officeDocument/2006/relationships/hyperlink" Target="#'Listado de temas'!A1"/></Relationships>
</file>

<file path=xl/diagrams/_rels/data5.xml.rels><?xml version="1.0" encoding="UTF-8" standalone="yes"?>
<Relationships xmlns="http://schemas.openxmlformats.org/package/2006/relationships"><Relationship Id="rId2" Type="http://schemas.openxmlformats.org/officeDocument/2006/relationships/hyperlink" Target="#'Horario de estudio'!A1"/><Relationship Id="rId1" Type="http://schemas.openxmlformats.org/officeDocument/2006/relationships/hyperlink" Target="#Cronograma!A1"/></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FBF5F140-BF82-4F98-8551-69DCFE5F7DC8}" type="doc">
      <dgm:prSet loTypeId="urn:microsoft.com/office/officeart/2008/layout/VerticalCurvedList" loCatId="list" qsTypeId="urn:microsoft.com/office/officeart/2005/8/quickstyle/simple1" qsCatId="simple" csTypeId="urn:microsoft.com/office/officeart/2005/8/colors/accent1_2" csCatId="accent1" phldr="1"/>
      <dgm:spPr/>
      <dgm:t>
        <a:bodyPr/>
        <a:lstStyle/>
        <a:p>
          <a:endParaRPr lang="es-ES"/>
        </a:p>
      </dgm:t>
    </dgm:pt>
    <dgm:pt modelId="{08698D40-C8E2-48DB-ACB8-E4645A48A765}">
      <dgm:prSet phldrT="[Texto]"/>
      <dgm:spPr>
        <a:solidFill>
          <a:srgbClr val="FBE5D6"/>
        </a:solidFill>
        <a:ln>
          <a:solidFill>
            <a:srgbClr val="5F2987"/>
          </a:solidFill>
        </a:ln>
      </dgm:spPr>
      <dgm:t>
        <a:bodyPr/>
        <a:lstStyle/>
        <a:p>
          <a:r>
            <a:rPr lang="es-ES">
              <a:solidFill>
                <a:srgbClr val="5F2987"/>
              </a:solidFill>
              <a:latin typeface="Abadi Extra Light" panose="020B0204020104020204" pitchFamily="34" charset="0"/>
            </a:rPr>
            <a:t>Probabilidades</a:t>
          </a:r>
        </a:p>
      </dgm:t>
      <dgm:extLst>
        <a:ext uri="{E40237B7-FDA0-4F09-8148-C483321AD2D9}">
          <dgm14:cNvPr xmlns:dgm14="http://schemas.microsoft.com/office/drawing/2010/diagram" id="0" name="">
            <a:hlinkClick xmlns:r="http://schemas.openxmlformats.org/officeDocument/2006/relationships" r:id="rId1" tooltip="Probabilidades"/>
          </dgm14:cNvPr>
        </a:ext>
      </dgm:extLst>
    </dgm:pt>
    <dgm:pt modelId="{0CCCA727-47A2-4E52-B886-F42A7EE22138}" type="parTrans" cxnId="{F629A20B-3E00-4900-85AC-939E3A848268}">
      <dgm:prSet/>
      <dgm:spPr/>
      <dgm:t>
        <a:bodyPr/>
        <a:lstStyle/>
        <a:p>
          <a:endParaRPr lang="es-ES">
            <a:latin typeface="Abadi Extra Light" panose="020B0204020104020204" pitchFamily="34" charset="0"/>
          </a:endParaRPr>
        </a:p>
      </dgm:t>
    </dgm:pt>
    <dgm:pt modelId="{39FB1892-EC54-4EBF-8413-848A879F8D2B}" type="sibTrans" cxnId="{F629A20B-3E00-4900-85AC-939E3A848268}">
      <dgm:prSet/>
      <dgm:spPr>
        <a:solidFill>
          <a:schemeClr val="accent6">
            <a:lumMod val="20000"/>
            <a:lumOff val="80000"/>
          </a:schemeClr>
        </a:solidFill>
        <a:ln>
          <a:solidFill>
            <a:srgbClr val="5F2987"/>
          </a:solidFill>
        </a:ln>
      </dgm:spPr>
      <dgm:t>
        <a:bodyPr/>
        <a:lstStyle/>
        <a:p>
          <a:endParaRPr lang="es-ES">
            <a:latin typeface="Abadi Extra Light" panose="020B0204020104020204" pitchFamily="34" charset="0"/>
          </a:endParaRPr>
        </a:p>
      </dgm:t>
    </dgm:pt>
    <dgm:pt modelId="{968EB148-F2FD-40B7-A2BF-F8CFCF9D6806}">
      <dgm:prSet phldrT="[Texto]"/>
      <dgm:spPr>
        <a:solidFill>
          <a:srgbClr val="FFFFCC"/>
        </a:solidFill>
        <a:ln>
          <a:solidFill>
            <a:srgbClr val="5F2987"/>
          </a:solidFill>
        </a:ln>
      </dgm:spPr>
      <dgm:t>
        <a:bodyPr/>
        <a:lstStyle/>
        <a:p>
          <a:r>
            <a:rPr lang="es-ES">
              <a:solidFill>
                <a:srgbClr val="5F2987"/>
              </a:solidFill>
              <a:latin typeface="Abadi Extra Light" panose="020B0204020104020204" pitchFamily="34" charset="0"/>
            </a:rPr>
            <a:t>Sorteos</a:t>
          </a:r>
        </a:p>
      </dgm:t>
      <dgm:extLst>
        <a:ext uri="{E40237B7-FDA0-4F09-8148-C483321AD2D9}">
          <dgm14:cNvPr xmlns:dgm14="http://schemas.microsoft.com/office/drawing/2010/diagram" id="0" name="">
            <a:hlinkClick xmlns:r="http://schemas.openxmlformats.org/officeDocument/2006/relationships" r:id="rId2" tooltip="Simulador de sorteos"/>
          </dgm14:cNvPr>
        </a:ext>
      </dgm:extLst>
    </dgm:pt>
    <dgm:pt modelId="{12952ECD-811A-4722-B9FC-CCE3C1FDFD6F}" type="parTrans" cxnId="{167A3101-0490-402C-95F9-062A71C0B2A6}">
      <dgm:prSet/>
      <dgm:spPr/>
      <dgm:t>
        <a:bodyPr/>
        <a:lstStyle/>
        <a:p>
          <a:endParaRPr lang="es-ES">
            <a:latin typeface="Abadi Extra Light" panose="020B0204020104020204" pitchFamily="34" charset="0"/>
          </a:endParaRPr>
        </a:p>
      </dgm:t>
    </dgm:pt>
    <dgm:pt modelId="{FD20F2DD-4B51-44F0-98E4-CF186C503750}" type="sibTrans" cxnId="{167A3101-0490-402C-95F9-062A71C0B2A6}">
      <dgm:prSet/>
      <dgm:spPr/>
      <dgm:t>
        <a:bodyPr/>
        <a:lstStyle/>
        <a:p>
          <a:endParaRPr lang="es-ES">
            <a:latin typeface="Abadi Extra Light" panose="020B0204020104020204" pitchFamily="34" charset="0"/>
          </a:endParaRPr>
        </a:p>
      </dgm:t>
    </dgm:pt>
    <dgm:pt modelId="{5E8087E2-D27F-4FF9-A499-2E646854B85F}">
      <dgm:prSet phldrT="[Texto]"/>
      <dgm:spPr>
        <a:solidFill>
          <a:srgbClr val="CCECFF"/>
        </a:solidFill>
        <a:ln>
          <a:solidFill>
            <a:srgbClr val="5F2987"/>
          </a:solidFill>
        </a:ln>
      </dgm:spPr>
      <dgm:t>
        <a:bodyPr/>
        <a:lstStyle/>
        <a:p>
          <a:r>
            <a:rPr lang="es-ES">
              <a:solidFill>
                <a:srgbClr val="5F2987"/>
              </a:solidFill>
              <a:latin typeface="Abadi Extra Light" panose="020B0204020104020204" pitchFamily="34" charset="0"/>
            </a:rPr>
            <a:t>Temario</a:t>
          </a:r>
        </a:p>
      </dgm:t>
      <dgm:extLst>
        <a:ext uri="{E40237B7-FDA0-4F09-8148-C483321AD2D9}">
          <dgm14:cNvPr xmlns:dgm14="http://schemas.microsoft.com/office/drawing/2010/diagram" id="0" name="">
            <a:hlinkClick xmlns:r="http://schemas.openxmlformats.org/officeDocument/2006/relationships" r:id="rId3" tooltip="Temario"/>
          </dgm14:cNvPr>
        </a:ext>
      </dgm:extLst>
    </dgm:pt>
    <dgm:pt modelId="{27E298C8-34BA-4959-BF32-8A3849843702}" type="parTrans" cxnId="{08936992-8DE0-41C0-A4FC-67441840D29A}">
      <dgm:prSet/>
      <dgm:spPr/>
      <dgm:t>
        <a:bodyPr/>
        <a:lstStyle/>
        <a:p>
          <a:endParaRPr lang="es-ES">
            <a:latin typeface="Abadi Extra Light" panose="020B0204020104020204" pitchFamily="34" charset="0"/>
          </a:endParaRPr>
        </a:p>
      </dgm:t>
    </dgm:pt>
    <dgm:pt modelId="{A6CBAB18-0FDF-4988-BE56-8AB6DA2EE495}" type="sibTrans" cxnId="{08936992-8DE0-41C0-A4FC-67441840D29A}">
      <dgm:prSet/>
      <dgm:spPr/>
      <dgm:t>
        <a:bodyPr/>
        <a:lstStyle/>
        <a:p>
          <a:endParaRPr lang="es-ES">
            <a:latin typeface="Abadi Extra Light" panose="020B0204020104020204" pitchFamily="34" charset="0"/>
          </a:endParaRPr>
        </a:p>
      </dgm:t>
    </dgm:pt>
    <dgm:pt modelId="{1C9265AD-CF71-4F14-B197-5012C52D3730}">
      <dgm:prSet phldrT="[Texto]"/>
      <dgm:spPr>
        <a:solidFill>
          <a:srgbClr val="FFCCCC"/>
        </a:solidFill>
        <a:ln>
          <a:solidFill>
            <a:srgbClr val="5F2987"/>
          </a:solidFill>
        </a:ln>
      </dgm:spPr>
      <dgm:t>
        <a:bodyPr/>
        <a:lstStyle/>
        <a:p>
          <a:r>
            <a:rPr lang="es-ES">
              <a:solidFill>
                <a:srgbClr val="5F2987"/>
              </a:solidFill>
              <a:latin typeface="Abadi Extra Light" panose="020B0204020104020204" pitchFamily="34" charset="0"/>
            </a:rPr>
            <a:t>Organización del estudio</a:t>
          </a:r>
        </a:p>
      </dgm:t>
      <dgm:extLst>
        <a:ext uri="{E40237B7-FDA0-4F09-8148-C483321AD2D9}">
          <dgm14:cNvPr xmlns:dgm14="http://schemas.microsoft.com/office/drawing/2010/diagram" id="0" name="">
            <a:hlinkClick xmlns:r="http://schemas.openxmlformats.org/officeDocument/2006/relationships" r:id="rId4" tooltip="Organización del estudio"/>
          </dgm14:cNvPr>
        </a:ext>
      </dgm:extLst>
    </dgm:pt>
    <dgm:pt modelId="{B976AC73-8C80-4613-A228-221EC486F509}" type="parTrans" cxnId="{27F02986-2F4A-4789-A5AC-E8793838DB29}">
      <dgm:prSet/>
      <dgm:spPr/>
      <dgm:t>
        <a:bodyPr/>
        <a:lstStyle/>
        <a:p>
          <a:endParaRPr lang="es-ES"/>
        </a:p>
      </dgm:t>
    </dgm:pt>
    <dgm:pt modelId="{6C3AA9E3-CA56-4AAD-B5FC-8B3EDC439A04}" type="sibTrans" cxnId="{27F02986-2F4A-4789-A5AC-E8793838DB29}">
      <dgm:prSet/>
      <dgm:spPr/>
      <dgm:t>
        <a:bodyPr/>
        <a:lstStyle/>
        <a:p>
          <a:endParaRPr lang="es-ES"/>
        </a:p>
      </dgm:t>
    </dgm:pt>
    <dgm:pt modelId="{B011D860-4A95-444F-B654-22C5105CBF87}" type="pres">
      <dgm:prSet presAssocID="{FBF5F140-BF82-4F98-8551-69DCFE5F7DC8}" presName="Name0" presStyleCnt="0">
        <dgm:presLayoutVars>
          <dgm:chMax val="7"/>
          <dgm:chPref val="7"/>
          <dgm:dir/>
        </dgm:presLayoutVars>
      </dgm:prSet>
      <dgm:spPr/>
    </dgm:pt>
    <dgm:pt modelId="{78010940-34C1-4164-B47B-65C03D56EBEB}" type="pres">
      <dgm:prSet presAssocID="{FBF5F140-BF82-4F98-8551-69DCFE5F7DC8}" presName="Name1" presStyleCnt="0"/>
      <dgm:spPr/>
    </dgm:pt>
    <dgm:pt modelId="{E1B2A18F-AD42-418D-B47E-C09A1348CFF1}" type="pres">
      <dgm:prSet presAssocID="{FBF5F140-BF82-4F98-8551-69DCFE5F7DC8}" presName="cycle" presStyleCnt="0"/>
      <dgm:spPr/>
    </dgm:pt>
    <dgm:pt modelId="{DEE63901-A22A-4778-B295-E8DEB2BF662C}" type="pres">
      <dgm:prSet presAssocID="{FBF5F140-BF82-4F98-8551-69DCFE5F7DC8}" presName="srcNode" presStyleLbl="node1" presStyleIdx="0" presStyleCnt="4"/>
      <dgm:spPr/>
    </dgm:pt>
    <dgm:pt modelId="{D927B915-A6E4-4E2E-9F07-F0EDB36A9A01}" type="pres">
      <dgm:prSet presAssocID="{FBF5F140-BF82-4F98-8551-69DCFE5F7DC8}" presName="conn" presStyleLbl="parChTrans1D2" presStyleIdx="0" presStyleCnt="1"/>
      <dgm:spPr/>
    </dgm:pt>
    <dgm:pt modelId="{B2AFAF89-EE43-476C-BEF4-28DA2A3124A6}" type="pres">
      <dgm:prSet presAssocID="{FBF5F140-BF82-4F98-8551-69DCFE5F7DC8}" presName="extraNode" presStyleLbl="node1" presStyleIdx="0" presStyleCnt="4"/>
      <dgm:spPr/>
    </dgm:pt>
    <dgm:pt modelId="{213B1AB0-4260-4B91-99A4-070CA205F2DE}" type="pres">
      <dgm:prSet presAssocID="{FBF5F140-BF82-4F98-8551-69DCFE5F7DC8}" presName="dstNode" presStyleLbl="node1" presStyleIdx="0" presStyleCnt="4"/>
      <dgm:spPr/>
    </dgm:pt>
    <dgm:pt modelId="{86B5162C-71FB-4ECA-B016-4C51A5E0BA6E}" type="pres">
      <dgm:prSet presAssocID="{08698D40-C8E2-48DB-ACB8-E4645A48A765}" presName="text_1" presStyleLbl="node1" presStyleIdx="0" presStyleCnt="4">
        <dgm:presLayoutVars>
          <dgm:bulletEnabled val="1"/>
        </dgm:presLayoutVars>
      </dgm:prSet>
      <dgm:spPr/>
    </dgm:pt>
    <dgm:pt modelId="{B84AE413-A6BA-4AA4-9B96-F522F147B290}" type="pres">
      <dgm:prSet presAssocID="{08698D40-C8E2-48DB-ACB8-E4645A48A765}" presName="accent_1" presStyleCnt="0"/>
      <dgm:spPr/>
    </dgm:pt>
    <dgm:pt modelId="{9919267A-B0BA-49F9-8121-042144C5D4BA}" type="pres">
      <dgm:prSet presAssocID="{08698D40-C8E2-48DB-ACB8-E4645A48A765}" presName="accentRepeatNode" presStyleLbl="solidFgAcc1" presStyleIdx="0" presStyleCnt="4"/>
      <dgm:spPr>
        <a:solidFill>
          <a:schemeClr val="accent2">
            <a:lumMod val="60000"/>
            <a:lumOff val="40000"/>
          </a:schemeClr>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1" tooltip="Probabilidades"/>
          </dgm14:cNvPr>
        </a:ext>
      </dgm:extLst>
    </dgm:pt>
    <dgm:pt modelId="{90EEF90B-22E1-4E94-BEFF-42F9D0023BC9}" type="pres">
      <dgm:prSet presAssocID="{968EB148-F2FD-40B7-A2BF-F8CFCF9D6806}" presName="text_2" presStyleLbl="node1" presStyleIdx="1" presStyleCnt="4">
        <dgm:presLayoutVars>
          <dgm:bulletEnabled val="1"/>
        </dgm:presLayoutVars>
      </dgm:prSet>
      <dgm:spPr/>
    </dgm:pt>
    <dgm:pt modelId="{77428548-A0EA-457A-996A-80FFDEC14952}" type="pres">
      <dgm:prSet presAssocID="{968EB148-F2FD-40B7-A2BF-F8CFCF9D6806}" presName="accent_2" presStyleCnt="0"/>
      <dgm:spPr/>
    </dgm:pt>
    <dgm:pt modelId="{70CEED61-2E0B-4542-AE07-99C107522FB3}" type="pres">
      <dgm:prSet presAssocID="{968EB148-F2FD-40B7-A2BF-F8CFCF9D6806}" presName="accentRepeatNode" presStyleLbl="solidFgAcc1" presStyleIdx="1" presStyleCnt="4"/>
      <dgm:spPr>
        <a:solidFill>
          <a:srgbClr val="FFFF66"/>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2" tooltip="Simulador de sorteos"/>
          </dgm14:cNvPr>
        </a:ext>
      </dgm:extLst>
    </dgm:pt>
    <dgm:pt modelId="{802220A5-D817-4BF9-BCAB-37509A7C486A}" type="pres">
      <dgm:prSet presAssocID="{5E8087E2-D27F-4FF9-A499-2E646854B85F}" presName="text_3" presStyleLbl="node1" presStyleIdx="2" presStyleCnt="4">
        <dgm:presLayoutVars>
          <dgm:bulletEnabled val="1"/>
        </dgm:presLayoutVars>
      </dgm:prSet>
      <dgm:spPr/>
    </dgm:pt>
    <dgm:pt modelId="{F79B52AC-F313-4024-A171-15C837CB3C64}" type="pres">
      <dgm:prSet presAssocID="{5E8087E2-D27F-4FF9-A499-2E646854B85F}" presName="accent_3" presStyleCnt="0"/>
      <dgm:spPr/>
    </dgm:pt>
    <dgm:pt modelId="{385FD7A0-D34D-4BD5-A7C1-4CC7C728A6FB}" type="pres">
      <dgm:prSet presAssocID="{5E8087E2-D27F-4FF9-A499-2E646854B85F}" presName="accentRepeatNode" presStyleLbl="solidFgAcc1" presStyleIdx="2" presStyleCnt="4"/>
      <dgm:spPr>
        <a:solidFill>
          <a:srgbClr val="6699FF"/>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3" tooltip="Temario"/>
          </dgm14:cNvPr>
        </a:ext>
      </dgm:extLst>
    </dgm:pt>
    <dgm:pt modelId="{4E816D31-1116-4D9F-B147-614F3DD02DC8}" type="pres">
      <dgm:prSet presAssocID="{1C9265AD-CF71-4F14-B197-5012C52D3730}" presName="text_4" presStyleLbl="node1" presStyleIdx="3" presStyleCnt="4">
        <dgm:presLayoutVars>
          <dgm:bulletEnabled val="1"/>
        </dgm:presLayoutVars>
      </dgm:prSet>
      <dgm:spPr/>
    </dgm:pt>
    <dgm:pt modelId="{D49A5F35-D006-41C2-AA3F-5D886DF086BD}" type="pres">
      <dgm:prSet presAssocID="{1C9265AD-CF71-4F14-B197-5012C52D3730}" presName="accent_4" presStyleCnt="0"/>
      <dgm:spPr/>
    </dgm:pt>
    <dgm:pt modelId="{C47B4B03-23FE-4ABE-91DB-AD8438067340}" type="pres">
      <dgm:prSet presAssocID="{1C9265AD-CF71-4F14-B197-5012C52D3730}" presName="accentRepeatNode" presStyleLbl="solidFgAcc1" presStyleIdx="3" presStyleCnt="4"/>
      <dgm:spPr>
        <a:solidFill>
          <a:srgbClr val="FF7C80"/>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4" tooltip="Organización del estudio"/>
          </dgm14:cNvPr>
        </a:ext>
      </dgm:extLst>
    </dgm:pt>
  </dgm:ptLst>
  <dgm:cxnLst>
    <dgm:cxn modelId="{167A3101-0490-402C-95F9-062A71C0B2A6}" srcId="{FBF5F140-BF82-4F98-8551-69DCFE5F7DC8}" destId="{968EB148-F2FD-40B7-A2BF-F8CFCF9D6806}" srcOrd="1" destOrd="0" parTransId="{12952ECD-811A-4722-B9FC-CCE3C1FDFD6F}" sibTransId="{FD20F2DD-4B51-44F0-98E4-CF186C503750}"/>
    <dgm:cxn modelId="{F629A20B-3E00-4900-85AC-939E3A848268}" srcId="{FBF5F140-BF82-4F98-8551-69DCFE5F7DC8}" destId="{08698D40-C8E2-48DB-ACB8-E4645A48A765}" srcOrd="0" destOrd="0" parTransId="{0CCCA727-47A2-4E52-B886-F42A7EE22138}" sibTransId="{39FB1892-EC54-4EBF-8413-848A879F8D2B}"/>
    <dgm:cxn modelId="{48A33A2F-8C30-4FD6-BF86-BF00D8723889}" type="presOf" srcId="{968EB148-F2FD-40B7-A2BF-F8CFCF9D6806}" destId="{90EEF90B-22E1-4E94-BEFF-42F9D0023BC9}" srcOrd="0" destOrd="0" presId="urn:microsoft.com/office/officeart/2008/layout/VerticalCurvedList"/>
    <dgm:cxn modelId="{41493C80-CCBF-4D45-ACCE-7BF49FBD6FE3}" type="presOf" srcId="{1C9265AD-CF71-4F14-B197-5012C52D3730}" destId="{4E816D31-1116-4D9F-B147-614F3DD02DC8}" srcOrd="0" destOrd="0" presId="urn:microsoft.com/office/officeart/2008/layout/VerticalCurvedList"/>
    <dgm:cxn modelId="{27F02986-2F4A-4789-A5AC-E8793838DB29}" srcId="{FBF5F140-BF82-4F98-8551-69DCFE5F7DC8}" destId="{1C9265AD-CF71-4F14-B197-5012C52D3730}" srcOrd="3" destOrd="0" parTransId="{B976AC73-8C80-4613-A228-221EC486F509}" sibTransId="{6C3AA9E3-CA56-4AAD-B5FC-8B3EDC439A04}"/>
    <dgm:cxn modelId="{08936992-8DE0-41C0-A4FC-67441840D29A}" srcId="{FBF5F140-BF82-4F98-8551-69DCFE5F7DC8}" destId="{5E8087E2-D27F-4FF9-A499-2E646854B85F}" srcOrd="2" destOrd="0" parTransId="{27E298C8-34BA-4959-BF32-8A3849843702}" sibTransId="{A6CBAB18-0FDF-4988-BE56-8AB6DA2EE495}"/>
    <dgm:cxn modelId="{5DEEC3BB-11A1-4263-B0E5-5AF94652FE12}" type="presOf" srcId="{5E8087E2-D27F-4FF9-A499-2E646854B85F}" destId="{802220A5-D817-4BF9-BCAB-37509A7C486A}" srcOrd="0" destOrd="0" presId="urn:microsoft.com/office/officeart/2008/layout/VerticalCurvedList"/>
    <dgm:cxn modelId="{5DD89ED1-5BC3-4A3C-A981-610C10AE0F59}" type="presOf" srcId="{FBF5F140-BF82-4F98-8551-69DCFE5F7DC8}" destId="{B011D860-4A95-444F-B654-22C5105CBF87}" srcOrd="0" destOrd="0" presId="urn:microsoft.com/office/officeart/2008/layout/VerticalCurvedList"/>
    <dgm:cxn modelId="{3B3390E7-5516-40DD-AC3E-84014E5BFD43}" type="presOf" srcId="{08698D40-C8E2-48DB-ACB8-E4645A48A765}" destId="{86B5162C-71FB-4ECA-B016-4C51A5E0BA6E}" srcOrd="0" destOrd="0" presId="urn:microsoft.com/office/officeart/2008/layout/VerticalCurvedList"/>
    <dgm:cxn modelId="{D1B9E9EB-C947-4858-B1C6-4E2D8EFFC0DA}" type="presOf" srcId="{39FB1892-EC54-4EBF-8413-848A879F8D2B}" destId="{D927B915-A6E4-4E2E-9F07-F0EDB36A9A01}" srcOrd="0" destOrd="0" presId="urn:microsoft.com/office/officeart/2008/layout/VerticalCurvedList"/>
    <dgm:cxn modelId="{1B45A59F-31AB-4B51-B76C-DE95F3E93736}" type="presParOf" srcId="{B011D860-4A95-444F-B654-22C5105CBF87}" destId="{78010940-34C1-4164-B47B-65C03D56EBEB}" srcOrd="0" destOrd="0" presId="urn:microsoft.com/office/officeart/2008/layout/VerticalCurvedList"/>
    <dgm:cxn modelId="{A16C3D11-0197-4B60-BB75-399DD59BA894}" type="presParOf" srcId="{78010940-34C1-4164-B47B-65C03D56EBEB}" destId="{E1B2A18F-AD42-418D-B47E-C09A1348CFF1}" srcOrd="0" destOrd="0" presId="urn:microsoft.com/office/officeart/2008/layout/VerticalCurvedList"/>
    <dgm:cxn modelId="{8E2B94F6-BD05-41D1-9266-07E2E339941C}" type="presParOf" srcId="{E1B2A18F-AD42-418D-B47E-C09A1348CFF1}" destId="{DEE63901-A22A-4778-B295-E8DEB2BF662C}" srcOrd="0" destOrd="0" presId="urn:microsoft.com/office/officeart/2008/layout/VerticalCurvedList"/>
    <dgm:cxn modelId="{FFED4F25-5A15-4D84-AC33-03118A978E66}" type="presParOf" srcId="{E1B2A18F-AD42-418D-B47E-C09A1348CFF1}" destId="{D927B915-A6E4-4E2E-9F07-F0EDB36A9A01}" srcOrd="1" destOrd="0" presId="urn:microsoft.com/office/officeart/2008/layout/VerticalCurvedList"/>
    <dgm:cxn modelId="{27518E0A-8E9D-4E7F-9537-067DAB219ECF}" type="presParOf" srcId="{E1B2A18F-AD42-418D-B47E-C09A1348CFF1}" destId="{B2AFAF89-EE43-476C-BEF4-28DA2A3124A6}" srcOrd="2" destOrd="0" presId="urn:microsoft.com/office/officeart/2008/layout/VerticalCurvedList"/>
    <dgm:cxn modelId="{4DF02AEF-37EC-4829-9193-191AE9B48AC4}" type="presParOf" srcId="{E1B2A18F-AD42-418D-B47E-C09A1348CFF1}" destId="{213B1AB0-4260-4B91-99A4-070CA205F2DE}" srcOrd="3" destOrd="0" presId="urn:microsoft.com/office/officeart/2008/layout/VerticalCurvedList"/>
    <dgm:cxn modelId="{D344DAA4-0365-465E-A4BB-58F5BB13748D}" type="presParOf" srcId="{78010940-34C1-4164-B47B-65C03D56EBEB}" destId="{86B5162C-71FB-4ECA-B016-4C51A5E0BA6E}" srcOrd="1" destOrd="0" presId="urn:microsoft.com/office/officeart/2008/layout/VerticalCurvedList"/>
    <dgm:cxn modelId="{25352BCF-B9D4-4294-A672-658E60FD863B}" type="presParOf" srcId="{78010940-34C1-4164-B47B-65C03D56EBEB}" destId="{B84AE413-A6BA-4AA4-9B96-F522F147B290}" srcOrd="2" destOrd="0" presId="urn:microsoft.com/office/officeart/2008/layout/VerticalCurvedList"/>
    <dgm:cxn modelId="{E2A67055-B47B-4EE5-AE82-BDFCA5CB6D00}" type="presParOf" srcId="{B84AE413-A6BA-4AA4-9B96-F522F147B290}" destId="{9919267A-B0BA-49F9-8121-042144C5D4BA}" srcOrd="0" destOrd="0" presId="urn:microsoft.com/office/officeart/2008/layout/VerticalCurvedList"/>
    <dgm:cxn modelId="{3365DF06-CB51-4B38-8E69-DA6638CB4280}" type="presParOf" srcId="{78010940-34C1-4164-B47B-65C03D56EBEB}" destId="{90EEF90B-22E1-4E94-BEFF-42F9D0023BC9}" srcOrd="3" destOrd="0" presId="urn:microsoft.com/office/officeart/2008/layout/VerticalCurvedList"/>
    <dgm:cxn modelId="{42D73341-E359-4428-AD19-C5BCB71F9FA0}" type="presParOf" srcId="{78010940-34C1-4164-B47B-65C03D56EBEB}" destId="{77428548-A0EA-457A-996A-80FFDEC14952}" srcOrd="4" destOrd="0" presId="urn:microsoft.com/office/officeart/2008/layout/VerticalCurvedList"/>
    <dgm:cxn modelId="{80E89C78-83F7-4957-B83B-67262974E137}" type="presParOf" srcId="{77428548-A0EA-457A-996A-80FFDEC14952}" destId="{70CEED61-2E0B-4542-AE07-99C107522FB3}" srcOrd="0" destOrd="0" presId="urn:microsoft.com/office/officeart/2008/layout/VerticalCurvedList"/>
    <dgm:cxn modelId="{5FE2E948-06F9-4ACF-A008-AE973042F50D}" type="presParOf" srcId="{78010940-34C1-4164-B47B-65C03D56EBEB}" destId="{802220A5-D817-4BF9-BCAB-37509A7C486A}" srcOrd="5" destOrd="0" presId="urn:microsoft.com/office/officeart/2008/layout/VerticalCurvedList"/>
    <dgm:cxn modelId="{88763AA9-B6C7-413F-841D-4289342B1C18}" type="presParOf" srcId="{78010940-34C1-4164-B47B-65C03D56EBEB}" destId="{F79B52AC-F313-4024-A171-15C837CB3C64}" srcOrd="6" destOrd="0" presId="urn:microsoft.com/office/officeart/2008/layout/VerticalCurvedList"/>
    <dgm:cxn modelId="{F49CACF1-62A5-4897-A932-124EEE7313E6}" type="presParOf" srcId="{F79B52AC-F313-4024-A171-15C837CB3C64}" destId="{385FD7A0-D34D-4BD5-A7C1-4CC7C728A6FB}" srcOrd="0" destOrd="0" presId="urn:microsoft.com/office/officeart/2008/layout/VerticalCurvedList"/>
    <dgm:cxn modelId="{911631E4-A45A-4060-86C4-880AA45BC024}" type="presParOf" srcId="{78010940-34C1-4164-B47B-65C03D56EBEB}" destId="{4E816D31-1116-4D9F-B147-614F3DD02DC8}" srcOrd="7" destOrd="0" presId="urn:microsoft.com/office/officeart/2008/layout/VerticalCurvedList"/>
    <dgm:cxn modelId="{FBCB6194-4764-4B88-A267-DF43F6E5BA3C}" type="presParOf" srcId="{78010940-34C1-4164-B47B-65C03D56EBEB}" destId="{D49A5F35-D006-41C2-AA3F-5D886DF086BD}" srcOrd="8" destOrd="0" presId="urn:microsoft.com/office/officeart/2008/layout/VerticalCurvedList"/>
    <dgm:cxn modelId="{05DDA716-B36B-444B-9076-88386BE86F72}" type="presParOf" srcId="{D49A5F35-D006-41C2-AA3F-5D886DF086BD}" destId="{C47B4B03-23FE-4ABE-91DB-AD8438067340}" srcOrd="0" destOrd="0" presId="urn:microsoft.com/office/officeart/2008/layout/VerticalCurvedLis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FBF5F140-BF82-4F98-8551-69DCFE5F7DC8}" type="doc">
      <dgm:prSet loTypeId="urn:microsoft.com/office/officeart/2008/layout/VerticalCurvedList" loCatId="list" qsTypeId="urn:microsoft.com/office/officeart/2005/8/quickstyle/simple1" qsCatId="simple" csTypeId="urn:microsoft.com/office/officeart/2005/8/colors/accent1_2" csCatId="accent1" phldr="1"/>
      <dgm:spPr/>
      <dgm:t>
        <a:bodyPr/>
        <a:lstStyle/>
        <a:p>
          <a:endParaRPr lang="es-ES"/>
        </a:p>
      </dgm:t>
    </dgm:pt>
    <dgm:pt modelId="{5E8087E2-D27F-4FF9-A499-2E646854B85F}">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Tercer Ejercicio</a:t>
          </a:r>
        </a:p>
      </dgm:t>
      <dgm:extLst>
        <a:ext uri="{E40237B7-FDA0-4F09-8148-C483321AD2D9}">
          <dgm14:cNvPr xmlns:dgm14="http://schemas.microsoft.com/office/drawing/2010/diagram" id="0" name="">
            <a:hlinkClick xmlns:r="http://schemas.openxmlformats.org/officeDocument/2006/relationships" r:id="rId1"/>
          </dgm14:cNvPr>
        </a:ext>
      </dgm:extLst>
    </dgm:pt>
    <dgm:pt modelId="{27E298C8-34BA-4959-BF32-8A3849843702}" type="parTrans" cxnId="{08936992-8DE0-41C0-A4FC-67441840D29A}">
      <dgm:prSet/>
      <dgm:spPr/>
      <dgm:t>
        <a:bodyPr/>
        <a:lstStyle/>
        <a:p>
          <a:endParaRPr lang="es-ES">
            <a:latin typeface="Abadi Extra Light" panose="020B0204020104020204" pitchFamily="34" charset="0"/>
          </a:endParaRPr>
        </a:p>
      </dgm:t>
    </dgm:pt>
    <dgm:pt modelId="{A6CBAB18-0FDF-4988-BE56-8AB6DA2EE495}" type="sibTrans" cxnId="{08936992-8DE0-41C0-A4FC-67441840D29A}">
      <dgm:prSet/>
      <dgm:spPr/>
      <dgm:t>
        <a:bodyPr/>
        <a:lstStyle/>
        <a:p>
          <a:endParaRPr lang="es-ES">
            <a:latin typeface="Abadi Extra Light" panose="020B0204020104020204" pitchFamily="34" charset="0"/>
          </a:endParaRPr>
        </a:p>
      </dgm:t>
    </dgm:pt>
    <dgm:pt modelId="{1C9265AD-CF71-4F14-B197-5012C52D3730}">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Cuarto Ejercicio</a:t>
          </a:r>
        </a:p>
      </dgm:t>
      <dgm:extLst>
        <a:ext uri="{E40237B7-FDA0-4F09-8148-C483321AD2D9}">
          <dgm14:cNvPr xmlns:dgm14="http://schemas.microsoft.com/office/drawing/2010/diagram" id="0" name="">
            <a:hlinkClick xmlns:r="http://schemas.openxmlformats.org/officeDocument/2006/relationships" r:id="rId2" tooltip="Cuarto Ejercicio"/>
          </dgm14:cNvPr>
        </a:ext>
      </dgm:extLst>
    </dgm:pt>
    <dgm:pt modelId="{B976AC73-8C80-4613-A228-221EC486F509}" type="parTrans" cxnId="{27F02986-2F4A-4789-A5AC-E8793838DB29}">
      <dgm:prSet/>
      <dgm:spPr/>
      <dgm:t>
        <a:bodyPr/>
        <a:lstStyle/>
        <a:p>
          <a:endParaRPr lang="es-ES"/>
        </a:p>
      </dgm:t>
    </dgm:pt>
    <dgm:pt modelId="{6C3AA9E3-CA56-4AAD-B5FC-8B3EDC439A04}" type="sibTrans" cxnId="{27F02986-2F4A-4789-A5AC-E8793838DB29}">
      <dgm:prSet/>
      <dgm:spPr/>
      <dgm:t>
        <a:bodyPr/>
        <a:lstStyle/>
        <a:p>
          <a:endParaRPr lang="es-ES"/>
        </a:p>
      </dgm:t>
    </dgm:pt>
    <dgm:pt modelId="{09D8CCB6-279B-44F4-BEA3-1C1A604FB2AD}">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Quinto Ejercicio</a:t>
          </a:r>
        </a:p>
      </dgm:t>
      <dgm:extLst>
        <a:ext uri="{E40237B7-FDA0-4F09-8148-C483321AD2D9}">
          <dgm14:cNvPr xmlns:dgm14="http://schemas.microsoft.com/office/drawing/2010/diagram" id="0" name="">
            <a:hlinkClick xmlns:r="http://schemas.openxmlformats.org/officeDocument/2006/relationships" r:id="rId3" tooltip="Quinto Ejercicio"/>
          </dgm14:cNvPr>
        </a:ext>
      </dgm:extLst>
    </dgm:pt>
    <dgm:pt modelId="{E8F7D026-B853-4D67-BE21-60FF615E5BBA}" type="parTrans" cxnId="{2EFA55DD-CEAC-4A36-9E03-F8E20C3AE547}">
      <dgm:prSet/>
      <dgm:spPr/>
      <dgm:t>
        <a:bodyPr/>
        <a:lstStyle/>
        <a:p>
          <a:endParaRPr lang="es-ES"/>
        </a:p>
      </dgm:t>
    </dgm:pt>
    <dgm:pt modelId="{B1723B02-70CF-40D9-A8E0-9B6AA1C6BBA1}" type="sibTrans" cxnId="{2EFA55DD-CEAC-4A36-9E03-F8E20C3AE547}">
      <dgm:prSet/>
      <dgm:spPr/>
      <dgm:t>
        <a:bodyPr/>
        <a:lstStyle/>
        <a:p>
          <a:endParaRPr lang="es-ES"/>
        </a:p>
      </dgm:t>
    </dgm:pt>
    <dgm:pt modelId="{B8E2DFEB-D269-46EF-AD55-B8C399A1D295}">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Probabilidad total</a:t>
          </a:r>
        </a:p>
      </dgm:t>
      <dgm:extLst>
        <a:ext uri="{E40237B7-FDA0-4F09-8148-C483321AD2D9}">
          <dgm14:cNvPr xmlns:dgm14="http://schemas.microsoft.com/office/drawing/2010/diagram" id="0" name="">
            <a:hlinkClick xmlns:r="http://schemas.openxmlformats.org/officeDocument/2006/relationships" r:id="rId4" tooltip="Probabilidad total"/>
          </dgm14:cNvPr>
        </a:ext>
      </dgm:extLst>
    </dgm:pt>
    <dgm:pt modelId="{D58A3E39-CA3A-44B7-8981-CCC96D062F01}" type="parTrans" cxnId="{8753A9D9-4184-40B3-BD15-30CE526B014C}">
      <dgm:prSet/>
      <dgm:spPr/>
      <dgm:t>
        <a:bodyPr/>
        <a:lstStyle/>
        <a:p>
          <a:endParaRPr lang="es-ES"/>
        </a:p>
      </dgm:t>
    </dgm:pt>
    <dgm:pt modelId="{FAB1F00A-A810-4800-82E9-E6B6F4AF154B}" type="sibTrans" cxnId="{8753A9D9-4184-40B3-BD15-30CE526B014C}">
      <dgm:prSet/>
      <dgm:spPr/>
      <dgm:t>
        <a:bodyPr/>
        <a:lstStyle/>
        <a:p>
          <a:endParaRPr lang="es-ES"/>
        </a:p>
      </dgm:t>
    </dgm:pt>
    <dgm:pt modelId="{B011D860-4A95-444F-B654-22C5105CBF87}" type="pres">
      <dgm:prSet presAssocID="{FBF5F140-BF82-4F98-8551-69DCFE5F7DC8}" presName="Name0" presStyleCnt="0">
        <dgm:presLayoutVars>
          <dgm:chMax val="7"/>
          <dgm:chPref val="7"/>
          <dgm:dir/>
        </dgm:presLayoutVars>
      </dgm:prSet>
      <dgm:spPr/>
    </dgm:pt>
    <dgm:pt modelId="{78010940-34C1-4164-B47B-65C03D56EBEB}" type="pres">
      <dgm:prSet presAssocID="{FBF5F140-BF82-4F98-8551-69DCFE5F7DC8}" presName="Name1" presStyleCnt="0"/>
      <dgm:spPr/>
    </dgm:pt>
    <dgm:pt modelId="{E1B2A18F-AD42-418D-B47E-C09A1348CFF1}" type="pres">
      <dgm:prSet presAssocID="{FBF5F140-BF82-4F98-8551-69DCFE5F7DC8}" presName="cycle" presStyleCnt="0"/>
      <dgm:spPr/>
    </dgm:pt>
    <dgm:pt modelId="{DEE63901-A22A-4778-B295-E8DEB2BF662C}" type="pres">
      <dgm:prSet presAssocID="{FBF5F140-BF82-4F98-8551-69DCFE5F7DC8}" presName="srcNode" presStyleLbl="node1" presStyleIdx="0" presStyleCnt="4"/>
      <dgm:spPr/>
    </dgm:pt>
    <dgm:pt modelId="{D927B915-A6E4-4E2E-9F07-F0EDB36A9A01}" type="pres">
      <dgm:prSet presAssocID="{FBF5F140-BF82-4F98-8551-69DCFE5F7DC8}" presName="conn" presStyleLbl="parChTrans1D2" presStyleIdx="0" presStyleCnt="1"/>
      <dgm:spPr/>
    </dgm:pt>
    <dgm:pt modelId="{B2AFAF89-EE43-476C-BEF4-28DA2A3124A6}" type="pres">
      <dgm:prSet presAssocID="{FBF5F140-BF82-4F98-8551-69DCFE5F7DC8}" presName="extraNode" presStyleLbl="node1" presStyleIdx="0" presStyleCnt="4"/>
      <dgm:spPr/>
    </dgm:pt>
    <dgm:pt modelId="{213B1AB0-4260-4B91-99A4-070CA205F2DE}" type="pres">
      <dgm:prSet presAssocID="{FBF5F140-BF82-4F98-8551-69DCFE5F7DC8}" presName="dstNode" presStyleLbl="node1" presStyleIdx="0" presStyleCnt="4"/>
      <dgm:spPr/>
    </dgm:pt>
    <dgm:pt modelId="{15590FE2-78BE-4A66-8858-C865CE0254AC}" type="pres">
      <dgm:prSet presAssocID="{5E8087E2-D27F-4FF9-A499-2E646854B85F}" presName="text_1" presStyleLbl="node1" presStyleIdx="0" presStyleCnt="4">
        <dgm:presLayoutVars>
          <dgm:bulletEnabled val="1"/>
        </dgm:presLayoutVars>
      </dgm:prSet>
      <dgm:spPr/>
    </dgm:pt>
    <dgm:pt modelId="{4CE02E85-B4EF-4F7A-B590-9F3C47FAE524}" type="pres">
      <dgm:prSet presAssocID="{5E8087E2-D27F-4FF9-A499-2E646854B85F}" presName="accent_1" presStyleCnt="0"/>
      <dgm:spPr/>
    </dgm:pt>
    <dgm:pt modelId="{385FD7A0-D34D-4BD5-A7C1-4CC7C728A6FB}" type="pres">
      <dgm:prSet presAssocID="{5E8087E2-D27F-4FF9-A499-2E646854B85F}" presName="accentRepeatNode" presStyleLbl="solidFgAcc1" presStyleIdx="0" presStyleCnt="4"/>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1" tooltip="Tercer Ejercicio"/>
          </dgm14:cNvPr>
        </a:ext>
      </dgm:extLst>
    </dgm:pt>
    <dgm:pt modelId="{9E87C0A3-09F0-49D1-98C2-E0EE95557A15}" type="pres">
      <dgm:prSet presAssocID="{1C9265AD-CF71-4F14-B197-5012C52D3730}" presName="text_2" presStyleLbl="node1" presStyleIdx="1" presStyleCnt="4">
        <dgm:presLayoutVars>
          <dgm:bulletEnabled val="1"/>
        </dgm:presLayoutVars>
      </dgm:prSet>
      <dgm:spPr/>
    </dgm:pt>
    <dgm:pt modelId="{2B314738-6C2E-464E-A1B2-DEDB95E07C02}" type="pres">
      <dgm:prSet presAssocID="{1C9265AD-CF71-4F14-B197-5012C52D3730}" presName="accent_2" presStyleCnt="0"/>
      <dgm:spPr/>
    </dgm:pt>
    <dgm:pt modelId="{C47B4B03-23FE-4ABE-91DB-AD8438067340}" type="pres">
      <dgm:prSet presAssocID="{1C9265AD-CF71-4F14-B197-5012C52D3730}" presName="accentRepeatNode" presStyleLbl="solidFgAcc1" presStyleIdx="1" presStyleCnt="4"/>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2" tooltip="Cuarto Ejercicio"/>
          </dgm14:cNvPr>
        </a:ext>
      </dgm:extLst>
    </dgm:pt>
    <dgm:pt modelId="{9542ECEE-BCED-4621-934B-CC3828007C65}" type="pres">
      <dgm:prSet presAssocID="{09D8CCB6-279B-44F4-BEA3-1C1A604FB2AD}" presName="text_3" presStyleLbl="node1" presStyleIdx="2" presStyleCnt="4">
        <dgm:presLayoutVars>
          <dgm:bulletEnabled val="1"/>
        </dgm:presLayoutVars>
      </dgm:prSet>
      <dgm:spPr/>
    </dgm:pt>
    <dgm:pt modelId="{26CA6C2E-7D20-4270-9153-9D9E90D0C4C7}" type="pres">
      <dgm:prSet presAssocID="{09D8CCB6-279B-44F4-BEA3-1C1A604FB2AD}" presName="accent_3" presStyleCnt="0"/>
      <dgm:spPr/>
    </dgm:pt>
    <dgm:pt modelId="{C0894AB5-4989-456B-98B9-C87EAB176388}" type="pres">
      <dgm:prSet presAssocID="{09D8CCB6-279B-44F4-BEA3-1C1A604FB2AD}" presName="accentRepeatNode" presStyleLbl="solidFgAcc1" presStyleIdx="2" presStyleCnt="4"/>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3" tooltip="Quinto Ejercicio"/>
          </dgm14:cNvPr>
        </a:ext>
      </dgm:extLst>
    </dgm:pt>
    <dgm:pt modelId="{AB7BACF0-1B59-4101-926F-CA9B768EBAEA}" type="pres">
      <dgm:prSet presAssocID="{B8E2DFEB-D269-46EF-AD55-B8C399A1D295}" presName="text_4" presStyleLbl="node1" presStyleIdx="3" presStyleCnt="4">
        <dgm:presLayoutVars>
          <dgm:bulletEnabled val="1"/>
        </dgm:presLayoutVars>
      </dgm:prSet>
      <dgm:spPr/>
    </dgm:pt>
    <dgm:pt modelId="{BF9AD910-BEC3-4846-A3F8-C142916EE68E}" type="pres">
      <dgm:prSet presAssocID="{B8E2DFEB-D269-46EF-AD55-B8C399A1D295}" presName="accent_4" presStyleCnt="0"/>
      <dgm:spPr/>
    </dgm:pt>
    <dgm:pt modelId="{97F9E097-A093-4D59-888B-EAF3D532B784}" type="pres">
      <dgm:prSet presAssocID="{B8E2DFEB-D269-46EF-AD55-B8C399A1D295}" presName="accentRepeatNode" presStyleLbl="solidFgAcc1" presStyleIdx="3" presStyleCnt="4"/>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4" tooltip="Probabilidad total"/>
          </dgm14:cNvPr>
        </a:ext>
      </dgm:extLst>
    </dgm:pt>
  </dgm:ptLst>
  <dgm:cxnLst>
    <dgm:cxn modelId="{9F75A400-63F4-4BA9-8CBC-9941798F03DA}" type="presOf" srcId="{1C9265AD-CF71-4F14-B197-5012C52D3730}" destId="{9E87C0A3-09F0-49D1-98C2-E0EE95557A15}" srcOrd="0" destOrd="0" presId="urn:microsoft.com/office/officeart/2008/layout/VerticalCurvedList"/>
    <dgm:cxn modelId="{092DC609-2567-44D7-825C-A359AD042066}" type="presOf" srcId="{B8E2DFEB-D269-46EF-AD55-B8C399A1D295}" destId="{AB7BACF0-1B59-4101-926F-CA9B768EBAEA}" srcOrd="0" destOrd="0" presId="urn:microsoft.com/office/officeart/2008/layout/VerticalCurvedList"/>
    <dgm:cxn modelId="{C514870D-419F-4A58-9959-3782C587A9B0}" type="presOf" srcId="{A6CBAB18-0FDF-4988-BE56-8AB6DA2EE495}" destId="{D927B915-A6E4-4E2E-9F07-F0EDB36A9A01}" srcOrd="0" destOrd="0" presId="urn:microsoft.com/office/officeart/2008/layout/VerticalCurvedList"/>
    <dgm:cxn modelId="{27F02986-2F4A-4789-A5AC-E8793838DB29}" srcId="{FBF5F140-BF82-4F98-8551-69DCFE5F7DC8}" destId="{1C9265AD-CF71-4F14-B197-5012C52D3730}" srcOrd="1" destOrd="0" parTransId="{B976AC73-8C80-4613-A228-221EC486F509}" sibTransId="{6C3AA9E3-CA56-4AAD-B5FC-8B3EDC439A04}"/>
    <dgm:cxn modelId="{08936992-8DE0-41C0-A4FC-67441840D29A}" srcId="{FBF5F140-BF82-4F98-8551-69DCFE5F7DC8}" destId="{5E8087E2-D27F-4FF9-A499-2E646854B85F}" srcOrd="0" destOrd="0" parTransId="{27E298C8-34BA-4959-BF32-8A3849843702}" sibTransId="{A6CBAB18-0FDF-4988-BE56-8AB6DA2EE495}"/>
    <dgm:cxn modelId="{4D16D593-9684-4EB0-8E88-941AA243ED7D}" type="presOf" srcId="{09D8CCB6-279B-44F4-BEA3-1C1A604FB2AD}" destId="{9542ECEE-BCED-4621-934B-CC3828007C65}" srcOrd="0" destOrd="0" presId="urn:microsoft.com/office/officeart/2008/layout/VerticalCurvedList"/>
    <dgm:cxn modelId="{A3C9FCB9-7210-4440-A8AE-69349258011B}" type="presOf" srcId="{5E8087E2-D27F-4FF9-A499-2E646854B85F}" destId="{15590FE2-78BE-4A66-8858-C865CE0254AC}" srcOrd="0" destOrd="0" presId="urn:microsoft.com/office/officeart/2008/layout/VerticalCurvedList"/>
    <dgm:cxn modelId="{5DD89ED1-5BC3-4A3C-A981-610C10AE0F59}" type="presOf" srcId="{FBF5F140-BF82-4F98-8551-69DCFE5F7DC8}" destId="{B011D860-4A95-444F-B654-22C5105CBF87}" srcOrd="0" destOrd="0" presId="urn:microsoft.com/office/officeart/2008/layout/VerticalCurvedList"/>
    <dgm:cxn modelId="{8753A9D9-4184-40B3-BD15-30CE526B014C}" srcId="{FBF5F140-BF82-4F98-8551-69DCFE5F7DC8}" destId="{B8E2DFEB-D269-46EF-AD55-B8C399A1D295}" srcOrd="3" destOrd="0" parTransId="{D58A3E39-CA3A-44B7-8981-CCC96D062F01}" sibTransId="{FAB1F00A-A810-4800-82E9-E6B6F4AF154B}"/>
    <dgm:cxn modelId="{2EFA55DD-CEAC-4A36-9E03-F8E20C3AE547}" srcId="{FBF5F140-BF82-4F98-8551-69DCFE5F7DC8}" destId="{09D8CCB6-279B-44F4-BEA3-1C1A604FB2AD}" srcOrd="2" destOrd="0" parTransId="{E8F7D026-B853-4D67-BE21-60FF615E5BBA}" sibTransId="{B1723B02-70CF-40D9-A8E0-9B6AA1C6BBA1}"/>
    <dgm:cxn modelId="{1B45A59F-31AB-4B51-B76C-DE95F3E93736}" type="presParOf" srcId="{B011D860-4A95-444F-B654-22C5105CBF87}" destId="{78010940-34C1-4164-B47B-65C03D56EBEB}" srcOrd="0" destOrd="0" presId="urn:microsoft.com/office/officeart/2008/layout/VerticalCurvedList"/>
    <dgm:cxn modelId="{A16C3D11-0197-4B60-BB75-399DD59BA894}" type="presParOf" srcId="{78010940-34C1-4164-B47B-65C03D56EBEB}" destId="{E1B2A18F-AD42-418D-B47E-C09A1348CFF1}" srcOrd="0" destOrd="0" presId="urn:microsoft.com/office/officeart/2008/layout/VerticalCurvedList"/>
    <dgm:cxn modelId="{8E2B94F6-BD05-41D1-9266-07E2E339941C}" type="presParOf" srcId="{E1B2A18F-AD42-418D-B47E-C09A1348CFF1}" destId="{DEE63901-A22A-4778-B295-E8DEB2BF662C}" srcOrd="0" destOrd="0" presId="urn:microsoft.com/office/officeart/2008/layout/VerticalCurvedList"/>
    <dgm:cxn modelId="{FFED4F25-5A15-4D84-AC33-03118A978E66}" type="presParOf" srcId="{E1B2A18F-AD42-418D-B47E-C09A1348CFF1}" destId="{D927B915-A6E4-4E2E-9F07-F0EDB36A9A01}" srcOrd="1" destOrd="0" presId="urn:microsoft.com/office/officeart/2008/layout/VerticalCurvedList"/>
    <dgm:cxn modelId="{27518E0A-8E9D-4E7F-9537-067DAB219ECF}" type="presParOf" srcId="{E1B2A18F-AD42-418D-B47E-C09A1348CFF1}" destId="{B2AFAF89-EE43-476C-BEF4-28DA2A3124A6}" srcOrd="2" destOrd="0" presId="urn:microsoft.com/office/officeart/2008/layout/VerticalCurvedList"/>
    <dgm:cxn modelId="{4DF02AEF-37EC-4829-9193-191AE9B48AC4}" type="presParOf" srcId="{E1B2A18F-AD42-418D-B47E-C09A1348CFF1}" destId="{213B1AB0-4260-4B91-99A4-070CA205F2DE}" srcOrd="3" destOrd="0" presId="urn:microsoft.com/office/officeart/2008/layout/VerticalCurvedList"/>
    <dgm:cxn modelId="{1D489B8B-1EA8-4CAF-A0F0-DD21B383FF9B}" type="presParOf" srcId="{78010940-34C1-4164-B47B-65C03D56EBEB}" destId="{15590FE2-78BE-4A66-8858-C865CE0254AC}" srcOrd="1" destOrd="0" presId="urn:microsoft.com/office/officeart/2008/layout/VerticalCurvedList"/>
    <dgm:cxn modelId="{6CC2E031-F6FF-436A-8097-A9252FB28D03}" type="presParOf" srcId="{78010940-34C1-4164-B47B-65C03D56EBEB}" destId="{4CE02E85-B4EF-4F7A-B590-9F3C47FAE524}" srcOrd="2" destOrd="0" presId="urn:microsoft.com/office/officeart/2008/layout/VerticalCurvedList"/>
    <dgm:cxn modelId="{AE713562-AC98-4F6D-9C82-070A060EF7B1}" type="presParOf" srcId="{4CE02E85-B4EF-4F7A-B590-9F3C47FAE524}" destId="{385FD7A0-D34D-4BD5-A7C1-4CC7C728A6FB}" srcOrd="0" destOrd="0" presId="urn:microsoft.com/office/officeart/2008/layout/VerticalCurvedList"/>
    <dgm:cxn modelId="{5144EEAA-DE81-4919-A967-E8A57A28D51A}" type="presParOf" srcId="{78010940-34C1-4164-B47B-65C03D56EBEB}" destId="{9E87C0A3-09F0-49D1-98C2-E0EE95557A15}" srcOrd="3" destOrd="0" presId="urn:microsoft.com/office/officeart/2008/layout/VerticalCurvedList"/>
    <dgm:cxn modelId="{E348F8F5-FC4D-43E0-8DC9-5B0F6A1DC992}" type="presParOf" srcId="{78010940-34C1-4164-B47B-65C03D56EBEB}" destId="{2B314738-6C2E-464E-A1B2-DEDB95E07C02}" srcOrd="4" destOrd="0" presId="urn:microsoft.com/office/officeart/2008/layout/VerticalCurvedList"/>
    <dgm:cxn modelId="{04CB2B4D-7051-41B6-93F8-92EC8086BB90}" type="presParOf" srcId="{2B314738-6C2E-464E-A1B2-DEDB95E07C02}" destId="{C47B4B03-23FE-4ABE-91DB-AD8438067340}" srcOrd="0" destOrd="0" presId="urn:microsoft.com/office/officeart/2008/layout/VerticalCurvedList"/>
    <dgm:cxn modelId="{766A396D-14CB-4491-91E0-3C473BAC14CD}" type="presParOf" srcId="{78010940-34C1-4164-B47B-65C03D56EBEB}" destId="{9542ECEE-BCED-4621-934B-CC3828007C65}" srcOrd="5" destOrd="0" presId="urn:microsoft.com/office/officeart/2008/layout/VerticalCurvedList"/>
    <dgm:cxn modelId="{E90E12F3-8826-4E3E-A8F8-5A3D1D193849}" type="presParOf" srcId="{78010940-34C1-4164-B47B-65C03D56EBEB}" destId="{26CA6C2E-7D20-4270-9153-9D9E90D0C4C7}" srcOrd="6" destOrd="0" presId="urn:microsoft.com/office/officeart/2008/layout/VerticalCurvedList"/>
    <dgm:cxn modelId="{1CD5D6D3-2FE7-4851-B098-54F6665D87B0}" type="presParOf" srcId="{26CA6C2E-7D20-4270-9153-9D9E90D0C4C7}" destId="{C0894AB5-4989-456B-98B9-C87EAB176388}" srcOrd="0" destOrd="0" presId="urn:microsoft.com/office/officeart/2008/layout/VerticalCurvedList"/>
    <dgm:cxn modelId="{ABE771FF-AFCB-4969-BBE0-84D3C841CA4B}" type="presParOf" srcId="{78010940-34C1-4164-B47B-65C03D56EBEB}" destId="{AB7BACF0-1B59-4101-926F-CA9B768EBAEA}" srcOrd="7" destOrd="0" presId="urn:microsoft.com/office/officeart/2008/layout/VerticalCurvedList"/>
    <dgm:cxn modelId="{829DDD2C-79DF-4BF8-980B-EC4BB14DC4AB}" type="presParOf" srcId="{78010940-34C1-4164-B47B-65C03D56EBEB}" destId="{BF9AD910-BEC3-4846-A3F8-C142916EE68E}" srcOrd="8" destOrd="0" presId="urn:microsoft.com/office/officeart/2008/layout/VerticalCurvedList"/>
    <dgm:cxn modelId="{5D1DC4F5-786B-454C-9C30-60186F69B77F}" type="presParOf" srcId="{BF9AD910-BEC3-4846-A3F8-C142916EE68E}" destId="{97F9E097-A093-4D59-888B-EAF3D532B784}" srcOrd="0" destOrd="0" presId="urn:microsoft.com/office/officeart/2008/layout/VerticalCurvedList"/>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FBF5F140-BF82-4F98-8551-69DCFE5F7DC8}" type="doc">
      <dgm:prSet loTypeId="urn:microsoft.com/office/officeart/2008/layout/VerticalCurvedList" loCatId="list" qsTypeId="urn:microsoft.com/office/officeart/2005/8/quickstyle/simple1" qsCatId="simple" csTypeId="urn:microsoft.com/office/officeart/2005/8/colors/accent1_2" csCatId="accent1" phldr="1"/>
      <dgm:spPr/>
      <dgm:t>
        <a:bodyPr/>
        <a:lstStyle/>
        <a:p>
          <a:endParaRPr lang="es-ES"/>
        </a:p>
      </dgm:t>
    </dgm:pt>
    <dgm:pt modelId="{08698D40-C8E2-48DB-ACB8-E4645A48A765}">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Simulador de sorteos</a:t>
          </a:r>
        </a:p>
      </dgm:t>
      <dgm:extLst>
        <a:ext uri="{E40237B7-FDA0-4F09-8148-C483321AD2D9}">
          <dgm14:cNvPr xmlns:dgm14="http://schemas.microsoft.com/office/drawing/2010/diagram" id="0" name="">
            <a:hlinkClick xmlns:r="http://schemas.openxmlformats.org/officeDocument/2006/relationships" r:id="rId1" tooltip="Primer ejercicio"/>
          </dgm14:cNvPr>
        </a:ext>
      </dgm:extLst>
    </dgm:pt>
    <dgm:pt modelId="{0CCCA727-47A2-4E52-B886-F42A7EE22138}" type="parTrans" cxnId="{F629A20B-3E00-4900-85AC-939E3A848268}">
      <dgm:prSet/>
      <dgm:spPr/>
      <dgm:t>
        <a:bodyPr/>
        <a:lstStyle/>
        <a:p>
          <a:endParaRPr lang="es-ES">
            <a:latin typeface="Abadi Extra Light" panose="020B0204020104020204" pitchFamily="34" charset="0"/>
          </a:endParaRPr>
        </a:p>
      </dgm:t>
    </dgm:pt>
    <dgm:pt modelId="{39FB1892-EC54-4EBF-8413-848A879F8D2B}" type="sibTrans" cxnId="{F629A20B-3E00-4900-85AC-939E3A848268}">
      <dgm:prSet/>
      <dgm:spPr>
        <a:solidFill>
          <a:schemeClr val="accent6">
            <a:lumMod val="20000"/>
            <a:lumOff val="80000"/>
          </a:schemeClr>
        </a:solidFill>
        <a:ln>
          <a:solidFill>
            <a:srgbClr val="5F2987"/>
          </a:solidFill>
        </a:ln>
      </dgm:spPr>
      <dgm:t>
        <a:bodyPr/>
        <a:lstStyle/>
        <a:p>
          <a:endParaRPr lang="es-ES">
            <a:latin typeface="Abadi Extra Light" panose="020B0204020104020204" pitchFamily="34" charset="0"/>
          </a:endParaRPr>
        </a:p>
      </dgm:t>
    </dgm:pt>
    <dgm:pt modelId="{B8E2DFEB-D269-46EF-AD55-B8C399A1D295}">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Sorteo de temas predefinidos</a:t>
          </a:r>
        </a:p>
      </dgm:t>
      <dgm:extLst>
        <a:ext uri="{E40237B7-FDA0-4F09-8148-C483321AD2D9}">
          <dgm14:cNvPr xmlns:dgm14="http://schemas.microsoft.com/office/drawing/2010/diagram" id="0" name="">
            <a:hlinkClick xmlns:r="http://schemas.openxmlformats.org/officeDocument/2006/relationships" r:id="rId2" tooltip="Probabilidad total"/>
          </dgm14:cNvPr>
        </a:ext>
      </dgm:extLst>
    </dgm:pt>
    <dgm:pt modelId="{D58A3E39-CA3A-44B7-8981-CCC96D062F01}" type="parTrans" cxnId="{8753A9D9-4184-40B3-BD15-30CE526B014C}">
      <dgm:prSet/>
      <dgm:spPr/>
      <dgm:t>
        <a:bodyPr/>
        <a:lstStyle/>
        <a:p>
          <a:endParaRPr lang="es-ES"/>
        </a:p>
      </dgm:t>
    </dgm:pt>
    <dgm:pt modelId="{FAB1F00A-A810-4800-82E9-E6B6F4AF154B}" type="sibTrans" cxnId="{8753A9D9-4184-40B3-BD15-30CE526B014C}">
      <dgm:prSet/>
      <dgm:spPr/>
      <dgm:t>
        <a:bodyPr/>
        <a:lstStyle/>
        <a:p>
          <a:endParaRPr lang="es-ES"/>
        </a:p>
      </dgm:t>
    </dgm:pt>
    <dgm:pt modelId="{B011D860-4A95-444F-B654-22C5105CBF87}" type="pres">
      <dgm:prSet presAssocID="{FBF5F140-BF82-4F98-8551-69DCFE5F7DC8}" presName="Name0" presStyleCnt="0">
        <dgm:presLayoutVars>
          <dgm:chMax val="7"/>
          <dgm:chPref val="7"/>
          <dgm:dir/>
        </dgm:presLayoutVars>
      </dgm:prSet>
      <dgm:spPr/>
    </dgm:pt>
    <dgm:pt modelId="{78010940-34C1-4164-B47B-65C03D56EBEB}" type="pres">
      <dgm:prSet presAssocID="{FBF5F140-BF82-4F98-8551-69DCFE5F7DC8}" presName="Name1" presStyleCnt="0"/>
      <dgm:spPr/>
    </dgm:pt>
    <dgm:pt modelId="{E1B2A18F-AD42-418D-B47E-C09A1348CFF1}" type="pres">
      <dgm:prSet presAssocID="{FBF5F140-BF82-4F98-8551-69DCFE5F7DC8}" presName="cycle" presStyleCnt="0"/>
      <dgm:spPr/>
    </dgm:pt>
    <dgm:pt modelId="{DEE63901-A22A-4778-B295-E8DEB2BF662C}" type="pres">
      <dgm:prSet presAssocID="{FBF5F140-BF82-4F98-8551-69DCFE5F7DC8}" presName="srcNode" presStyleLbl="node1" presStyleIdx="0" presStyleCnt="2"/>
      <dgm:spPr/>
    </dgm:pt>
    <dgm:pt modelId="{D927B915-A6E4-4E2E-9F07-F0EDB36A9A01}" type="pres">
      <dgm:prSet presAssocID="{FBF5F140-BF82-4F98-8551-69DCFE5F7DC8}" presName="conn" presStyleLbl="parChTrans1D2" presStyleIdx="0" presStyleCnt="1"/>
      <dgm:spPr/>
    </dgm:pt>
    <dgm:pt modelId="{B2AFAF89-EE43-476C-BEF4-28DA2A3124A6}" type="pres">
      <dgm:prSet presAssocID="{FBF5F140-BF82-4F98-8551-69DCFE5F7DC8}" presName="extraNode" presStyleLbl="node1" presStyleIdx="0" presStyleCnt="2"/>
      <dgm:spPr/>
    </dgm:pt>
    <dgm:pt modelId="{213B1AB0-4260-4B91-99A4-070CA205F2DE}" type="pres">
      <dgm:prSet presAssocID="{FBF5F140-BF82-4F98-8551-69DCFE5F7DC8}" presName="dstNode" presStyleLbl="node1" presStyleIdx="0" presStyleCnt="2"/>
      <dgm:spPr/>
    </dgm:pt>
    <dgm:pt modelId="{86B5162C-71FB-4ECA-B016-4C51A5E0BA6E}" type="pres">
      <dgm:prSet presAssocID="{08698D40-C8E2-48DB-ACB8-E4645A48A765}" presName="text_1" presStyleLbl="node1" presStyleIdx="0" presStyleCnt="2">
        <dgm:presLayoutVars>
          <dgm:bulletEnabled val="1"/>
        </dgm:presLayoutVars>
      </dgm:prSet>
      <dgm:spPr/>
    </dgm:pt>
    <dgm:pt modelId="{B84AE413-A6BA-4AA4-9B96-F522F147B290}" type="pres">
      <dgm:prSet presAssocID="{08698D40-C8E2-48DB-ACB8-E4645A48A765}" presName="accent_1" presStyleCnt="0"/>
      <dgm:spPr/>
    </dgm:pt>
    <dgm:pt modelId="{9919267A-B0BA-49F9-8121-042144C5D4BA}" type="pres">
      <dgm:prSet presAssocID="{08698D40-C8E2-48DB-ACB8-E4645A48A765}" presName="accentRepeatNode" presStyleLbl="solidFgAcc1" presStyleIdx="0" presStyleCnt="2"/>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1" tooltip="Primer Ejercicio"/>
          </dgm14:cNvPr>
        </a:ext>
      </dgm:extLst>
    </dgm:pt>
    <dgm:pt modelId="{BC78BF7B-4843-4935-8F5B-015AF0AC67BD}" type="pres">
      <dgm:prSet presAssocID="{B8E2DFEB-D269-46EF-AD55-B8C399A1D295}" presName="text_2" presStyleLbl="node1" presStyleIdx="1" presStyleCnt="2">
        <dgm:presLayoutVars>
          <dgm:bulletEnabled val="1"/>
        </dgm:presLayoutVars>
      </dgm:prSet>
      <dgm:spPr/>
    </dgm:pt>
    <dgm:pt modelId="{98CDCEC4-8BB1-4508-9FFF-10F16FF15935}" type="pres">
      <dgm:prSet presAssocID="{B8E2DFEB-D269-46EF-AD55-B8C399A1D295}" presName="accent_2" presStyleCnt="0"/>
      <dgm:spPr/>
    </dgm:pt>
    <dgm:pt modelId="{97F9E097-A093-4D59-888B-EAF3D532B784}" type="pres">
      <dgm:prSet presAssocID="{B8E2DFEB-D269-46EF-AD55-B8C399A1D295}" presName="accentRepeatNode" presStyleLbl="solidFgAcc1" presStyleIdx="1" presStyleCnt="2"/>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2" tooltip="Probabilidad total"/>
          </dgm14:cNvPr>
        </a:ext>
      </dgm:extLst>
    </dgm:pt>
  </dgm:ptLst>
  <dgm:cxnLst>
    <dgm:cxn modelId="{F629A20B-3E00-4900-85AC-939E3A848268}" srcId="{FBF5F140-BF82-4F98-8551-69DCFE5F7DC8}" destId="{08698D40-C8E2-48DB-ACB8-E4645A48A765}" srcOrd="0" destOrd="0" parTransId="{0CCCA727-47A2-4E52-B886-F42A7EE22138}" sibTransId="{39FB1892-EC54-4EBF-8413-848A879F8D2B}"/>
    <dgm:cxn modelId="{645FC46E-DC1F-47EE-93CA-09F216641056}" type="presOf" srcId="{B8E2DFEB-D269-46EF-AD55-B8C399A1D295}" destId="{BC78BF7B-4843-4935-8F5B-015AF0AC67BD}" srcOrd="0" destOrd="0" presId="urn:microsoft.com/office/officeart/2008/layout/VerticalCurvedList"/>
    <dgm:cxn modelId="{5DD89ED1-5BC3-4A3C-A981-610C10AE0F59}" type="presOf" srcId="{FBF5F140-BF82-4F98-8551-69DCFE5F7DC8}" destId="{B011D860-4A95-444F-B654-22C5105CBF87}" srcOrd="0" destOrd="0" presId="urn:microsoft.com/office/officeart/2008/layout/VerticalCurvedList"/>
    <dgm:cxn modelId="{8753A9D9-4184-40B3-BD15-30CE526B014C}" srcId="{FBF5F140-BF82-4F98-8551-69DCFE5F7DC8}" destId="{B8E2DFEB-D269-46EF-AD55-B8C399A1D295}" srcOrd="1" destOrd="0" parTransId="{D58A3E39-CA3A-44B7-8981-CCC96D062F01}" sibTransId="{FAB1F00A-A810-4800-82E9-E6B6F4AF154B}"/>
    <dgm:cxn modelId="{3B3390E7-5516-40DD-AC3E-84014E5BFD43}" type="presOf" srcId="{08698D40-C8E2-48DB-ACB8-E4645A48A765}" destId="{86B5162C-71FB-4ECA-B016-4C51A5E0BA6E}" srcOrd="0" destOrd="0" presId="urn:microsoft.com/office/officeart/2008/layout/VerticalCurvedList"/>
    <dgm:cxn modelId="{D1B9E9EB-C947-4858-B1C6-4E2D8EFFC0DA}" type="presOf" srcId="{39FB1892-EC54-4EBF-8413-848A879F8D2B}" destId="{D927B915-A6E4-4E2E-9F07-F0EDB36A9A01}" srcOrd="0" destOrd="0" presId="urn:microsoft.com/office/officeart/2008/layout/VerticalCurvedList"/>
    <dgm:cxn modelId="{1B45A59F-31AB-4B51-B76C-DE95F3E93736}" type="presParOf" srcId="{B011D860-4A95-444F-B654-22C5105CBF87}" destId="{78010940-34C1-4164-B47B-65C03D56EBEB}" srcOrd="0" destOrd="0" presId="urn:microsoft.com/office/officeart/2008/layout/VerticalCurvedList"/>
    <dgm:cxn modelId="{A16C3D11-0197-4B60-BB75-399DD59BA894}" type="presParOf" srcId="{78010940-34C1-4164-B47B-65C03D56EBEB}" destId="{E1B2A18F-AD42-418D-B47E-C09A1348CFF1}" srcOrd="0" destOrd="0" presId="urn:microsoft.com/office/officeart/2008/layout/VerticalCurvedList"/>
    <dgm:cxn modelId="{8E2B94F6-BD05-41D1-9266-07E2E339941C}" type="presParOf" srcId="{E1B2A18F-AD42-418D-B47E-C09A1348CFF1}" destId="{DEE63901-A22A-4778-B295-E8DEB2BF662C}" srcOrd="0" destOrd="0" presId="urn:microsoft.com/office/officeart/2008/layout/VerticalCurvedList"/>
    <dgm:cxn modelId="{FFED4F25-5A15-4D84-AC33-03118A978E66}" type="presParOf" srcId="{E1B2A18F-AD42-418D-B47E-C09A1348CFF1}" destId="{D927B915-A6E4-4E2E-9F07-F0EDB36A9A01}" srcOrd="1" destOrd="0" presId="urn:microsoft.com/office/officeart/2008/layout/VerticalCurvedList"/>
    <dgm:cxn modelId="{27518E0A-8E9D-4E7F-9537-067DAB219ECF}" type="presParOf" srcId="{E1B2A18F-AD42-418D-B47E-C09A1348CFF1}" destId="{B2AFAF89-EE43-476C-BEF4-28DA2A3124A6}" srcOrd="2" destOrd="0" presId="urn:microsoft.com/office/officeart/2008/layout/VerticalCurvedList"/>
    <dgm:cxn modelId="{4DF02AEF-37EC-4829-9193-191AE9B48AC4}" type="presParOf" srcId="{E1B2A18F-AD42-418D-B47E-C09A1348CFF1}" destId="{213B1AB0-4260-4B91-99A4-070CA205F2DE}" srcOrd="3" destOrd="0" presId="urn:microsoft.com/office/officeart/2008/layout/VerticalCurvedList"/>
    <dgm:cxn modelId="{D344DAA4-0365-465E-A4BB-58F5BB13748D}" type="presParOf" srcId="{78010940-34C1-4164-B47B-65C03D56EBEB}" destId="{86B5162C-71FB-4ECA-B016-4C51A5E0BA6E}" srcOrd="1" destOrd="0" presId="urn:microsoft.com/office/officeart/2008/layout/VerticalCurvedList"/>
    <dgm:cxn modelId="{25352BCF-B9D4-4294-A672-658E60FD863B}" type="presParOf" srcId="{78010940-34C1-4164-B47B-65C03D56EBEB}" destId="{B84AE413-A6BA-4AA4-9B96-F522F147B290}" srcOrd="2" destOrd="0" presId="urn:microsoft.com/office/officeart/2008/layout/VerticalCurvedList"/>
    <dgm:cxn modelId="{E2A67055-B47B-4EE5-AE82-BDFCA5CB6D00}" type="presParOf" srcId="{B84AE413-A6BA-4AA4-9B96-F522F147B290}" destId="{9919267A-B0BA-49F9-8121-042144C5D4BA}" srcOrd="0" destOrd="0" presId="urn:microsoft.com/office/officeart/2008/layout/VerticalCurvedList"/>
    <dgm:cxn modelId="{F3C44867-B9D8-4E10-963A-8524FB18FC83}" type="presParOf" srcId="{78010940-34C1-4164-B47B-65C03D56EBEB}" destId="{BC78BF7B-4843-4935-8F5B-015AF0AC67BD}" srcOrd="3" destOrd="0" presId="urn:microsoft.com/office/officeart/2008/layout/VerticalCurvedList"/>
    <dgm:cxn modelId="{B457C9F5-6EC9-4987-AB45-4B6A95EEDAD0}" type="presParOf" srcId="{78010940-34C1-4164-B47B-65C03D56EBEB}" destId="{98CDCEC4-8BB1-4508-9FFF-10F16FF15935}" srcOrd="4" destOrd="0" presId="urn:microsoft.com/office/officeart/2008/layout/VerticalCurvedList"/>
    <dgm:cxn modelId="{316541C0-047C-407E-B549-9EDB7B10217F}" type="presParOf" srcId="{98CDCEC4-8BB1-4508-9FFF-10F16FF15935}" destId="{97F9E097-A093-4D59-888B-EAF3D532B784}" srcOrd="0" destOrd="0" presId="urn:microsoft.com/office/officeart/2008/layout/VerticalCurvedList"/>
  </dgm:cxnLst>
  <dgm:bg/>
  <dgm:whole/>
  <dgm:extLst>
    <a:ext uri="http://schemas.microsoft.com/office/drawing/2008/diagram">
      <dsp:dataModelExt xmlns:dsp="http://schemas.microsoft.com/office/drawing/2008/diagram" relId="rId8"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FBF5F140-BF82-4F98-8551-69DCFE5F7DC8}" type="doc">
      <dgm:prSet loTypeId="urn:microsoft.com/office/officeart/2008/layout/VerticalCurvedList" loCatId="list" qsTypeId="urn:microsoft.com/office/officeart/2005/8/quickstyle/simple1" qsCatId="simple" csTypeId="urn:microsoft.com/office/officeart/2005/8/colors/accent1_2" csCatId="accent1" phldr="1"/>
      <dgm:spPr/>
      <dgm:t>
        <a:bodyPr/>
        <a:lstStyle/>
        <a:p>
          <a:endParaRPr lang="es-ES"/>
        </a:p>
      </dgm:t>
    </dgm:pt>
    <dgm:pt modelId="{08698D40-C8E2-48DB-ACB8-E4645A48A765}">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Listado de temas</a:t>
          </a:r>
        </a:p>
      </dgm:t>
      <dgm:extLst>
        <a:ext uri="{E40237B7-FDA0-4F09-8148-C483321AD2D9}">
          <dgm14:cNvPr xmlns:dgm14="http://schemas.microsoft.com/office/drawing/2010/diagram" id="0" name="">
            <a:hlinkClick xmlns:r="http://schemas.openxmlformats.org/officeDocument/2006/relationships" r:id="rId1" tooltip="Listado de temas"/>
          </dgm14:cNvPr>
        </a:ext>
      </dgm:extLst>
    </dgm:pt>
    <dgm:pt modelId="{0CCCA727-47A2-4E52-B886-F42A7EE22138}" type="parTrans" cxnId="{F629A20B-3E00-4900-85AC-939E3A848268}">
      <dgm:prSet/>
      <dgm:spPr/>
      <dgm:t>
        <a:bodyPr/>
        <a:lstStyle/>
        <a:p>
          <a:endParaRPr lang="es-ES">
            <a:latin typeface="Abadi Extra Light" panose="020B0204020104020204" pitchFamily="34" charset="0"/>
          </a:endParaRPr>
        </a:p>
      </dgm:t>
    </dgm:pt>
    <dgm:pt modelId="{39FB1892-EC54-4EBF-8413-848A879F8D2B}" type="sibTrans" cxnId="{F629A20B-3E00-4900-85AC-939E3A848268}">
      <dgm:prSet/>
      <dgm:spPr>
        <a:solidFill>
          <a:schemeClr val="accent6">
            <a:lumMod val="20000"/>
            <a:lumOff val="80000"/>
          </a:schemeClr>
        </a:solidFill>
        <a:ln>
          <a:solidFill>
            <a:srgbClr val="5F2987"/>
          </a:solidFill>
        </a:ln>
      </dgm:spPr>
      <dgm:t>
        <a:bodyPr/>
        <a:lstStyle/>
        <a:p>
          <a:endParaRPr lang="es-ES">
            <a:latin typeface="Abadi Extra Light" panose="020B0204020104020204" pitchFamily="34" charset="0"/>
          </a:endParaRPr>
        </a:p>
      </dgm:t>
    </dgm:pt>
    <dgm:pt modelId="{9A7536C3-A6F0-481B-B48A-C7D7916FA9B3}">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Tabla dinámica de temas</a:t>
          </a:r>
        </a:p>
      </dgm:t>
      <dgm:extLst>
        <a:ext uri="{E40237B7-FDA0-4F09-8148-C483321AD2D9}">
          <dgm14:cNvPr xmlns:dgm14="http://schemas.microsoft.com/office/drawing/2010/diagram" id="0" name="">
            <a:hlinkClick xmlns:r="http://schemas.openxmlformats.org/officeDocument/2006/relationships" r:id="rId2" tooltip="Tabla dinámica de temas"/>
          </dgm14:cNvPr>
        </a:ext>
      </dgm:extLst>
    </dgm:pt>
    <dgm:pt modelId="{139F44C4-848D-4C78-8B16-C66DB778ADE8}" type="parTrans" cxnId="{331E5CD8-DC01-4628-9F88-FB29FC3FA0E2}">
      <dgm:prSet/>
      <dgm:spPr/>
      <dgm:t>
        <a:bodyPr/>
        <a:lstStyle/>
        <a:p>
          <a:endParaRPr lang="es-ES"/>
        </a:p>
      </dgm:t>
    </dgm:pt>
    <dgm:pt modelId="{8A424163-F2C4-40D7-AE82-9A337988E7DC}" type="sibTrans" cxnId="{331E5CD8-DC01-4628-9F88-FB29FC3FA0E2}">
      <dgm:prSet/>
      <dgm:spPr/>
      <dgm:t>
        <a:bodyPr/>
        <a:lstStyle/>
        <a:p>
          <a:endParaRPr lang="es-ES"/>
        </a:p>
      </dgm:t>
    </dgm:pt>
    <dgm:pt modelId="{B011D860-4A95-444F-B654-22C5105CBF87}" type="pres">
      <dgm:prSet presAssocID="{FBF5F140-BF82-4F98-8551-69DCFE5F7DC8}" presName="Name0" presStyleCnt="0">
        <dgm:presLayoutVars>
          <dgm:chMax val="7"/>
          <dgm:chPref val="7"/>
          <dgm:dir/>
        </dgm:presLayoutVars>
      </dgm:prSet>
      <dgm:spPr/>
    </dgm:pt>
    <dgm:pt modelId="{78010940-34C1-4164-B47B-65C03D56EBEB}" type="pres">
      <dgm:prSet presAssocID="{FBF5F140-BF82-4F98-8551-69DCFE5F7DC8}" presName="Name1" presStyleCnt="0"/>
      <dgm:spPr/>
    </dgm:pt>
    <dgm:pt modelId="{E1B2A18F-AD42-418D-B47E-C09A1348CFF1}" type="pres">
      <dgm:prSet presAssocID="{FBF5F140-BF82-4F98-8551-69DCFE5F7DC8}" presName="cycle" presStyleCnt="0"/>
      <dgm:spPr/>
    </dgm:pt>
    <dgm:pt modelId="{DEE63901-A22A-4778-B295-E8DEB2BF662C}" type="pres">
      <dgm:prSet presAssocID="{FBF5F140-BF82-4F98-8551-69DCFE5F7DC8}" presName="srcNode" presStyleLbl="node1" presStyleIdx="0" presStyleCnt="2"/>
      <dgm:spPr/>
    </dgm:pt>
    <dgm:pt modelId="{D927B915-A6E4-4E2E-9F07-F0EDB36A9A01}" type="pres">
      <dgm:prSet presAssocID="{FBF5F140-BF82-4F98-8551-69DCFE5F7DC8}" presName="conn" presStyleLbl="parChTrans1D2" presStyleIdx="0" presStyleCnt="1"/>
      <dgm:spPr/>
    </dgm:pt>
    <dgm:pt modelId="{B2AFAF89-EE43-476C-BEF4-28DA2A3124A6}" type="pres">
      <dgm:prSet presAssocID="{FBF5F140-BF82-4F98-8551-69DCFE5F7DC8}" presName="extraNode" presStyleLbl="node1" presStyleIdx="0" presStyleCnt="2"/>
      <dgm:spPr/>
    </dgm:pt>
    <dgm:pt modelId="{213B1AB0-4260-4B91-99A4-070CA205F2DE}" type="pres">
      <dgm:prSet presAssocID="{FBF5F140-BF82-4F98-8551-69DCFE5F7DC8}" presName="dstNode" presStyleLbl="node1" presStyleIdx="0" presStyleCnt="2"/>
      <dgm:spPr/>
    </dgm:pt>
    <dgm:pt modelId="{86B5162C-71FB-4ECA-B016-4C51A5E0BA6E}" type="pres">
      <dgm:prSet presAssocID="{08698D40-C8E2-48DB-ACB8-E4645A48A765}" presName="text_1" presStyleLbl="node1" presStyleIdx="0" presStyleCnt="2">
        <dgm:presLayoutVars>
          <dgm:bulletEnabled val="1"/>
        </dgm:presLayoutVars>
      </dgm:prSet>
      <dgm:spPr/>
    </dgm:pt>
    <dgm:pt modelId="{B84AE413-A6BA-4AA4-9B96-F522F147B290}" type="pres">
      <dgm:prSet presAssocID="{08698D40-C8E2-48DB-ACB8-E4645A48A765}" presName="accent_1" presStyleCnt="0"/>
      <dgm:spPr/>
    </dgm:pt>
    <dgm:pt modelId="{9919267A-B0BA-49F9-8121-042144C5D4BA}" type="pres">
      <dgm:prSet presAssocID="{08698D40-C8E2-48DB-ACB8-E4645A48A765}" presName="accentRepeatNode" presStyleLbl="solidFgAcc1" presStyleIdx="0" presStyleCnt="2"/>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1" tooltip="Listado de temas"/>
          </dgm14:cNvPr>
        </a:ext>
      </dgm:extLst>
    </dgm:pt>
    <dgm:pt modelId="{C25C84E9-D101-49A0-8476-789D98EC181C}" type="pres">
      <dgm:prSet presAssocID="{9A7536C3-A6F0-481B-B48A-C7D7916FA9B3}" presName="text_2" presStyleLbl="node1" presStyleIdx="1" presStyleCnt="2">
        <dgm:presLayoutVars>
          <dgm:bulletEnabled val="1"/>
        </dgm:presLayoutVars>
      </dgm:prSet>
      <dgm:spPr/>
    </dgm:pt>
    <dgm:pt modelId="{1A5C8530-F25B-4D13-B7EB-854875707404}" type="pres">
      <dgm:prSet presAssocID="{9A7536C3-A6F0-481B-B48A-C7D7916FA9B3}" presName="accent_2" presStyleCnt="0"/>
      <dgm:spPr/>
    </dgm:pt>
    <dgm:pt modelId="{F1F94720-9106-4C68-92AC-0B62C96B4489}" type="pres">
      <dgm:prSet presAssocID="{9A7536C3-A6F0-481B-B48A-C7D7916FA9B3}" presName="accentRepeatNode" presStyleLbl="solidFgAcc1" presStyleIdx="1" presStyleCnt="2"/>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2" tooltip="Tabla dinámica de temas"/>
          </dgm14:cNvPr>
        </a:ext>
      </dgm:extLst>
    </dgm:pt>
  </dgm:ptLst>
  <dgm:cxnLst>
    <dgm:cxn modelId="{F629A20B-3E00-4900-85AC-939E3A848268}" srcId="{FBF5F140-BF82-4F98-8551-69DCFE5F7DC8}" destId="{08698D40-C8E2-48DB-ACB8-E4645A48A765}" srcOrd="0" destOrd="0" parTransId="{0CCCA727-47A2-4E52-B886-F42A7EE22138}" sibTransId="{39FB1892-EC54-4EBF-8413-848A879F8D2B}"/>
    <dgm:cxn modelId="{727E54CD-168A-4757-B15D-2F1AE2752CB1}" type="presOf" srcId="{9A7536C3-A6F0-481B-B48A-C7D7916FA9B3}" destId="{C25C84E9-D101-49A0-8476-789D98EC181C}" srcOrd="0" destOrd="0" presId="urn:microsoft.com/office/officeart/2008/layout/VerticalCurvedList"/>
    <dgm:cxn modelId="{5DD89ED1-5BC3-4A3C-A981-610C10AE0F59}" type="presOf" srcId="{FBF5F140-BF82-4F98-8551-69DCFE5F7DC8}" destId="{B011D860-4A95-444F-B654-22C5105CBF87}" srcOrd="0" destOrd="0" presId="urn:microsoft.com/office/officeart/2008/layout/VerticalCurvedList"/>
    <dgm:cxn modelId="{331E5CD8-DC01-4628-9F88-FB29FC3FA0E2}" srcId="{FBF5F140-BF82-4F98-8551-69DCFE5F7DC8}" destId="{9A7536C3-A6F0-481B-B48A-C7D7916FA9B3}" srcOrd="1" destOrd="0" parTransId="{139F44C4-848D-4C78-8B16-C66DB778ADE8}" sibTransId="{8A424163-F2C4-40D7-AE82-9A337988E7DC}"/>
    <dgm:cxn modelId="{3B3390E7-5516-40DD-AC3E-84014E5BFD43}" type="presOf" srcId="{08698D40-C8E2-48DB-ACB8-E4645A48A765}" destId="{86B5162C-71FB-4ECA-B016-4C51A5E0BA6E}" srcOrd="0" destOrd="0" presId="urn:microsoft.com/office/officeart/2008/layout/VerticalCurvedList"/>
    <dgm:cxn modelId="{D1B9E9EB-C947-4858-B1C6-4E2D8EFFC0DA}" type="presOf" srcId="{39FB1892-EC54-4EBF-8413-848A879F8D2B}" destId="{D927B915-A6E4-4E2E-9F07-F0EDB36A9A01}" srcOrd="0" destOrd="0" presId="urn:microsoft.com/office/officeart/2008/layout/VerticalCurvedList"/>
    <dgm:cxn modelId="{1B45A59F-31AB-4B51-B76C-DE95F3E93736}" type="presParOf" srcId="{B011D860-4A95-444F-B654-22C5105CBF87}" destId="{78010940-34C1-4164-B47B-65C03D56EBEB}" srcOrd="0" destOrd="0" presId="urn:microsoft.com/office/officeart/2008/layout/VerticalCurvedList"/>
    <dgm:cxn modelId="{A16C3D11-0197-4B60-BB75-399DD59BA894}" type="presParOf" srcId="{78010940-34C1-4164-B47B-65C03D56EBEB}" destId="{E1B2A18F-AD42-418D-B47E-C09A1348CFF1}" srcOrd="0" destOrd="0" presId="urn:microsoft.com/office/officeart/2008/layout/VerticalCurvedList"/>
    <dgm:cxn modelId="{8E2B94F6-BD05-41D1-9266-07E2E339941C}" type="presParOf" srcId="{E1B2A18F-AD42-418D-B47E-C09A1348CFF1}" destId="{DEE63901-A22A-4778-B295-E8DEB2BF662C}" srcOrd="0" destOrd="0" presId="urn:microsoft.com/office/officeart/2008/layout/VerticalCurvedList"/>
    <dgm:cxn modelId="{FFED4F25-5A15-4D84-AC33-03118A978E66}" type="presParOf" srcId="{E1B2A18F-AD42-418D-B47E-C09A1348CFF1}" destId="{D927B915-A6E4-4E2E-9F07-F0EDB36A9A01}" srcOrd="1" destOrd="0" presId="urn:microsoft.com/office/officeart/2008/layout/VerticalCurvedList"/>
    <dgm:cxn modelId="{27518E0A-8E9D-4E7F-9537-067DAB219ECF}" type="presParOf" srcId="{E1B2A18F-AD42-418D-B47E-C09A1348CFF1}" destId="{B2AFAF89-EE43-476C-BEF4-28DA2A3124A6}" srcOrd="2" destOrd="0" presId="urn:microsoft.com/office/officeart/2008/layout/VerticalCurvedList"/>
    <dgm:cxn modelId="{4DF02AEF-37EC-4829-9193-191AE9B48AC4}" type="presParOf" srcId="{E1B2A18F-AD42-418D-B47E-C09A1348CFF1}" destId="{213B1AB0-4260-4B91-99A4-070CA205F2DE}" srcOrd="3" destOrd="0" presId="urn:microsoft.com/office/officeart/2008/layout/VerticalCurvedList"/>
    <dgm:cxn modelId="{D344DAA4-0365-465E-A4BB-58F5BB13748D}" type="presParOf" srcId="{78010940-34C1-4164-B47B-65C03D56EBEB}" destId="{86B5162C-71FB-4ECA-B016-4C51A5E0BA6E}" srcOrd="1" destOrd="0" presId="urn:microsoft.com/office/officeart/2008/layout/VerticalCurvedList"/>
    <dgm:cxn modelId="{25352BCF-B9D4-4294-A672-658E60FD863B}" type="presParOf" srcId="{78010940-34C1-4164-B47B-65C03D56EBEB}" destId="{B84AE413-A6BA-4AA4-9B96-F522F147B290}" srcOrd="2" destOrd="0" presId="urn:microsoft.com/office/officeart/2008/layout/VerticalCurvedList"/>
    <dgm:cxn modelId="{E2A67055-B47B-4EE5-AE82-BDFCA5CB6D00}" type="presParOf" srcId="{B84AE413-A6BA-4AA4-9B96-F522F147B290}" destId="{9919267A-B0BA-49F9-8121-042144C5D4BA}" srcOrd="0" destOrd="0" presId="urn:microsoft.com/office/officeart/2008/layout/VerticalCurvedList"/>
    <dgm:cxn modelId="{AB2BDB0F-BC44-474A-8B87-23056D559987}" type="presParOf" srcId="{78010940-34C1-4164-B47B-65C03D56EBEB}" destId="{C25C84E9-D101-49A0-8476-789D98EC181C}" srcOrd="3" destOrd="0" presId="urn:microsoft.com/office/officeart/2008/layout/VerticalCurvedList"/>
    <dgm:cxn modelId="{417353DA-111C-4051-BFEB-BA19F886AAF3}" type="presParOf" srcId="{78010940-34C1-4164-B47B-65C03D56EBEB}" destId="{1A5C8530-F25B-4D13-B7EB-854875707404}" srcOrd="4" destOrd="0" presId="urn:microsoft.com/office/officeart/2008/layout/VerticalCurvedList"/>
    <dgm:cxn modelId="{8844EE66-4DC0-4AA8-A005-8DAFF3E6BF39}" type="presParOf" srcId="{1A5C8530-F25B-4D13-B7EB-854875707404}" destId="{F1F94720-9106-4C68-92AC-0B62C96B4489}" srcOrd="0" destOrd="0" presId="urn:microsoft.com/office/officeart/2008/layout/VerticalCurvedList"/>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FBF5F140-BF82-4F98-8551-69DCFE5F7DC8}" type="doc">
      <dgm:prSet loTypeId="urn:microsoft.com/office/officeart/2008/layout/VerticalCurvedList" loCatId="list" qsTypeId="urn:microsoft.com/office/officeart/2005/8/quickstyle/simple1" qsCatId="simple" csTypeId="urn:microsoft.com/office/officeart/2005/8/colors/accent1_2" csCatId="accent1" phldr="1"/>
      <dgm:spPr/>
      <dgm:t>
        <a:bodyPr/>
        <a:lstStyle/>
        <a:p>
          <a:endParaRPr lang="es-ES"/>
        </a:p>
      </dgm:t>
    </dgm:pt>
    <dgm:pt modelId="{08698D40-C8E2-48DB-ACB8-E4645A48A765}">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Calendario-cronograma</a:t>
          </a:r>
        </a:p>
      </dgm:t>
      <dgm:extLst>
        <a:ext uri="{E40237B7-FDA0-4F09-8148-C483321AD2D9}">
          <dgm14:cNvPr xmlns:dgm14="http://schemas.microsoft.com/office/drawing/2010/diagram" id="0" name="">
            <a:hlinkClick xmlns:r="http://schemas.openxmlformats.org/officeDocument/2006/relationships" r:id="rId1" tooltip="Calendario-cronograma"/>
          </dgm14:cNvPr>
        </a:ext>
      </dgm:extLst>
    </dgm:pt>
    <dgm:pt modelId="{0CCCA727-47A2-4E52-B886-F42A7EE22138}" type="parTrans" cxnId="{F629A20B-3E00-4900-85AC-939E3A848268}">
      <dgm:prSet/>
      <dgm:spPr/>
      <dgm:t>
        <a:bodyPr/>
        <a:lstStyle/>
        <a:p>
          <a:endParaRPr lang="es-ES">
            <a:latin typeface="Abadi Extra Light" panose="020B0204020104020204" pitchFamily="34" charset="0"/>
          </a:endParaRPr>
        </a:p>
      </dgm:t>
    </dgm:pt>
    <dgm:pt modelId="{39FB1892-EC54-4EBF-8413-848A879F8D2B}" type="sibTrans" cxnId="{F629A20B-3E00-4900-85AC-939E3A848268}">
      <dgm:prSet/>
      <dgm:spPr>
        <a:solidFill>
          <a:schemeClr val="accent6">
            <a:lumMod val="20000"/>
            <a:lumOff val="80000"/>
          </a:schemeClr>
        </a:solidFill>
        <a:ln>
          <a:solidFill>
            <a:srgbClr val="5F2987"/>
          </a:solidFill>
        </a:ln>
      </dgm:spPr>
      <dgm:t>
        <a:bodyPr/>
        <a:lstStyle/>
        <a:p>
          <a:endParaRPr lang="es-ES">
            <a:latin typeface="Abadi Extra Light" panose="020B0204020104020204" pitchFamily="34" charset="0"/>
          </a:endParaRPr>
        </a:p>
      </dgm:t>
    </dgm:pt>
    <dgm:pt modelId="{9A7536C3-A6F0-481B-B48A-C7D7916FA9B3}">
      <dgm:prSet phldrT="[Texto]"/>
      <dgm:spPr>
        <a:solidFill>
          <a:schemeClr val="bg1"/>
        </a:solidFill>
        <a:ln>
          <a:solidFill>
            <a:srgbClr val="5F2987"/>
          </a:solidFill>
        </a:ln>
      </dgm:spPr>
      <dgm:t>
        <a:bodyPr/>
        <a:lstStyle/>
        <a:p>
          <a:r>
            <a:rPr lang="es-ES">
              <a:solidFill>
                <a:srgbClr val="5F2987"/>
              </a:solidFill>
              <a:latin typeface="Abadi Extra Light" panose="020B0204020104020204" pitchFamily="34" charset="0"/>
            </a:rPr>
            <a:t>Horario de estudio</a:t>
          </a:r>
        </a:p>
      </dgm:t>
      <dgm:extLst>
        <a:ext uri="{E40237B7-FDA0-4F09-8148-C483321AD2D9}">
          <dgm14:cNvPr xmlns:dgm14="http://schemas.microsoft.com/office/drawing/2010/diagram" id="0" name="">
            <a:hlinkClick xmlns:r="http://schemas.openxmlformats.org/officeDocument/2006/relationships" r:id="rId2" tooltip="Horario de estudio"/>
          </dgm14:cNvPr>
        </a:ext>
      </dgm:extLst>
    </dgm:pt>
    <dgm:pt modelId="{139F44C4-848D-4C78-8B16-C66DB778ADE8}" type="parTrans" cxnId="{331E5CD8-DC01-4628-9F88-FB29FC3FA0E2}">
      <dgm:prSet/>
      <dgm:spPr/>
      <dgm:t>
        <a:bodyPr/>
        <a:lstStyle/>
        <a:p>
          <a:endParaRPr lang="es-ES"/>
        </a:p>
      </dgm:t>
    </dgm:pt>
    <dgm:pt modelId="{8A424163-F2C4-40D7-AE82-9A337988E7DC}" type="sibTrans" cxnId="{331E5CD8-DC01-4628-9F88-FB29FC3FA0E2}">
      <dgm:prSet/>
      <dgm:spPr/>
      <dgm:t>
        <a:bodyPr/>
        <a:lstStyle/>
        <a:p>
          <a:endParaRPr lang="es-ES"/>
        </a:p>
      </dgm:t>
    </dgm:pt>
    <dgm:pt modelId="{B011D860-4A95-444F-B654-22C5105CBF87}" type="pres">
      <dgm:prSet presAssocID="{FBF5F140-BF82-4F98-8551-69DCFE5F7DC8}" presName="Name0" presStyleCnt="0">
        <dgm:presLayoutVars>
          <dgm:chMax val="7"/>
          <dgm:chPref val="7"/>
          <dgm:dir/>
        </dgm:presLayoutVars>
      </dgm:prSet>
      <dgm:spPr/>
    </dgm:pt>
    <dgm:pt modelId="{78010940-34C1-4164-B47B-65C03D56EBEB}" type="pres">
      <dgm:prSet presAssocID="{FBF5F140-BF82-4F98-8551-69DCFE5F7DC8}" presName="Name1" presStyleCnt="0"/>
      <dgm:spPr/>
    </dgm:pt>
    <dgm:pt modelId="{E1B2A18F-AD42-418D-B47E-C09A1348CFF1}" type="pres">
      <dgm:prSet presAssocID="{FBF5F140-BF82-4F98-8551-69DCFE5F7DC8}" presName="cycle" presStyleCnt="0"/>
      <dgm:spPr/>
    </dgm:pt>
    <dgm:pt modelId="{DEE63901-A22A-4778-B295-E8DEB2BF662C}" type="pres">
      <dgm:prSet presAssocID="{FBF5F140-BF82-4F98-8551-69DCFE5F7DC8}" presName="srcNode" presStyleLbl="node1" presStyleIdx="0" presStyleCnt="2"/>
      <dgm:spPr/>
    </dgm:pt>
    <dgm:pt modelId="{D927B915-A6E4-4E2E-9F07-F0EDB36A9A01}" type="pres">
      <dgm:prSet presAssocID="{FBF5F140-BF82-4F98-8551-69DCFE5F7DC8}" presName="conn" presStyleLbl="parChTrans1D2" presStyleIdx="0" presStyleCnt="1"/>
      <dgm:spPr/>
    </dgm:pt>
    <dgm:pt modelId="{B2AFAF89-EE43-476C-BEF4-28DA2A3124A6}" type="pres">
      <dgm:prSet presAssocID="{FBF5F140-BF82-4F98-8551-69DCFE5F7DC8}" presName="extraNode" presStyleLbl="node1" presStyleIdx="0" presStyleCnt="2"/>
      <dgm:spPr/>
    </dgm:pt>
    <dgm:pt modelId="{213B1AB0-4260-4B91-99A4-070CA205F2DE}" type="pres">
      <dgm:prSet presAssocID="{FBF5F140-BF82-4F98-8551-69DCFE5F7DC8}" presName="dstNode" presStyleLbl="node1" presStyleIdx="0" presStyleCnt="2"/>
      <dgm:spPr/>
    </dgm:pt>
    <dgm:pt modelId="{86B5162C-71FB-4ECA-B016-4C51A5E0BA6E}" type="pres">
      <dgm:prSet presAssocID="{08698D40-C8E2-48DB-ACB8-E4645A48A765}" presName="text_1" presStyleLbl="node1" presStyleIdx="0" presStyleCnt="2">
        <dgm:presLayoutVars>
          <dgm:bulletEnabled val="1"/>
        </dgm:presLayoutVars>
      </dgm:prSet>
      <dgm:spPr/>
    </dgm:pt>
    <dgm:pt modelId="{B84AE413-A6BA-4AA4-9B96-F522F147B290}" type="pres">
      <dgm:prSet presAssocID="{08698D40-C8E2-48DB-ACB8-E4645A48A765}" presName="accent_1" presStyleCnt="0"/>
      <dgm:spPr/>
    </dgm:pt>
    <dgm:pt modelId="{9919267A-B0BA-49F9-8121-042144C5D4BA}" type="pres">
      <dgm:prSet presAssocID="{08698D40-C8E2-48DB-ACB8-E4645A48A765}" presName="accentRepeatNode" presStyleLbl="solidFgAcc1" presStyleIdx="0" presStyleCnt="2"/>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1" tooltip="Calendario-cronograma"/>
          </dgm14:cNvPr>
        </a:ext>
      </dgm:extLst>
    </dgm:pt>
    <dgm:pt modelId="{C25C84E9-D101-49A0-8476-789D98EC181C}" type="pres">
      <dgm:prSet presAssocID="{9A7536C3-A6F0-481B-B48A-C7D7916FA9B3}" presName="text_2" presStyleLbl="node1" presStyleIdx="1" presStyleCnt="2">
        <dgm:presLayoutVars>
          <dgm:bulletEnabled val="1"/>
        </dgm:presLayoutVars>
      </dgm:prSet>
      <dgm:spPr/>
    </dgm:pt>
    <dgm:pt modelId="{1A5C8530-F25B-4D13-B7EB-854875707404}" type="pres">
      <dgm:prSet presAssocID="{9A7536C3-A6F0-481B-B48A-C7D7916FA9B3}" presName="accent_2" presStyleCnt="0"/>
      <dgm:spPr/>
    </dgm:pt>
    <dgm:pt modelId="{F1F94720-9106-4C68-92AC-0B62C96B4489}" type="pres">
      <dgm:prSet presAssocID="{9A7536C3-A6F0-481B-B48A-C7D7916FA9B3}" presName="accentRepeatNode" presStyleLbl="solidFgAcc1" presStyleIdx="1" presStyleCnt="2"/>
      <dgm:spPr>
        <a:solidFill>
          <a:srgbClr val="E2CFF1"/>
        </a:solidFill>
        <a:ln>
          <a:solidFill>
            <a:srgbClr val="5F2987"/>
          </a:solidFill>
        </a:ln>
      </dgm:spPr>
      <dgm:extLst>
        <a:ext uri="{E40237B7-FDA0-4F09-8148-C483321AD2D9}">
          <dgm14:cNvPr xmlns:dgm14="http://schemas.microsoft.com/office/drawing/2010/diagram" id="0" name="">
            <a:hlinkClick xmlns:r="http://schemas.openxmlformats.org/officeDocument/2006/relationships" r:id="rId2" tooltip="Horario de estudio"/>
          </dgm14:cNvPr>
        </a:ext>
      </dgm:extLst>
    </dgm:pt>
  </dgm:ptLst>
  <dgm:cxnLst>
    <dgm:cxn modelId="{F629A20B-3E00-4900-85AC-939E3A848268}" srcId="{FBF5F140-BF82-4F98-8551-69DCFE5F7DC8}" destId="{08698D40-C8E2-48DB-ACB8-E4645A48A765}" srcOrd="0" destOrd="0" parTransId="{0CCCA727-47A2-4E52-B886-F42A7EE22138}" sibTransId="{39FB1892-EC54-4EBF-8413-848A879F8D2B}"/>
    <dgm:cxn modelId="{727E54CD-168A-4757-B15D-2F1AE2752CB1}" type="presOf" srcId="{9A7536C3-A6F0-481B-B48A-C7D7916FA9B3}" destId="{C25C84E9-D101-49A0-8476-789D98EC181C}" srcOrd="0" destOrd="0" presId="urn:microsoft.com/office/officeart/2008/layout/VerticalCurvedList"/>
    <dgm:cxn modelId="{5DD89ED1-5BC3-4A3C-A981-610C10AE0F59}" type="presOf" srcId="{FBF5F140-BF82-4F98-8551-69DCFE5F7DC8}" destId="{B011D860-4A95-444F-B654-22C5105CBF87}" srcOrd="0" destOrd="0" presId="urn:microsoft.com/office/officeart/2008/layout/VerticalCurvedList"/>
    <dgm:cxn modelId="{331E5CD8-DC01-4628-9F88-FB29FC3FA0E2}" srcId="{FBF5F140-BF82-4F98-8551-69DCFE5F7DC8}" destId="{9A7536C3-A6F0-481B-B48A-C7D7916FA9B3}" srcOrd="1" destOrd="0" parTransId="{139F44C4-848D-4C78-8B16-C66DB778ADE8}" sibTransId="{8A424163-F2C4-40D7-AE82-9A337988E7DC}"/>
    <dgm:cxn modelId="{3B3390E7-5516-40DD-AC3E-84014E5BFD43}" type="presOf" srcId="{08698D40-C8E2-48DB-ACB8-E4645A48A765}" destId="{86B5162C-71FB-4ECA-B016-4C51A5E0BA6E}" srcOrd="0" destOrd="0" presId="urn:microsoft.com/office/officeart/2008/layout/VerticalCurvedList"/>
    <dgm:cxn modelId="{D1B9E9EB-C947-4858-B1C6-4E2D8EFFC0DA}" type="presOf" srcId="{39FB1892-EC54-4EBF-8413-848A879F8D2B}" destId="{D927B915-A6E4-4E2E-9F07-F0EDB36A9A01}" srcOrd="0" destOrd="0" presId="urn:microsoft.com/office/officeart/2008/layout/VerticalCurvedList"/>
    <dgm:cxn modelId="{1B45A59F-31AB-4B51-B76C-DE95F3E93736}" type="presParOf" srcId="{B011D860-4A95-444F-B654-22C5105CBF87}" destId="{78010940-34C1-4164-B47B-65C03D56EBEB}" srcOrd="0" destOrd="0" presId="urn:microsoft.com/office/officeart/2008/layout/VerticalCurvedList"/>
    <dgm:cxn modelId="{A16C3D11-0197-4B60-BB75-399DD59BA894}" type="presParOf" srcId="{78010940-34C1-4164-B47B-65C03D56EBEB}" destId="{E1B2A18F-AD42-418D-B47E-C09A1348CFF1}" srcOrd="0" destOrd="0" presId="urn:microsoft.com/office/officeart/2008/layout/VerticalCurvedList"/>
    <dgm:cxn modelId="{8E2B94F6-BD05-41D1-9266-07E2E339941C}" type="presParOf" srcId="{E1B2A18F-AD42-418D-B47E-C09A1348CFF1}" destId="{DEE63901-A22A-4778-B295-E8DEB2BF662C}" srcOrd="0" destOrd="0" presId="urn:microsoft.com/office/officeart/2008/layout/VerticalCurvedList"/>
    <dgm:cxn modelId="{FFED4F25-5A15-4D84-AC33-03118A978E66}" type="presParOf" srcId="{E1B2A18F-AD42-418D-B47E-C09A1348CFF1}" destId="{D927B915-A6E4-4E2E-9F07-F0EDB36A9A01}" srcOrd="1" destOrd="0" presId="urn:microsoft.com/office/officeart/2008/layout/VerticalCurvedList"/>
    <dgm:cxn modelId="{27518E0A-8E9D-4E7F-9537-067DAB219ECF}" type="presParOf" srcId="{E1B2A18F-AD42-418D-B47E-C09A1348CFF1}" destId="{B2AFAF89-EE43-476C-BEF4-28DA2A3124A6}" srcOrd="2" destOrd="0" presId="urn:microsoft.com/office/officeart/2008/layout/VerticalCurvedList"/>
    <dgm:cxn modelId="{4DF02AEF-37EC-4829-9193-191AE9B48AC4}" type="presParOf" srcId="{E1B2A18F-AD42-418D-B47E-C09A1348CFF1}" destId="{213B1AB0-4260-4B91-99A4-070CA205F2DE}" srcOrd="3" destOrd="0" presId="urn:microsoft.com/office/officeart/2008/layout/VerticalCurvedList"/>
    <dgm:cxn modelId="{D344DAA4-0365-465E-A4BB-58F5BB13748D}" type="presParOf" srcId="{78010940-34C1-4164-B47B-65C03D56EBEB}" destId="{86B5162C-71FB-4ECA-B016-4C51A5E0BA6E}" srcOrd="1" destOrd="0" presId="urn:microsoft.com/office/officeart/2008/layout/VerticalCurvedList"/>
    <dgm:cxn modelId="{25352BCF-B9D4-4294-A672-658E60FD863B}" type="presParOf" srcId="{78010940-34C1-4164-B47B-65C03D56EBEB}" destId="{B84AE413-A6BA-4AA4-9B96-F522F147B290}" srcOrd="2" destOrd="0" presId="urn:microsoft.com/office/officeart/2008/layout/VerticalCurvedList"/>
    <dgm:cxn modelId="{E2A67055-B47B-4EE5-AE82-BDFCA5CB6D00}" type="presParOf" srcId="{B84AE413-A6BA-4AA4-9B96-F522F147B290}" destId="{9919267A-B0BA-49F9-8121-042144C5D4BA}" srcOrd="0" destOrd="0" presId="urn:microsoft.com/office/officeart/2008/layout/VerticalCurvedList"/>
    <dgm:cxn modelId="{AB2BDB0F-BC44-474A-8B87-23056D559987}" type="presParOf" srcId="{78010940-34C1-4164-B47B-65C03D56EBEB}" destId="{C25C84E9-D101-49A0-8476-789D98EC181C}" srcOrd="3" destOrd="0" presId="urn:microsoft.com/office/officeart/2008/layout/VerticalCurvedList"/>
    <dgm:cxn modelId="{417353DA-111C-4051-BFEB-BA19F886AAF3}" type="presParOf" srcId="{78010940-34C1-4164-B47B-65C03D56EBEB}" destId="{1A5C8530-F25B-4D13-B7EB-854875707404}" srcOrd="4" destOrd="0" presId="urn:microsoft.com/office/officeart/2008/layout/VerticalCurvedList"/>
    <dgm:cxn modelId="{8844EE66-4DC0-4AA8-A005-8DAFF3E6BF39}" type="presParOf" srcId="{1A5C8530-F25B-4D13-B7EB-854875707404}" destId="{F1F94720-9106-4C68-92AC-0B62C96B4489}" srcOrd="0" destOrd="0" presId="urn:microsoft.com/office/officeart/2008/layout/VerticalCurvedList"/>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927B915-A6E4-4E2E-9F07-F0EDB36A9A01}">
      <dsp:nvSpPr>
        <dsp:cNvPr id="0" name=""/>
        <dsp:cNvSpPr/>
      </dsp:nvSpPr>
      <dsp:spPr>
        <a:xfrm>
          <a:off x="-7401950" y="-1131239"/>
          <a:ext cx="8808059" cy="8808059"/>
        </a:xfrm>
        <a:prstGeom prst="blockArc">
          <a:avLst>
            <a:gd name="adj1" fmla="val 18900000"/>
            <a:gd name="adj2" fmla="val 2700000"/>
            <a:gd name="adj3" fmla="val 245"/>
          </a:avLst>
        </a:prstGeom>
        <a:solidFill>
          <a:schemeClr val="accent6">
            <a:lumMod val="20000"/>
            <a:lumOff val="80000"/>
          </a:schemeClr>
        </a:solidFill>
        <a:ln w="12700" cap="flat" cmpd="sng" algn="ctr">
          <a:solidFill>
            <a:srgbClr val="5F2987"/>
          </a:solidFill>
          <a:prstDash val="solid"/>
          <a:miter lim="800000"/>
        </a:ln>
        <a:effectLst/>
      </dsp:spPr>
      <dsp:style>
        <a:lnRef idx="2">
          <a:scrgbClr r="0" g="0" b="0"/>
        </a:lnRef>
        <a:fillRef idx="0">
          <a:scrgbClr r="0" g="0" b="0"/>
        </a:fillRef>
        <a:effectRef idx="0">
          <a:scrgbClr r="0" g="0" b="0"/>
        </a:effectRef>
        <a:fontRef idx="minor"/>
      </dsp:style>
    </dsp:sp>
    <dsp:sp modelId="{86B5162C-71FB-4ECA-B016-4C51A5E0BA6E}">
      <dsp:nvSpPr>
        <dsp:cNvPr id="0" name=""/>
        <dsp:cNvSpPr/>
      </dsp:nvSpPr>
      <dsp:spPr>
        <a:xfrm>
          <a:off x="735599" y="503224"/>
          <a:ext cx="5197440" cy="1006972"/>
        </a:xfrm>
        <a:prstGeom prst="rect">
          <a:avLst/>
        </a:prstGeom>
        <a:solidFill>
          <a:srgbClr val="FBE5D6"/>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99284" tIns="88900" rIns="88900" bIns="88900" numCol="1" spcCol="1270" anchor="ctr" anchorCtr="0">
          <a:noAutofit/>
        </a:bodyPr>
        <a:lstStyle/>
        <a:p>
          <a:pPr marL="0" lvl="0" indent="0" algn="l" defTabSz="1555750">
            <a:lnSpc>
              <a:spcPct val="90000"/>
            </a:lnSpc>
            <a:spcBef>
              <a:spcPct val="0"/>
            </a:spcBef>
            <a:spcAft>
              <a:spcPct val="35000"/>
            </a:spcAft>
            <a:buNone/>
          </a:pPr>
          <a:r>
            <a:rPr lang="es-ES" sz="3500" kern="1200">
              <a:solidFill>
                <a:srgbClr val="5F2987"/>
              </a:solidFill>
              <a:latin typeface="Abadi Extra Light" panose="020B0204020104020204" pitchFamily="34" charset="0"/>
            </a:rPr>
            <a:t>Probabilidades</a:t>
          </a:r>
        </a:p>
      </dsp:txBody>
      <dsp:txXfrm>
        <a:off x="735599" y="503224"/>
        <a:ext cx="5197440" cy="1006972"/>
      </dsp:txXfrm>
    </dsp:sp>
    <dsp:sp modelId="{9919267A-B0BA-49F9-8121-042144C5D4BA}">
      <dsp:nvSpPr>
        <dsp:cNvPr id="0" name=""/>
        <dsp:cNvSpPr/>
      </dsp:nvSpPr>
      <dsp:spPr>
        <a:xfrm>
          <a:off x="106241" y="377352"/>
          <a:ext cx="1258715" cy="1258715"/>
        </a:xfrm>
        <a:prstGeom prst="ellipse">
          <a:avLst/>
        </a:prstGeom>
        <a:solidFill>
          <a:schemeClr val="accent2">
            <a:lumMod val="60000"/>
            <a:lumOff val="40000"/>
          </a:schemeClr>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90EEF90B-22E1-4E94-BEFF-42F9D0023BC9}">
      <dsp:nvSpPr>
        <dsp:cNvPr id="0" name=""/>
        <dsp:cNvSpPr/>
      </dsp:nvSpPr>
      <dsp:spPr>
        <a:xfrm>
          <a:off x="1312919" y="2013944"/>
          <a:ext cx="4620120" cy="1006972"/>
        </a:xfrm>
        <a:prstGeom prst="rect">
          <a:avLst/>
        </a:prstGeom>
        <a:solidFill>
          <a:srgbClr val="FFFFCC"/>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99284" tIns="88900" rIns="88900" bIns="88900" numCol="1" spcCol="1270" anchor="ctr" anchorCtr="0">
          <a:noAutofit/>
        </a:bodyPr>
        <a:lstStyle/>
        <a:p>
          <a:pPr marL="0" lvl="0" indent="0" algn="l" defTabSz="1555750">
            <a:lnSpc>
              <a:spcPct val="90000"/>
            </a:lnSpc>
            <a:spcBef>
              <a:spcPct val="0"/>
            </a:spcBef>
            <a:spcAft>
              <a:spcPct val="35000"/>
            </a:spcAft>
            <a:buNone/>
          </a:pPr>
          <a:r>
            <a:rPr lang="es-ES" sz="3500" kern="1200">
              <a:solidFill>
                <a:srgbClr val="5F2987"/>
              </a:solidFill>
              <a:latin typeface="Abadi Extra Light" panose="020B0204020104020204" pitchFamily="34" charset="0"/>
            </a:rPr>
            <a:t>Sorteos</a:t>
          </a:r>
        </a:p>
      </dsp:txBody>
      <dsp:txXfrm>
        <a:off x="1312919" y="2013944"/>
        <a:ext cx="4620120" cy="1006972"/>
      </dsp:txXfrm>
    </dsp:sp>
    <dsp:sp modelId="{70CEED61-2E0B-4542-AE07-99C107522FB3}">
      <dsp:nvSpPr>
        <dsp:cNvPr id="0" name=""/>
        <dsp:cNvSpPr/>
      </dsp:nvSpPr>
      <dsp:spPr>
        <a:xfrm>
          <a:off x="683561" y="1888072"/>
          <a:ext cx="1258715" cy="1258715"/>
        </a:xfrm>
        <a:prstGeom prst="ellipse">
          <a:avLst/>
        </a:prstGeom>
        <a:solidFill>
          <a:srgbClr val="FFFF66"/>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802220A5-D817-4BF9-BCAB-37509A7C486A}">
      <dsp:nvSpPr>
        <dsp:cNvPr id="0" name=""/>
        <dsp:cNvSpPr/>
      </dsp:nvSpPr>
      <dsp:spPr>
        <a:xfrm>
          <a:off x="1312919" y="3524663"/>
          <a:ext cx="4620120" cy="1006972"/>
        </a:xfrm>
        <a:prstGeom prst="rect">
          <a:avLst/>
        </a:prstGeom>
        <a:solidFill>
          <a:srgbClr val="CCECFF"/>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99284" tIns="88900" rIns="88900" bIns="88900" numCol="1" spcCol="1270" anchor="ctr" anchorCtr="0">
          <a:noAutofit/>
        </a:bodyPr>
        <a:lstStyle/>
        <a:p>
          <a:pPr marL="0" lvl="0" indent="0" algn="l" defTabSz="1555750">
            <a:lnSpc>
              <a:spcPct val="90000"/>
            </a:lnSpc>
            <a:spcBef>
              <a:spcPct val="0"/>
            </a:spcBef>
            <a:spcAft>
              <a:spcPct val="35000"/>
            </a:spcAft>
            <a:buNone/>
          </a:pPr>
          <a:r>
            <a:rPr lang="es-ES" sz="3500" kern="1200">
              <a:solidFill>
                <a:srgbClr val="5F2987"/>
              </a:solidFill>
              <a:latin typeface="Abadi Extra Light" panose="020B0204020104020204" pitchFamily="34" charset="0"/>
            </a:rPr>
            <a:t>Temario</a:t>
          </a:r>
        </a:p>
      </dsp:txBody>
      <dsp:txXfrm>
        <a:off x="1312919" y="3524663"/>
        <a:ext cx="4620120" cy="1006972"/>
      </dsp:txXfrm>
    </dsp:sp>
    <dsp:sp modelId="{385FD7A0-D34D-4BD5-A7C1-4CC7C728A6FB}">
      <dsp:nvSpPr>
        <dsp:cNvPr id="0" name=""/>
        <dsp:cNvSpPr/>
      </dsp:nvSpPr>
      <dsp:spPr>
        <a:xfrm>
          <a:off x="683561" y="3398792"/>
          <a:ext cx="1258715" cy="1258715"/>
        </a:xfrm>
        <a:prstGeom prst="ellipse">
          <a:avLst/>
        </a:prstGeom>
        <a:solidFill>
          <a:srgbClr val="6699FF"/>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4E816D31-1116-4D9F-B147-614F3DD02DC8}">
      <dsp:nvSpPr>
        <dsp:cNvPr id="0" name=""/>
        <dsp:cNvSpPr/>
      </dsp:nvSpPr>
      <dsp:spPr>
        <a:xfrm>
          <a:off x="735599" y="5035383"/>
          <a:ext cx="5197440" cy="1006972"/>
        </a:xfrm>
        <a:prstGeom prst="rect">
          <a:avLst/>
        </a:prstGeom>
        <a:solidFill>
          <a:srgbClr val="FFCCCC"/>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99284" tIns="88900" rIns="88900" bIns="88900" numCol="1" spcCol="1270" anchor="ctr" anchorCtr="0">
          <a:noAutofit/>
        </a:bodyPr>
        <a:lstStyle/>
        <a:p>
          <a:pPr marL="0" lvl="0" indent="0" algn="l" defTabSz="1555750">
            <a:lnSpc>
              <a:spcPct val="90000"/>
            </a:lnSpc>
            <a:spcBef>
              <a:spcPct val="0"/>
            </a:spcBef>
            <a:spcAft>
              <a:spcPct val="35000"/>
            </a:spcAft>
            <a:buNone/>
          </a:pPr>
          <a:r>
            <a:rPr lang="es-ES" sz="3500" kern="1200">
              <a:solidFill>
                <a:srgbClr val="5F2987"/>
              </a:solidFill>
              <a:latin typeface="Abadi Extra Light" panose="020B0204020104020204" pitchFamily="34" charset="0"/>
            </a:rPr>
            <a:t>Organización del estudio</a:t>
          </a:r>
        </a:p>
      </dsp:txBody>
      <dsp:txXfrm>
        <a:off x="735599" y="5035383"/>
        <a:ext cx="5197440" cy="1006972"/>
      </dsp:txXfrm>
    </dsp:sp>
    <dsp:sp modelId="{C47B4B03-23FE-4ABE-91DB-AD8438067340}">
      <dsp:nvSpPr>
        <dsp:cNvPr id="0" name=""/>
        <dsp:cNvSpPr/>
      </dsp:nvSpPr>
      <dsp:spPr>
        <a:xfrm>
          <a:off x="106241" y="4909512"/>
          <a:ext cx="1258715" cy="1258715"/>
        </a:xfrm>
        <a:prstGeom prst="ellipse">
          <a:avLst/>
        </a:prstGeom>
        <a:solidFill>
          <a:srgbClr val="FF7C80"/>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927B915-A6E4-4E2E-9F07-F0EDB36A9A01}">
      <dsp:nvSpPr>
        <dsp:cNvPr id="0" name=""/>
        <dsp:cNvSpPr/>
      </dsp:nvSpPr>
      <dsp:spPr>
        <a:xfrm>
          <a:off x="-7048483" y="-1077503"/>
          <a:ext cx="8388167" cy="8388167"/>
        </a:xfrm>
        <a:prstGeom prst="blockArc">
          <a:avLst>
            <a:gd name="adj1" fmla="val 18900000"/>
            <a:gd name="adj2" fmla="val 2700000"/>
            <a:gd name="adj3" fmla="val 258"/>
          </a:avLst>
        </a:pr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590FE2-78BE-4A66-8858-C865CE0254AC}">
      <dsp:nvSpPr>
        <dsp:cNvPr id="0" name=""/>
        <dsp:cNvSpPr/>
      </dsp:nvSpPr>
      <dsp:spPr>
        <a:xfrm>
          <a:off x="700918" y="479205"/>
          <a:ext cx="6924885" cy="958909"/>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1134" tIns="132080" rIns="132080" bIns="132080" numCol="1" spcCol="1270" anchor="ctr" anchorCtr="0">
          <a:noAutofit/>
        </a:bodyPr>
        <a:lstStyle/>
        <a:p>
          <a:pPr marL="0" lvl="0" indent="0" algn="l" defTabSz="2311400">
            <a:lnSpc>
              <a:spcPct val="90000"/>
            </a:lnSpc>
            <a:spcBef>
              <a:spcPct val="0"/>
            </a:spcBef>
            <a:spcAft>
              <a:spcPct val="35000"/>
            </a:spcAft>
            <a:buNone/>
          </a:pPr>
          <a:r>
            <a:rPr lang="es-ES" sz="5200" kern="1200">
              <a:solidFill>
                <a:srgbClr val="5F2987"/>
              </a:solidFill>
              <a:latin typeface="Abadi Extra Light" panose="020B0204020104020204" pitchFamily="34" charset="0"/>
            </a:rPr>
            <a:t>Tercer Ejercicio</a:t>
          </a:r>
        </a:p>
      </dsp:txBody>
      <dsp:txXfrm>
        <a:off x="700918" y="479205"/>
        <a:ext cx="6924885" cy="958909"/>
      </dsp:txXfrm>
    </dsp:sp>
    <dsp:sp modelId="{385FD7A0-D34D-4BD5-A7C1-4CC7C728A6FB}">
      <dsp:nvSpPr>
        <dsp:cNvPr id="0" name=""/>
        <dsp:cNvSpPr/>
      </dsp:nvSpPr>
      <dsp:spPr>
        <a:xfrm>
          <a:off x="101600" y="359341"/>
          <a:ext cx="1198636" cy="1198636"/>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9E87C0A3-09F0-49D1-98C2-E0EE95557A15}">
      <dsp:nvSpPr>
        <dsp:cNvPr id="0" name=""/>
        <dsp:cNvSpPr/>
      </dsp:nvSpPr>
      <dsp:spPr>
        <a:xfrm>
          <a:off x="1250683" y="1917818"/>
          <a:ext cx="6375120" cy="958909"/>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1134" tIns="132080" rIns="132080" bIns="132080" numCol="1" spcCol="1270" anchor="ctr" anchorCtr="0">
          <a:noAutofit/>
        </a:bodyPr>
        <a:lstStyle/>
        <a:p>
          <a:pPr marL="0" lvl="0" indent="0" algn="l" defTabSz="2311400">
            <a:lnSpc>
              <a:spcPct val="90000"/>
            </a:lnSpc>
            <a:spcBef>
              <a:spcPct val="0"/>
            </a:spcBef>
            <a:spcAft>
              <a:spcPct val="35000"/>
            </a:spcAft>
            <a:buNone/>
          </a:pPr>
          <a:r>
            <a:rPr lang="es-ES" sz="5200" kern="1200">
              <a:solidFill>
                <a:srgbClr val="5F2987"/>
              </a:solidFill>
              <a:latin typeface="Abadi Extra Light" panose="020B0204020104020204" pitchFamily="34" charset="0"/>
            </a:rPr>
            <a:t>Cuarto Ejercicio</a:t>
          </a:r>
        </a:p>
      </dsp:txBody>
      <dsp:txXfrm>
        <a:off x="1250683" y="1917818"/>
        <a:ext cx="6375120" cy="958909"/>
      </dsp:txXfrm>
    </dsp:sp>
    <dsp:sp modelId="{C47B4B03-23FE-4ABE-91DB-AD8438067340}">
      <dsp:nvSpPr>
        <dsp:cNvPr id="0" name=""/>
        <dsp:cNvSpPr/>
      </dsp:nvSpPr>
      <dsp:spPr>
        <a:xfrm>
          <a:off x="651364" y="1797955"/>
          <a:ext cx="1198636" cy="1198636"/>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9542ECEE-BCED-4621-934B-CC3828007C65}">
      <dsp:nvSpPr>
        <dsp:cNvPr id="0" name=""/>
        <dsp:cNvSpPr/>
      </dsp:nvSpPr>
      <dsp:spPr>
        <a:xfrm>
          <a:off x="1250683" y="3356431"/>
          <a:ext cx="6375120" cy="958909"/>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1134" tIns="132080" rIns="132080" bIns="132080" numCol="1" spcCol="1270" anchor="ctr" anchorCtr="0">
          <a:noAutofit/>
        </a:bodyPr>
        <a:lstStyle/>
        <a:p>
          <a:pPr marL="0" lvl="0" indent="0" algn="l" defTabSz="2311400">
            <a:lnSpc>
              <a:spcPct val="90000"/>
            </a:lnSpc>
            <a:spcBef>
              <a:spcPct val="0"/>
            </a:spcBef>
            <a:spcAft>
              <a:spcPct val="35000"/>
            </a:spcAft>
            <a:buNone/>
          </a:pPr>
          <a:r>
            <a:rPr lang="es-ES" sz="5200" kern="1200">
              <a:solidFill>
                <a:srgbClr val="5F2987"/>
              </a:solidFill>
              <a:latin typeface="Abadi Extra Light" panose="020B0204020104020204" pitchFamily="34" charset="0"/>
            </a:rPr>
            <a:t>Quinto Ejercicio</a:t>
          </a:r>
        </a:p>
      </dsp:txBody>
      <dsp:txXfrm>
        <a:off x="1250683" y="3356431"/>
        <a:ext cx="6375120" cy="958909"/>
      </dsp:txXfrm>
    </dsp:sp>
    <dsp:sp modelId="{C0894AB5-4989-456B-98B9-C87EAB176388}">
      <dsp:nvSpPr>
        <dsp:cNvPr id="0" name=""/>
        <dsp:cNvSpPr/>
      </dsp:nvSpPr>
      <dsp:spPr>
        <a:xfrm>
          <a:off x="651364" y="3236568"/>
          <a:ext cx="1198636" cy="1198636"/>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AB7BACF0-1B59-4101-926F-CA9B768EBAEA}">
      <dsp:nvSpPr>
        <dsp:cNvPr id="0" name=""/>
        <dsp:cNvSpPr/>
      </dsp:nvSpPr>
      <dsp:spPr>
        <a:xfrm>
          <a:off x="700918" y="4795045"/>
          <a:ext cx="6924885" cy="958909"/>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1134" tIns="132080" rIns="132080" bIns="132080" numCol="1" spcCol="1270" anchor="ctr" anchorCtr="0">
          <a:noAutofit/>
        </a:bodyPr>
        <a:lstStyle/>
        <a:p>
          <a:pPr marL="0" lvl="0" indent="0" algn="l" defTabSz="2311400">
            <a:lnSpc>
              <a:spcPct val="90000"/>
            </a:lnSpc>
            <a:spcBef>
              <a:spcPct val="0"/>
            </a:spcBef>
            <a:spcAft>
              <a:spcPct val="35000"/>
            </a:spcAft>
            <a:buNone/>
          </a:pPr>
          <a:r>
            <a:rPr lang="es-ES" sz="5200" kern="1200">
              <a:solidFill>
                <a:srgbClr val="5F2987"/>
              </a:solidFill>
              <a:latin typeface="Abadi Extra Light" panose="020B0204020104020204" pitchFamily="34" charset="0"/>
            </a:rPr>
            <a:t>Probabilidad total</a:t>
          </a:r>
        </a:p>
      </dsp:txBody>
      <dsp:txXfrm>
        <a:off x="700918" y="4795045"/>
        <a:ext cx="6924885" cy="958909"/>
      </dsp:txXfrm>
    </dsp:sp>
    <dsp:sp modelId="{97F9E097-A093-4D59-888B-EAF3D532B784}">
      <dsp:nvSpPr>
        <dsp:cNvPr id="0" name=""/>
        <dsp:cNvSpPr/>
      </dsp:nvSpPr>
      <dsp:spPr>
        <a:xfrm>
          <a:off x="101600" y="4675181"/>
          <a:ext cx="1198636" cy="1198636"/>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927B915-A6E4-4E2E-9F07-F0EDB36A9A01}">
      <dsp:nvSpPr>
        <dsp:cNvPr id="0" name=""/>
        <dsp:cNvSpPr/>
      </dsp:nvSpPr>
      <dsp:spPr>
        <a:xfrm>
          <a:off x="-4745641" y="-732805"/>
          <a:ext cx="5694710" cy="5694710"/>
        </a:xfrm>
        <a:prstGeom prst="blockArc">
          <a:avLst>
            <a:gd name="adj1" fmla="val 18900000"/>
            <a:gd name="adj2" fmla="val 2700000"/>
            <a:gd name="adj3" fmla="val 379"/>
          </a:avLst>
        </a:prstGeom>
        <a:solidFill>
          <a:schemeClr val="accent6">
            <a:lumMod val="20000"/>
            <a:lumOff val="80000"/>
          </a:schemeClr>
        </a:solidFill>
        <a:ln w="12700" cap="flat" cmpd="sng" algn="ctr">
          <a:solidFill>
            <a:srgbClr val="5F2987"/>
          </a:solidFill>
          <a:prstDash val="solid"/>
          <a:miter lim="800000"/>
        </a:ln>
        <a:effectLst/>
      </dsp:spPr>
      <dsp:style>
        <a:lnRef idx="2">
          <a:scrgbClr r="0" g="0" b="0"/>
        </a:lnRef>
        <a:fillRef idx="0">
          <a:scrgbClr r="0" g="0" b="0"/>
        </a:fillRef>
        <a:effectRef idx="0">
          <a:scrgbClr r="0" g="0" b="0"/>
        </a:effectRef>
        <a:fontRef idx="minor"/>
      </dsp:style>
    </dsp:sp>
    <dsp:sp modelId="{86B5162C-71FB-4ECA-B016-4C51A5E0BA6E}">
      <dsp:nvSpPr>
        <dsp:cNvPr id="0" name=""/>
        <dsp:cNvSpPr/>
      </dsp:nvSpPr>
      <dsp:spPr>
        <a:xfrm>
          <a:off x="777414" y="604169"/>
          <a:ext cx="6915527" cy="1208169"/>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958984" tIns="101600" rIns="101600" bIns="101600" numCol="1" spcCol="1270" anchor="ctr" anchorCtr="0">
          <a:noAutofit/>
        </a:bodyPr>
        <a:lstStyle/>
        <a:p>
          <a:pPr marL="0" lvl="0" indent="0" algn="l" defTabSz="1778000">
            <a:lnSpc>
              <a:spcPct val="90000"/>
            </a:lnSpc>
            <a:spcBef>
              <a:spcPct val="0"/>
            </a:spcBef>
            <a:spcAft>
              <a:spcPct val="35000"/>
            </a:spcAft>
            <a:buNone/>
          </a:pPr>
          <a:r>
            <a:rPr lang="es-ES" sz="4000" kern="1200">
              <a:solidFill>
                <a:srgbClr val="5F2987"/>
              </a:solidFill>
              <a:latin typeface="Abadi Extra Light" panose="020B0204020104020204" pitchFamily="34" charset="0"/>
            </a:rPr>
            <a:t>Simulador de sorteos</a:t>
          </a:r>
        </a:p>
      </dsp:txBody>
      <dsp:txXfrm>
        <a:off x="777414" y="604169"/>
        <a:ext cx="6915527" cy="1208169"/>
      </dsp:txXfrm>
    </dsp:sp>
    <dsp:sp modelId="{9919267A-B0BA-49F9-8121-042144C5D4BA}">
      <dsp:nvSpPr>
        <dsp:cNvPr id="0" name=""/>
        <dsp:cNvSpPr/>
      </dsp:nvSpPr>
      <dsp:spPr>
        <a:xfrm>
          <a:off x="22308" y="453148"/>
          <a:ext cx="1510211" cy="1510211"/>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BC78BF7B-4843-4935-8F5B-015AF0AC67BD}">
      <dsp:nvSpPr>
        <dsp:cNvPr id="0" name=""/>
        <dsp:cNvSpPr/>
      </dsp:nvSpPr>
      <dsp:spPr>
        <a:xfrm>
          <a:off x="777414" y="2416761"/>
          <a:ext cx="6915527" cy="1208169"/>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958984" tIns="101600" rIns="101600" bIns="101600" numCol="1" spcCol="1270" anchor="ctr" anchorCtr="0">
          <a:noAutofit/>
        </a:bodyPr>
        <a:lstStyle/>
        <a:p>
          <a:pPr marL="0" lvl="0" indent="0" algn="l" defTabSz="1778000">
            <a:lnSpc>
              <a:spcPct val="90000"/>
            </a:lnSpc>
            <a:spcBef>
              <a:spcPct val="0"/>
            </a:spcBef>
            <a:spcAft>
              <a:spcPct val="35000"/>
            </a:spcAft>
            <a:buNone/>
          </a:pPr>
          <a:r>
            <a:rPr lang="es-ES" sz="4000" kern="1200">
              <a:solidFill>
                <a:srgbClr val="5F2987"/>
              </a:solidFill>
              <a:latin typeface="Abadi Extra Light" panose="020B0204020104020204" pitchFamily="34" charset="0"/>
            </a:rPr>
            <a:t>Sorteo de temas predefinidos</a:t>
          </a:r>
        </a:p>
      </dsp:txBody>
      <dsp:txXfrm>
        <a:off x="777414" y="2416761"/>
        <a:ext cx="6915527" cy="1208169"/>
      </dsp:txXfrm>
    </dsp:sp>
    <dsp:sp modelId="{97F9E097-A093-4D59-888B-EAF3D532B784}">
      <dsp:nvSpPr>
        <dsp:cNvPr id="0" name=""/>
        <dsp:cNvSpPr/>
      </dsp:nvSpPr>
      <dsp:spPr>
        <a:xfrm>
          <a:off x="22308" y="2265740"/>
          <a:ext cx="1510211" cy="1510211"/>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927B915-A6E4-4E2E-9F07-F0EDB36A9A01}">
      <dsp:nvSpPr>
        <dsp:cNvPr id="0" name=""/>
        <dsp:cNvSpPr/>
      </dsp:nvSpPr>
      <dsp:spPr>
        <a:xfrm>
          <a:off x="-4984788" y="-769503"/>
          <a:ext cx="5981466" cy="5981466"/>
        </a:xfrm>
        <a:prstGeom prst="blockArc">
          <a:avLst>
            <a:gd name="adj1" fmla="val 18900000"/>
            <a:gd name="adj2" fmla="val 2700000"/>
            <a:gd name="adj3" fmla="val 361"/>
          </a:avLst>
        </a:prstGeom>
        <a:solidFill>
          <a:schemeClr val="accent6">
            <a:lumMod val="20000"/>
            <a:lumOff val="80000"/>
          </a:schemeClr>
        </a:solidFill>
        <a:ln w="12700" cap="flat" cmpd="sng" algn="ctr">
          <a:solidFill>
            <a:srgbClr val="5F2987"/>
          </a:solidFill>
          <a:prstDash val="solid"/>
          <a:miter lim="800000"/>
        </a:ln>
        <a:effectLst/>
      </dsp:spPr>
      <dsp:style>
        <a:lnRef idx="2">
          <a:scrgbClr r="0" g="0" b="0"/>
        </a:lnRef>
        <a:fillRef idx="0">
          <a:scrgbClr r="0" g="0" b="0"/>
        </a:fillRef>
        <a:effectRef idx="0">
          <a:scrgbClr r="0" g="0" b="0"/>
        </a:effectRef>
        <a:fontRef idx="minor"/>
      </dsp:style>
    </dsp:sp>
    <dsp:sp modelId="{86B5162C-71FB-4ECA-B016-4C51A5E0BA6E}">
      <dsp:nvSpPr>
        <dsp:cNvPr id="0" name=""/>
        <dsp:cNvSpPr/>
      </dsp:nvSpPr>
      <dsp:spPr>
        <a:xfrm>
          <a:off x="816635" y="634649"/>
          <a:ext cx="6347495" cy="1269121"/>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07366" tIns="106680" rIns="106680" bIns="106680" numCol="1" spcCol="1270" anchor="ctr" anchorCtr="0">
          <a:noAutofit/>
        </a:bodyPr>
        <a:lstStyle/>
        <a:p>
          <a:pPr marL="0" lvl="0" indent="0" algn="l" defTabSz="1866900">
            <a:lnSpc>
              <a:spcPct val="90000"/>
            </a:lnSpc>
            <a:spcBef>
              <a:spcPct val="0"/>
            </a:spcBef>
            <a:spcAft>
              <a:spcPct val="35000"/>
            </a:spcAft>
            <a:buNone/>
          </a:pPr>
          <a:r>
            <a:rPr lang="es-ES" sz="4200" kern="1200">
              <a:solidFill>
                <a:srgbClr val="5F2987"/>
              </a:solidFill>
              <a:latin typeface="Abadi Extra Light" panose="020B0204020104020204" pitchFamily="34" charset="0"/>
            </a:rPr>
            <a:t>Listado de temas</a:t>
          </a:r>
        </a:p>
      </dsp:txBody>
      <dsp:txXfrm>
        <a:off x="816635" y="634649"/>
        <a:ext cx="6347495" cy="1269121"/>
      </dsp:txXfrm>
    </dsp:sp>
    <dsp:sp modelId="{9919267A-B0BA-49F9-8121-042144C5D4BA}">
      <dsp:nvSpPr>
        <dsp:cNvPr id="0" name=""/>
        <dsp:cNvSpPr/>
      </dsp:nvSpPr>
      <dsp:spPr>
        <a:xfrm>
          <a:off x="23433" y="476009"/>
          <a:ext cx="1586402" cy="1586402"/>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C25C84E9-D101-49A0-8476-789D98EC181C}">
      <dsp:nvSpPr>
        <dsp:cNvPr id="0" name=""/>
        <dsp:cNvSpPr/>
      </dsp:nvSpPr>
      <dsp:spPr>
        <a:xfrm>
          <a:off x="816635" y="2538688"/>
          <a:ext cx="6347495" cy="1269121"/>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07366" tIns="106680" rIns="106680" bIns="106680" numCol="1" spcCol="1270" anchor="ctr" anchorCtr="0">
          <a:noAutofit/>
        </a:bodyPr>
        <a:lstStyle/>
        <a:p>
          <a:pPr marL="0" lvl="0" indent="0" algn="l" defTabSz="1866900">
            <a:lnSpc>
              <a:spcPct val="90000"/>
            </a:lnSpc>
            <a:spcBef>
              <a:spcPct val="0"/>
            </a:spcBef>
            <a:spcAft>
              <a:spcPct val="35000"/>
            </a:spcAft>
            <a:buNone/>
          </a:pPr>
          <a:r>
            <a:rPr lang="es-ES" sz="4200" kern="1200">
              <a:solidFill>
                <a:srgbClr val="5F2987"/>
              </a:solidFill>
              <a:latin typeface="Abadi Extra Light" panose="020B0204020104020204" pitchFamily="34" charset="0"/>
            </a:rPr>
            <a:t>Tabla dinámica de temas</a:t>
          </a:r>
        </a:p>
      </dsp:txBody>
      <dsp:txXfrm>
        <a:off x="816635" y="2538688"/>
        <a:ext cx="6347495" cy="1269121"/>
      </dsp:txXfrm>
    </dsp:sp>
    <dsp:sp modelId="{F1F94720-9106-4C68-92AC-0B62C96B4489}">
      <dsp:nvSpPr>
        <dsp:cNvPr id="0" name=""/>
        <dsp:cNvSpPr/>
      </dsp:nvSpPr>
      <dsp:spPr>
        <a:xfrm>
          <a:off x="23433" y="2380047"/>
          <a:ext cx="1586402" cy="1586402"/>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927B915-A6E4-4E2E-9F07-F0EDB36A9A01}">
      <dsp:nvSpPr>
        <dsp:cNvPr id="0" name=""/>
        <dsp:cNvSpPr/>
      </dsp:nvSpPr>
      <dsp:spPr>
        <a:xfrm>
          <a:off x="-4984788" y="-769503"/>
          <a:ext cx="5981466" cy="5981466"/>
        </a:xfrm>
        <a:prstGeom prst="blockArc">
          <a:avLst>
            <a:gd name="adj1" fmla="val 18900000"/>
            <a:gd name="adj2" fmla="val 2700000"/>
            <a:gd name="adj3" fmla="val 361"/>
          </a:avLst>
        </a:prstGeom>
        <a:solidFill>
          <a:schemeClr val="accent6">
            <a:lumMod val="20000"/>
            <a:lumOff val="80000"/>
          </a:schemeClr>
        </a:solidFill>
        <a:ln w="12700" cap="flat" cmpd="sng" algn="ctr">
          <a:solidFill>
            <a:srgbClr val="5F2987"/>
          </a:solidFill>
          <a:prstDash val="solid"/>
          <a:miter lim="800000"/>
        </a:ln>
        <a:effectLst/>
      </dsp:spPr>
      <dsp:style>
        <a:lnRef idx="2">
          <a:scrgbClr r="0" g="0" b="0"/>
        </a:lnRef>
        <a:fillRef idx="0">
          <a:scrgbClr r="0" g="0" b="0"/>
        </a:fillRef>
        <a:effectRef idx="0">
          <a:scrgbClr r="0" g="0" b="0"/>
        </a:effectRef>
        <a:fontRef idx="minor"/>
      </dsp:style>
    </dsp:sp>
    <dsp:sp modelId="{86B5162C-71FB-4ECA-B016-4C51A5E0BA6E}">
      <dsp:nvSpPr>
        <dsp:cNvPr id="0" name=""/>
        <dsp:cNvSpPr/>
      </dsp:nvSpPr>
      <dsp:spPr>
        <a:xfrm>
          <a:off x="816635" y="634649"/>
          <a:ext cx="5187350" cy="1269121"/>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07366" tIns="101600" rIns="101600" bIns="101600" numCol="1" spcCol="1270" anchor="ctr" anchorCtr="0">
          <a:noAutofit/>
        </a:bodyPr>
        <a:lstStyle/>
        <a:p>
          <a:pPr marL="0" lvl="0" indent="0" algn="l" defTabSz="1778000">
            <a:lnSpc>
              <a:spcPct val="90000"/>
            </a:lnSpc>
            <a:spcBef>
              <a:spcPct val="0"/>
            </a:spcBef>
            <a:spcAft>
              <a:spcPct val="35000"/>
            </a:spcAft>
            <a:buNone/>
          </a:pPr>
          <a:r>
            <a:rPr lang="es-ES" sz="4000" kern="1200">
              <a:solidFill>
                <a:srgbClr val="5F2987"/>
              </a:solidFill>
              <a:latin typeface="Abadi Extra Light" panose="020B0204020104020204" pitchFamily="34" charset="0"/>
            </a:rPr>
            <a:t>Calendario-cronograma</a:t>
          </a:r>
        </a:p>
      </dsp:txBody>
      <dsp:txXfrm>
        <a:off x="816635" y="634649"/>
        <a:ext cx="5187350" cy="1269121"/>
      </dsp:txXfrm>
    </dsp:sp>
    <dsp:sp modelId="{9919267A-B0BA-49F9-8121-042144C5D4BA}">
      <dsp:nvSpPr>
        <dsp:cNvPr id="0" name=""/>
        <dsp:cNvSpPr/>
      </dsp:nvSpPr>
      <dsp:spPr>
        <a:xfrm>
          <a:off x="23433" y="476009"/>
          <a:ext cx="1586402" cy="1586402"/>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 modelId="{C25C84E9-D101-49A0-8476-789D98EC181C}">
      <dsp:nvSpPr>
        <dsp:cNvPr id="0" name=""/>
        <dsp:cNvSpPr/>
      </dsp:nvSpPr>
      <dsp:spPr>
        <a:xfrm>
          <a:off x="816635" y="2538688"/>
          <a:ext cx="5187350" cy="1269121"/>
        </a:xfrm>
        <a:prstGeom prst="rect">
          <a:avLst/>
        </a:prstGeom>
        <a:solidFill>
          <a:schemeClr val="bg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07366" tIns="101600" rIns="101600" bIns="101600" numCol="1" spcCol="1270" anchor="ctr" anchorCtr="0">
          <a:noAutofit/>
        </a:bodyPr>
        <a:lstStyle/>
        <a:p>
          <a:pPr marL="0" lvl="0" indent="0" algn="l" defTabSz="1778000">
            <a:lnSpc>
              <a:spcPct val="90000"/>
            </a:lnSpc>
            <a:spcBef>
              <a:spcPct val="0"/>
            </a:spcBef>
            <a:spcAft>
              <a:spcPct val="35000"/>
            </a:spcAft>
            <a:buNone/>
          </a:pPr>
          <a:r>
            <a:rPr lang="es-ES" sz="4000" kern="1200">
              <a:solidFill>
                <a:srgbClr val="5F2987"/>
              </a:solidFill>
              <a:latin typeface="Abadi Extra Light" panose="020B0204020104020204" pitchFamily="34" charset="0"/>
            </a:rPr>
            <a:t>Horario de estudio</a:t>
          </a:r>
        </a:p>
      </dsp:txBody>
      <dsp:txXfrm>
        <a:off x="816635" y="2538688"/>
        <a:ext cx="5187350" cy="1269121"/>
      </dsp:txXfrm>
    </dsp:sp>
    <dsp:sp modelId="{F1F94720-9106-4C68-92AC-0B62C96B4489}">
      <dsp:nvSpPr>
        <dsp:cNvPr id="0" name=""/>
        <dsp:cNvSpPr/>
      </dsp:nvSpPr>
      <dsp:spPr>
        <a:xfrm>
          <a:off x="23433" y="2380047"/>
          <a:ext cx="1586402" cy="1586402"/>
        </a:xfrm>
        <a:prstGeom prst="ellipse">
          <a:avLst/>
        </a:prstGeom>
        <a:solidFill>
          <a:srgbClr val="E2CFF1"/>
        </a:solidFill>
        <a:ln w="12700" cap="flat" cmpd="sng" algn="ctr">
          <a:solidFill>
            <a:srgbClr val="5F2987"/>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8/layout/VerticalCurvedList">
  <dgm:title val=""/>
  <dgm:desc val=""/>
  <dgm:catLst>
    <dgm:cat type="list" pri="20000"/>
  </dgm:catLst>
  <dgm:sampData>
    <dgm:dataModel>
      <dgm:ptLst>
        <dgm:pt modelId="0" type="doc"/>
        <dgm:pt modelId="1">
          <dgm:prSet phldr="1"/>
        </dgm:pt>
        <dgm:pt modelId="2">
          <dgm:prSet phldr="1"/>
        </dgm:pt>
        <dgm:pt modelId="3">
          <dgm:prSet phldr="1"/>
        </dgm:pt>
      </dgm:ptLst>
      <dgm:cxnLst>
        <dgm:cxn modelId="4" srcId="0" destId="1" srcOrd="0" destOrd="0"/>
        <dgm:cxn modelId="5" srcId="0" destId="2" srcOrd="1" destOrd="0"/>
        <dgm:cxn modelId="6" srcId="0" destId="3" srcOrd="2" destOrd="0"/>
      </dgm:cxnLst>
      <dgm:bg/>
      <dgm:whole/>
    </dgm:dataModel>
  </dgm:sampData>
  <dgm:styleData>
    <dgm:dataModel>
      <dgm:ptLst>
        <dgm:pt modelId="0" type="doc"/>
        <dgm:pt modelId="1">
          <dgm:prSet phldr="1"/>
        </dgm:pt>
        <dgm:pt modelId="2">
          <dgm:prSet phldr="1"/>
        </dgm:pt>
      </dgm:ptLst>
      <dgm:cxnLst>
        <dgm:cxn modelId="3" srcId="0" destId="1" srcOrd="0" destOrd="0"/>
        <dgm:cxn modelId="4" srcId="0" destId="2" srcOrd="1"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0.8"/>
    </dgm:constrLst>
    <dgm:layoutNode name="Name1">
      <dgm:alg type="composite"/>
      <dgm:shape xmlns:r="http://schemas.openxmlformats.org/officeDocument/2006/relationships" r:blip="">
        <dgm:adjLst/>
      </dgm:shape>
      <dgm:choose name="Name2">
        <dgm:if name="Name3" func="var" arg="dir" op="equ" val="norm">
          <dgm:choose name="Name4">
            <dgm:if name="Name5" axis="ch" ptType="node" func="cnt" op="equ" val="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h" fact="0.225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primFontSz" for="ch" ptType="node" op="equ" val="65"/>
              </dgm:constrLst>
            </dgm:if>
            <dgm:if name="Name6" axis="ch" ptType="node" func="cnt" op="equ" val="2">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h" fact="0.1891"/>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h" fact="0.1891"/>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primFontSz" for="ch" ptType="node" op="equ" val="65"/>
              </dgm:constrLst>
            </dgm:if>
            <dgm:if name="Name7" axis="ch" ptType="node" func="cnt" op="equ" val="3">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h" fact="0.1526"/>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h" fact="0.2253"/>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h" fact="0.1526"/>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primFontSz" for="ch" ptType="node" op="equ" val="65"/>
              </dgm:constrLst>
            </dgm:if>
            <dgm:if name="Name8" axis="ch" ptType="node" func="cnt" op="equ" val="4">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h" fact="0.1268"/>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h" fact="0.215"/>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h" fact="0.21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h" fact="0.126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primFontSz" for="ch" ptType="node" op="equ" val="65"/>
              </dgm:constrLst>
            </dgm:if>
            <dgm:if name="Name9" axis="ch" ptType="node" func="cnt" op="equ" val="5">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h" fact="0.1082"/>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h" fact="0.197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h" fact="0.2253"/>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h" fact="0.197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h" fact="0.1082"/>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primFontSz" for="ch" ptType="node" op="equ" val="65"/>
              </dgm:constrLst>
            </dgm:if>
            <dgm:if name="Name10" axis="ch" ptType="node" func="cnt" op="equ" val="6">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h" fact="0.094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h" fact="0.1809"/>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h" fact="0.220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h" fact="0.2205"/>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h" fact="0.18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h" fact="0.0943"/>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primFontSz" for="ch" ptType="node" op="equ" val="65"/>
              </dgm:constrLst>
            </dgm:if>
            <dgm:else name="Name1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h" fact="0.0835"/>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h" fact="0.165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h" fact="0.2109"/>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h" fact="0.2253"/>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h" fact="0.21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h" fact="0.1658"/>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h" fact="0.0835"/>
                <dgm:constr type="l" for="ch" forName="text_7" refType="ctrX" refFor="ch" refForName="accent_7"/>
                <dgm:constr type="r" for="ch" forName="text_7" refType="w"/>
                <dgm:constr type="w" for="ch" forName="text_7" refType="h" refFor="ch" refForName="text_7" op="gte"/>
                <dgm:constr type="h" for="ch" forName="text_7" refType="h" refFor="ch" refForName="accent_7" fact="0.8"/>
                <dgm:constr type="ctrY" for="ch" forName="text_7" refType="ctrY" refFor="ch" refForName="accent_7"/>
                <dgm:constr type="lMarg" for="ch" forName="text_7" refType="w" refFor="ch" refForName="accent_7" fact="1.8"/>
                <dgm:constr type="primFontSz" for="ch" ptType="node" op="equ" val="65"/>
              </dgm:constrLst>
            </dgm:else>
          </dgm:choose>
        </dgm:if>
        <dgm:else name="Name12">
          <dgm:choose name="Name13">
            <dgm:if name="Name14" axis="ch" ptType="node" func="cnt" op="equ" val="1">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w"/>
                <dgm:constr type="ctrXOff" for="ch" forName="accent_1" refType="h" fact="-0.225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primFontSz" for="ch" ptType="node" op="equ" val="65"/>
              </dgm:constrLst>
            </dgm:if>
            <dgm:if name="Name15" axis="ch" ptType="node" func="cnt" op="equ" val="2">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w"/>
                <dgm:constr type="ctrXOff" for="ch" forName="accent_1" refType="h" fact="-0.1891"/>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w"/>
                <dgm:constr type="ctrXOff" for="ch" forName="accent_2" refType="h" fact="-0.1891"/>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primFontSz" for="ch" ptType="node" op="equ" val="65"/>
              </dgm:constrLst>
            </dgm:if>
            <dgm:if name="Name16" axis="ch" ptType="node" func="cnt" op="equ" val="3">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w"/>
                <dgm:constr type="ctrXOff" for="ch" forName="accent_1" refType="h" fact="-0.1526"/>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w"/>
                <dgm:constr type="ctrXOff" for="ch" forName="accent_2" refType="h" fact="-0.2253"/>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w"/>
                <dgm:constr type="ctrXOff" for="ch" forName="accent_3" refType="h" fact="-0.1526"/>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primFontSz" for="ch" ptType="node" op="equ" val="65"/>
              </dgm:constrLst>
            </dgm:if>
            <dgm:if name="Name17" axis="ch" ptType="node" func="cnt" op="equ" val="4">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w"/>
                <dgm:constr type="ctrXOff" for="ch" forName="accent_1" refType="h" fact="-0.1268"/>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w"/>
                <dgm:constr type="ctrXOff" for="ch" forName="accent_2" refType="h" fact="-0.215"/>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w"/>
                <dgm:constr type="ctrXOff" for="ch" forName="accent_3" refType="h" fact="-0.21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w"/>
                <dgm:constr type="ctrXOff" for="ch" forName="accent_4" refType="h" fact="-0.126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primFontSz" for="ch" ptType="node" op="equ" val="65"/>
              </dgm:constrLst>
            </dgm:if>
            <dgm:if name="Name18" axis="ch" ptType="node" func="cnt" op="equ" val="5">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w"/>
                <dgm:constr type="ctrXOff" for="ch" forName="accent_1" refType="h" fact="-0.1082"/>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w"/>
                <dgm:constr type="ctrXOff" for="ch" forName="accent_2" refType="h" fact="-0.197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w"/>
                <dgm:constr type="ctrXOff" for="ch" forName="accent_3" refType="h" fact="-0.2253"/>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w"/>
                <dgm:constr type="ctrXOff" for="ch" forName="accent_4" refType="h" fact="-0.197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w"/>
                <dgm:constr type="ctrXOff" for="ch" forName="accent_5" refType="h" fact="-0.1082"/>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primFontSz" for="ch" ptType="node" op="equ" val="65"/>
              </dgm:constrLst>
            </dgm:if>
            <dgm:if name="Name19" axis="ch" ptType="node" func="cnt" op="equ" val="6">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w"/>
                <dgm:constr type="ctrXOff" for="ch" forName="accent_1" refType="h" fact="-0.094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w"/>
                <dgm:constr type="ctrXOff" for="ch" forName="accent_2" refType="h" fact="-0.1809"/>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w"/>
                <dgm:constr type="ctrXOff" for="ch" forName="accent_3" refType="h" fact="-0.220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w"/>
                <dgm:constr type="ctrXOff" for="ch" forName="accent_4" refType="h" fact="-0.2205"/>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w"/>
                <dgm:constr type="ctrXOff" for="ch" forName="accent_5" refType="h" fact="-0.18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w"/>
                <dgm:constr type="ctrXOff" for="ch" forName="accent_6" refType="h" fact="-0.0943"/>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primFontSz" for="ch" ptType="node" op="equ" val="65"/>
              </dgm:constrLst>
            </dgm:if>
            <dgm:else name="Name20">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w"/>
                <dgm:constr type="ctrXOff" for="ch" forName="accent_1" refType="h" fact="-0.0835"/>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w"/>
                <dgm:constr type="ctrXOff" for="ch" forName="accent_2" refType="h" fact="-0.165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w"/>
                <dgm:constr type="ctrXOff" for="ch" forName="accent_3" refType="h" fact="-0.2109"/>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w"/>
                <dgm:constr type="ctrXOff" for="ch" forName="accent_4" refType="h" fact="-0.2253"/>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w"/>
                <dgm:constr type="ctrXOff" for="ch" forName="accent_5" refType="h" fact="-0.21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w"/>
                <dgm:constr type="ctrXOff" for="ch" forName="accent_6" refType="h" fact="-0.1658"/>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w"/>
                <dgm:constr type="ctrXOff" for="ch" forName="accent_7" refType="h" fact="-0.0835"/>
                <dgm:constr type="r" for="ch" forName="text_7" refType="ctrX" refFor="ch" refForName="accent_7"/>
                <dgm:constr type="rOff" for="ch" forName="text_7" refType="ctrXOff" refFor="ch" refForName="accent_7"/>
                <dgm:constr type="l" for="ch" forName="text_7"/>
                <dgm:constr type="w" for="ch" forName="text_7" refType="h" refFor="ch" refForName="text_7" op="gte"/>
                <dgm:constr type="h" for="ch" forName="text_7" refType="h" refFor="ch" refForName="accent_7" fact="0.8"/>
                <dgm:constr type="ctrY" for="ch" forName="text_7" refType="ctrY" refFor="ch" refForName="accent_7"/>
                <dgm:constr type="rMarg" for="ch" forName="text_7" refType="w" refFor="ch" refForName="accent_7" fact="1.8"/>
                <dgm:constr type="primFontSz" for="ch" ptType="node" op="equ" val="65"/>
              </dgm:constrLst>
            </dgm:else>
          </dgm:choose>
        </dgm:else>
      </dgm:choose>
      <dgm:layoutNode name="cycle">
        <dgm:choose name="Name21">
          <dgm:if name="Name22" func="var" arg="dir" op="equ" val="norm">
            <dgm:alg type="cycle">
              <dgm:param type="stAng" val="45"/>
              <dgm:param type="spanAng" val="90"/>
            </dgm:alg>
          </dgm:if>
          <dgm:else name="Name23">
            <dgm:alg type="cycle">
              <dgm:param type="stAng" val="225"/>
              <dgm:param type="spanAng" val="90"/>
            </dgm:alg>
          </dgm:else>
        </dgm:choose>
        <dgm:shape xmlns:r="http://schemas.openxmlformats.org/officeDocument/2006/relationships" r:blip="">
          <dgm:adjLst/>
        </dgm:shape>
        <dgm:presOf/>
        <dgm:constrLst>
          <dgm:constr type="w" for="ch" val="1"/>
          <dgm:constr type="h" for="ch" val="1"/>
          <dgm:constr type="diam" for="ch" forName="conn" refType="diam"/>
        </dgm:constrLst>
        <dgm:layoutNode name="srcNode">
          <dgm:alg type="sp"/>
          <dgm:shape xmlns:r="http://schemas.openxmlformats.org/officeDocument/2006/relationships" type="rect" r:blip="" hideGeom="1">
            <dgm:adjLst/>
          </dgm:shape>
          <dgm:presOf/>
        </dgm:layoutNode>
        <dgm:layoutNode name="conn" styleLbl="parChTrans1D2">
          <dgm:alg type="conn">
            <dgm:param type="connRout" val="curve"/>
            <dgm:param type="srcNode" val="srcNode"/>
            <dgm:param type="dstNode" val="dstNode"/>
            <dgm:param type="begPts" val="ctr"/>
            <dgm:param type="endPts" val="ctr"/>
            <dgm:param type="endSty" val="noArr"/>
          </dgm:alg>
          <dgm:shape xmlns:r="http://schemas.openxmlformats.org/officeDocument/2006/relationships" type="conn" r:blip="">
            <dgm:adjLst/>
          </dgm:shape>
          <dgm:presOf axis="desOrSelf" ptType="sibTrans" hideLastTrans="0" st="0" cnt="1"/>
          <dgm:constrLst>
            <dgm:constr type="begPad"/>
            <dgm:constr type="endPad"/>
          </dgm:constrLst>
        </dgm:layoutNode>
        <dgm:layoutNode name="extraNode">
          <dgm:alg type="sp"/>
          <dgm:shape xmlns:r="http://schemas.openxmlformats.org/officeDocument/2006/relationships" type="rect" r:blip="" hideGeom="1">
            <dgm:adjLst/>
          </dgm:shape>
          <dgm:presOf/>
        </dgm:layoutNode>
        <dgm:layoutNode name="dstNode">
          <dgm:alg type="sp"/>
          <dgm:shape xmlns:r="http://schemas.openxmlformats.org/officeDocument/2006/relationships" type="rect" r:blip="" hideGeom="1">
            <dgm:adjLst/>
          </dgm:shape>
          <dgm:presOf/>
        </dgm:layoutNode>
      </dgm:layoutNode>
      <dgm:forEach name="wrapper" axis="self" ptType="parTrans">
        <dgm:forEach name="wrapper2" axis="self" ptType="sibTrans" st="2">
          <dgm:forEach name="accentRepeat" axis="self">
            <dgm:layoutNode name="accentRepeatNode" styleLbl="solidFgAcc1">
              <dgm:alg type="sp"/>
              <dgm:shape xmlns:r="http://schemas.openxmlformats.org/officeDocument/2006/relationships" type="ellipse" r:blip="">
                <dgm:adjLst/>
              </dgm:shape>
              <dgm:presOf/>
            </dgm:layoutNode>
          </dgm:forEach>
        </dgm:forEach>
      </dgm:forEach>
      <dgm:forEach name="Name24" axis="ch" ptType="node" cnt="1">
        <dgm:layoutNode name="text_1" styleLbl="node1">
          <dgm:varLst>
            <dgm:bulletEnabled val="1"/>
          </dgm:varLst>
          <dgm:choose name="Name25">
            <dgm:if name="Name26" func="var" arg="dir" op="equ" val="norm">
              <dgm:alg type="tx">
                <dgm:param type="parTxLTRAlign" val="l"/>
                <dgm:param type="shpTxLTRAlignCh" val="l"/>
                <dgm:param type="parTxRTLAlign" val="l"/>
                <dgm:param type="shpTxRTLAlignCh" val="l"/>
              </dgm:alg>
            </dgm:if>
            <dgm:else name="Name2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1">
          <dgm:alg type="sp"/>
          <dgm:shape xmlns:r="http://schemas.openxmlformats.org/officeDocument/2006/relationships" r:blip="">
            <dgm:adjLst/>
          </dgm:shape>
          <dgm:presOf/>
          <dgm:constrLst/>
          <dgm:forEach name="Name28" ref="accentRepeat"/>
        </dgm:layoutNode>
      </dgm:forEach>
      <dgm:forEach name="Name29" axis="ch" ptType="node" st="2" cnt="1">
        <dgm:layoutNode name="text_2" styleLbl="node1">
          <dgm:varLst>
            <dgm:bulletEnabled val="1"/>
          </dgm:varLst>
          <dgm:choose name="Name30">
            <dgm:if name="Name31" func="var" arg="dir" op="equ" val="norm">
              <dgm:alg type="tx">
                <dgm:param type="parTxLTRAlign" val="l"/>
                <dgm:param type="shpTxLTRAlignCh" val="l"/>
                <dgm:param type="parTxRTLAlign" val="l"/>
                <dgm:param type="shpTxRTLAlignCh" val="l"/>
              </dgm:alg>
            </dgm:if>
            <dgm:else name="Name3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2">
          <dgm:alg type="sp"/>
          <dgm:shape xmlns:r="http://schemas.openxmlformats.org/officeDocument/2006/relationships" r:blip="">
            <dgm:adjLst/>
          </dgm:shape>
          <dgm:presOf/>
          <dgm:constrLst/>
          <dgm:forEach name="Name33" ref="accentRepeat"/>
        </dgm:layoutNode>
      </dgm:forEach>
      <dgm:forEach name="Name34" axis="ch" ptType="node" st="3" cnt="1">
        <dgm:layoutNode name="text_3" styleLbl="node1">
          <dgm:varLst>
            <dgm:bulletEnabled val="1"/>
          </dgm:varLst>
          <dgm:choose name="Name35">
            <dgm:if name="Name36" func="var" arg="dir" op="equ" val="norm">
              <dgm:alg type="tx">
                <dgm:param type="parTxLTRAlign" val="l"/>
                <dgm:param type="shpTxLTRAlignCh" val="l"/>
                <dgm:param type="parTxRTLAlign" val="l"/>
                <dgm:param type="shpTxRTLAlignCh" val="l"/>
              </dgm:alg>
            </dgm:if>
            <dgm:else name="Name3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3">
          <dgm:alg type="sp"/>
          <dgm:shape xmlns:r="http://schemas.openxmlformats.org/officeDocument/2006/relationships" r:blip="">
            <dgm:adjLst/>
          </dgm:shape>
          <dgm:presOf/>
          <dgm:constrLst/>
          <dgm:forEach name="Name38" ref="accentRepeat"/>
        </dgm:layoutNode>
      </dgm:forEach>
      <dgm:forEach name="Name39" axis="ch" ptType="node" st="4" cnt="1">
        <dgm:layoutNode name="text_4" styleLbl="node1">
          <dgm:varLst>
            <dgm:bulletEnabled val="1"/>
          </dgm:varLst>
          <dgm:choose name="Name40">
            <dgm:if name="Name41" func="var" arg="dir" op="equ" val="norm">
              <dgm:alg type="tx">
                <dgm:param type="parTxLTRAlign" val="l"/>
                <dgm:param type="shpTxLTRAlignCh" val="l"/>
                <dgm:param type="parTxRTLAlign" val="l"/>
                <dgm:param type="shpTxRTLAlignCh" val="l"/>
              </dgm:alg>
            </dgm:if>
            <dgm:else name="Name4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4">
          <dgm:alg type="sp"/>
          <dgm:shape xmlns:r="http://schemas.openxmlformats.org/officeDocument/2006/relationships" r:blip="">
            <dgm:adjLst/>
          </dgm:shape>
          <dgm:presOf/>
          <dgm:constrLst/>
          <dgm:forEach name="Name43" ref="accentRepeat"/>
        </dgm:layoutNode>
      </dgm:forEach>
      <dgm:forEach name="Name44" axis="ch" ptType="node" st="5" cnt="1">
        <dgm:layoutNode name="text_5" styleLbl="node1">
          <dgm:varLst>
            <dgm:bulletEnabled val="1"/>
          </dgm:varLst>
          <dgm:choose name="Name45">
            <dgm:if name="Name46" func="var" arg="dir" op="equ" val="norm">
              <dgm:alg type="tx">
                <dgm:param type="parTxLTRAlign" val="l"/>
                <dgm:param type="shpTxLTRAlignCh" val="l"/>
                <dgm:param type="parTxRTLAlign" val="l"/>
                <dgm:param type="shpTxRTLAlignCh" val="l"/>
              </dgm:alg>
            </dgm:if>
            <dgm:else name="Name4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5">
          <dgm:alg type="sp"/>
          <dgm:shape xmlns:r="http://schemas.openxmlformats.org/officeDocument/2006/relationships" r:blip="">
            <dgm:adjLst/>
          </dgm:shape>
          <dgm:presOf/>
          <dgm:constrLst/>
          <dgm:forEach name="Name48" ref="accentRepeat"/>
        </dgm:layoutNode>
      </dgm:forEach>
      <dgm:forEach name="Name49" axis="ch" ptType="node" st="6" cnt="1">
        <dgm:layoutNode name="text_6" styleLbl="node1">
          <dgm:varLst>
            <dgm:bulletEnabled val="1"/>
          </dgm:varLst>
          <dgm:choose name="Name50">
            <dgm:if name="Name51" func="var" arg="dir" op="equ" val="norm">
              <dgm:alg type="tx">
                <dgm:param type="parTxLTRAlign" val="l"/>
                <dgm:param type="shpTxLTRAlignCh" val="l"/>
                <dgm:param type="parTxRTLAlign" val="l"/>
                <dgm:param type="shpTxRTLAlignCh" val="l"/>
              </dgm:alg>
            </dgm:if>
            <dgm:else name="Name5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6">
          <dgm:alg type="sp"/>
          <dgm:shape xmlns:r="http://schemas.openxmlformats.org/officeDocument/2006/relationships" r:blip="">
            <dgm:adjLst/>
          </dgm:shape>
          <dgm:presOf/>
          <dgm:constrLst/>
          <dgm:forEach name="Name53" ref="accentRepeat"/>
        </dgm:layoutNode>
      </dgm:forEach>
      <dgm:forEach name="Name54" axis="ch" ptType="node" st="7" cnt="1">
        <dgm:layoutNode name="text_7" styleLbl="node1">
          <dgm:varLst>
            <dgm:bulletEnabled val="1"/>
          </dgm:varLst>
          <dgm:choose name="Name55">
            <dgm:if name="Name56" func="var" arg="dir" op="equ" val="norm">
              <dgm:alg type="tx">
                <dgm:param type="parTxLTRAlign" val="l"/>
                <dgm:param type="shpTxLTRAlignCh" val="l"/>
                <dgm:param type="parTxRTLAlign" val="l"/>
                <dgm:param type="shpTxRTLAlignCh" val="l"/>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7">
          <dgm:alg type="sp"/>
          <dgm:shape xmlns:r="http://schemas.openxmlformats.org/officeDocument/2006/relationships" r:blip="">
            <dgm:adjLst/>
          </dgm:shape>
          <dgm:presOf/>
          <dgm:constrLst/>
          <dgm:forEach name="Name58" ref="accentRepeat"/>
        </dgm:layoutNode>
      </dgm:forEach>
    </dgm:layoutNode>
  </dgm:layoutNode>
</dgm:layoutDef>
</file>

<file path=xl/diagrams/layout2.xml><?xml version="1.0" encoding="utf-8"?>
<dgm:layoutDef xmlns:dgm="http://schemas.openxmlformats.org/drawingml/2006/diagram" xmlns:a="http://schemas.openxmlformats.org/drawingml/2006/main" uniqueId="urn:microsoft.com/office/officeart/2008/layout/VerticalCurvedList">
  <dgm:title val=""/>
  <dgm:desc val=""/>
  <dgm:catLst>
    <dgm:cat type="list" pri="20000"/>
  </dgm:catLst>
  <dgm:sampData>
    <dgm:dataModel>
      <dgm:ptLst>
        <dgm:pt modelId="0" type="doc"/>
        <dgm:pt modelId="1">
          <dgm:prSet phldr="1"/>
        </dgm:pt>
        <dgm:pt modelId="2">
          <dgm:prSet phldr="1"/>
        </dgm:pt>
        <dgm:pt modelId="3">
          <dgm:prSet phldr="1"/>
        </dgm:pt>
      </dgm:ptLst>
      <dgm:cxnLst>
        <dgm:cxn modelId="4" srcId="0" destId="1" srcOrd="0" destOrd="0"/>
        <dgm:cxn modelId="5" srcId="0" destId="2" srcOrd="1" destOrd="0"/>
        <dgm:cxn modelId="6" srcId="0" destId="3" srcOrd="2" destOrd="0"/>
      </dgm:cxnLst>
      <dgm:bg/>
      <dgm:whole/>
    </dgm:dataModel>
  </dgm:sampData>
  <dgm:styleData>
    <dgm:dataModel>
      <dgm:ptLst>
        <dgm:pt modelId="0" type="doc"/>
        <dgm:pt modelId="1">
          <dgm:prSet phldr="1"/>
        </dgm:pt>
        <dgm:pt modelId="2">
          <dgm:prSet phldr="1"/>
        </dgm:pt>
      </dgm:ptLst>
      <dgm:cxnLst>
        <dgm:cxn modelId="3" srcId="0" destId="1" srcOrd="0" destOrd="0"/>
        <dgm:cxn modelId="4" srcId="0" destId="2" srcOrd="1"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0.8"/>
    </dgm:constrLst>
    <dgm:layoutNode name="Name1">
      <dgm:alg type="composite"/>
      <dgm:shape xmlns:r="http://schemas.openxmlformats.org/officeDocument/2006/relationships" r:blip="">
        <dgm:adjLst/>
      </dgm:shape>
      <dgm:choose name="Name2">
        <dgm:if name="Name3" func="var" arg="dir" op="equ" val="norm">
          <dgm:choose name="Name4">
            <dgm:if name="Name5" axis="ch" ptType="node" func="cnt" op="equ" val="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h" fact="0.225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primFontSz" for="ch" ptType="node" op="equ" val="65"/>
              </dgm:constrLst>
            </dgm:if>
            <dgm:if name="Name6" axis="ch" ptType="node" func="cnt" op="equ" val="2">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h" fact="0.1891"/>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h" fact="0.1891"/>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primFontSz" for="ch" ptType="node" op="equ" val="65"/>
              </dgm:constrLst>
            </dgm:if>
            <dgm:if name="Name7" axis="ch" ptType="node" func="cnt" op="equ" val="3">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h" fact="0.1526"/>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h" fact="0.2253"/>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h" fact="0.1526"/>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primFontSz" for="ch" ptType="node" op="equ" val="65"/>
              </dgm:constrLst>
            </dgm:if>
            <dgm:if name="Name8" axis="ch" ptType="node" func="cnt" op="equ" val="4">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h" fact="0.1268"/>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h" fact="0.215"/>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h" fact="0.21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h" fact="0.126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primFontSz" for="ch" ptType="node" op="equ" val="65"/>
              </dgm:constrLst>
            </dgm:if>
            <dgm:if name="Name9" axis="ch" ptType="node" func="cnt" op="equ" val="5">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h" fact="0.1082"/>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h" fact="0.197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h" fact="0.2253"/>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h" fact="0.197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h" fact="0.1082"/>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primFontSz" for="ch" ptType="node" op="equ" val="65"/>
              </dgm:constrLst>
            </dgm:if>
            <dgm:if name="Name10" axis="ch" ptType="node" func="cnt" op="equ" val="6">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h" fact="0.094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h" fact="0.1809"/>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h" fact="0.220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h" fact="0.2205"/>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h" fact="0.18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h" fact="0.0943"/>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primFontSz" for="ch" ptType="node" op="equ" val="65"/>
              </dgm:constrLst>
            </dgm:if>
            <dgm:else name="Name1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h" fact="0.0835"/>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h" fact="0.165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h" fact="0.2109"/>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h" fact="0.2253"/>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h" fact="0.21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h" fact="0.1658"/>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h" fact="0.0835"/>
                <dgm:constr type="l" for="ch" forName="text_7" refType="ctrX" refFor="ch" refForName="accent_7"/>
                <dgm:constr type="r" for="ch" forName="text_7" refType="w"/>
                <dgm:constr type="w" for="ch" forName="text_7" refType="h" refFor="ch" refForName="text_7" op="gte"/>
                <dgm:constr type="h" for="ch" forName="text_7" refType="h" refFor="ch" refForName="accent_7" fact="0.8"/>
                <dgm:constr type="ctrY" for="ch" forName="text_7" refType="ctrY" refFor="ch" refForName="accent_7"/>
                <dgm:constr type="lMarg" for="ch" forName="text_7" refType="w" refFor="ch" refForName="accent_7" fact="1.8"/>
                <dgm:constr type="primFontSz" for="ch" ptType="node" op="equ" val="65"/>
              </dgm:constrLst>
            </dgm:else>
          </dgm:choose>
        </dgm:if>
        <dgm:else name="Name12">
          <dgm:choose name="Name13">
            <dgm:if name="Name14" axis="ch" ptType="node" func="cnt" op="equ" val="1">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w"/>
                <dgm:constr type="ctrXOff" for="ch" forName="accent_1" refType="h" fact="-0.225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primFontSz" for="ch" ptType="node" op="equ" val="65"/>
              </dgm:constrLst>
            </dgm:if>
            <dgm:if name="Name15" axis="ch" ptType="node" func="cnt" op="equ" val="2">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w"/>
                <dgm:constr type="ctrXOff" for="ch" forName="accent_1" refType="h" fact="-0.1891"/>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w"/>
                <dgm:constr type="ctrXOff" for="ch" forName="accent_2" refType="h" fact="-0.1891"/>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primFontSz" for="ch" ptType="node" op="equ" val="65"/>
              </dgm:constrLst>
            </dgm:if>
            <dgm:if name="Name16" axis="ch" ptType="node" func="cnt" op="equ" val="3">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w"/>
                <dgm:constr type="ctrXOff" for="ch" forName="accent_1" refType="h" fact="-0.1526"/>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w"/>
                <dgm:constr type="ctrXOff" for="ch" forName="accent_2" refType="h" fact="-0.2253"/>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w"/>
                <dgm:constr type="ctrXOff" for="ch" forName="accent_3" refType="h" fact="-0.1526"/>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primFontSz" for="ch" ptType="node" op="equ" val="65"/>
              </dgm:constrLst>
            </dgm:if>
            <dgm:if name="Name17" axis="ch" ptType="node" func="cnt" op="equ" val="4">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w"/>
                <dgm:constr type="ctrXOff" for="ch" forName="accent_1" refType="h" fact="-0.1268"/>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w"/>
                <dgm:constr type="ctrXOff" for="ch" forName="accent_2" refType="h" fact="-0.215"/>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w"/>
                <dgm:constr type="ctrXOff" for="ch" forName="accent_3" refType="h" fact="-0.21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w"/>
                <dgm:constr type="ctrXOff" for="ch" forName="accent_4" refType="h" fact="-0.126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primFontSz" for="ch" ptType="node" op="equ" val="65"/>
              </dgm:constrLst>
            </dgm:if>
            <dgm:if name="Name18" axis="ch" ptType="node" func="cnt" op="equ" val="5">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w"/>
                <dgm:constr type="ctrXOff" for="ch" forName="accent_1" refType="h" fact="-0.1082"/>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w"/>
                <dgm:constr type="ctrXOff" for="ch" forName="accent_2" refType="h" fact="-0.197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w"/>
                <dgm:constr type="ctrXOff" for="ch" forName="accent_3" refType="h" fact="-0.2253"/>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w"/>
                <dgm:constr type="ctrXOff" for="ch" forName="accent_4" refType="h" fact="-0.197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w"/>
                <dgm:constr type="ctrXOff" for="ch" forName="accent_5" refType="h" fact="-0.1082"/>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primFontSz" for="ch" ptType="node" op="equ" val="65"/>
              </dgm:constrLst>
            </dgm:if>
            <dgm:if name="Name19" axis="ch" ptType="node" func="cnt" op="equ" val="6">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w"/>
                <dgm:constr type="ctrXOff" for="ch" forName="accent_1" refType="h" fact="-0.094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w"/>
                <dgm:constr type="ctrXOff" for="ch" forName="accent_2" refType="h" fact="-0.1809"/>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w"/>
                <dgm:constr type="ctrXOff" for="ch" forName="accent_3" refType="h" fact="-0.220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w"/>
                <dgm:constr type="ctrXOff" for="ch" forName="accent_4" refType="h" fact="-0.2205"/>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w"/>
                <dgm:constr type="ctrXOff" for="ch" forName="accent_5" refType="h" fact="-0.18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w"/>
                <dgm:constr type="ctrXOff" for="ch" forName="accent_6" refType="h" fact="-0.0943"/>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primFontSz" for="ch" ptType="node" op="equ" val="65"/>
              </dgm:constrLst>
            </dgm:if>
            <dgm:else name="Name20">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w"/>
                <dgm:constr type="ctrXOff" for="ch" forName="accent_1" refType="h" fact="-0.0835"/>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w"/>
                <dgm:constr type="ctrXOff" for="ch" forName="accent_2" refType="h" fact="-0.165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w"/>
                <dgm:constr type="ctrXOff" for="ch" forName="accent_3" refType="h" fact="-0.2109"/>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w"/>
                <dgm:constr type="ctrXOff" for="ch" forName="accent_4" refType="h" fact="-0.2253"/>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w"/>
                <dgm:constr type="ctrXOff" for="ch" forName="accent_5" refType="h" fact="-0.21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w"/>
                <dgm:constr type="ctrXOff" for="ch" forName="accent_6" refType="h" fact="-0.1658"/>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w"/>
                <dgm:constr type="ctrXOff" for="ch" forName="accent_7" refType="h" fact="-0.0835"/>
                <dgm:constr type="r" for="ch" forName="text_7" refType="ctrX" refFor="ch" refForName="accent_7"/>
                <dgm:constr type="rOff" for="ch" forName="text_7" refType="ctrXOff" refFor="ch" refForName="accent_7"/>
                <dgm:constr type="l" for="ch" forName="text_7"/>
                <dgm:constr type="w" for="ch" forName="text_7" refType="h" refFor="ch" refForName="text_7" op="gte"/>
                <dgm:constr type="h" for="ch" forName="text_7" refType="h" refFor="ch" refForName="accent_7" fact="0.8"/>
                <dgm:constr type="ctrY" for="ch" forName="text_7" refType="ctrY" refFor="ch" refForName="accent_7"/>
                <dgm:constr type="rMarg" for="ch" forName="text_7" refType="w" refFor="ch" refForName="accent_7" fact="1.8"/>
                <dgm:constr type="primFontSz" for="ch" ptType="node" op="equ" val="65"/>
              </dgm:constrLst>
            </dgm:else>
          </dgm:choose>
        </dgm:else>
      </dgm:choose>
      <dgm:layoutNode name="cycle">
        <dgm:choose name="Name21">
          <dgm:if name="Name22" func="var" arg="dir" op="equ" val="norm">
            <dgm:alg type="cycle">
              <dgm:param type="stAng" val="45"/>
              <dgm:param type="spanAng" val="90"/>
            </dgm:alg>
          </dgm:if>
          <dgm:else name="Name23">
            <dgm:alg type="cycle">
              <dgm:param type="stAng" val="225"/>
              <dgm:param type="spanAng" val="90"/>
            </dgm:alg>
          </dgm:else>
        </dgm:choose>
        <dgm:shape xmlns:r="http://schemas.openxmlformats.org/officeDocument/2006/relationships" r:blip="">
          <dgm:adjLst/>
        </dgm:shape>
        <dgm:presOf/>
        <dgm:constrLst>
          <dgm:constr type="w" for="ch" val="1"/>
          <dgm:constr type="h" for="ch" val="1"/>
          <dgm:constr type="diam" for="ch" forName="conn" refType="diam"/>
        </dgm:constrLst>
        <dgm:layoutNode name="srcNode">
          <dgm:alg type="sp"/>
          <dgm:shape xmlns:r="http://schemas.openxmlformats.org/officeDocument/2006/relationships" type="rect" r:blip="" hideGeom="1">
            <dgm:adjLst/>
          </dgm:shape>
          <dgm:presOf/>
        </dgm:layoutNode>
        <dgm:layoutNode name="conn" styleLbl="parChTrans1D2">
          <dgm:alg type="conn">
            <dgm:param type="connRout" val="curve"/>
            <dgm:param type="srcNode" val="srcNode"/>
            <dgm:param type="dstNode" val="dstNode"/>
            <dgm:param type="begPts" val="ctr"/>
            <dgm:param type="endPts" val="ctr"/>
            <dgm:param type="endSty" val="noArr"/>
          </dgm:alg>
          <dgm:shape xmlns:r="http://schemas.openxmlformats.org/officeDocument/2006/relationships" type="conn" r:blip="">
            <dgm:adjLst/>
          </dgm:shape>
          <dgm:presOf axis="desOrSelf" ptType="sibTrans" hideLastTrans="0" st="0" cnt="1"/>
          <dgm:constrLst>
            <dgm:constr type="begPad"/>
            <dgm:constr type="endPad"/>
          </dgm:constrLst>
        </dgm:layoutNode>
        <dgm:layoutNode name="extraNode">
          <dgm:alg type="sp"/>
          <dgm:shape xmlns:r="http://schemas.openxmlformats.org/officeDocument/2006/relationships" type="rect" r:blip="" hideGeom="1">
            <dgm:adjLst/>
          </dgm:shape>
          <dgm:presOf/>
        </dgm:layoutNode>
        <dgm:layoutNode name="dstNode">
          <dgm:alg type="sp"/>
          <dgm:shape xmlns:r="http://schemas.openxmlformats.org/officeDocument/2006/relationships" type="rect" r:blip="" hideGeom="1">
            <dgm:adjLst/>
          </dgm:shape>
          <dgm:presOf/>
        </dgm:layoutNode>
      </dgm:layoutNode>
      <dgm:forEach name="wrapper" axis="self" ptType="parTrans">
        <dgm:forEach name="wrapper2" axis="self" ptType="sibTrans" st="2">
          <dgm:forEach name="accentRepeat" axis="self">
            <dgm:layoutNode name="accentRepeatNode" styleLbl="solidFgAcc1">
              <dgm:alg type="sp"/>
              <dgm:shape xmlns:r="http://schemas.openxmlformats.org/officeDocument/2006/relationships" type="ellipse" r:blip="">
                <dgm:adjLst/>
              </dgm:shape>
              <dgm:presOf/>
            </dgm:layoutNode>
          </dgm:forEach>
        </dgm:forEach>
      </dgm:forEach>
      <dgm:forEach name="Name24" axis="ch" ptType="node" cnt="1">
        <dgm:layoutNode name="text_1" styleLbl="node1">
          <dgm:varLst>
            <dgm:bulletEnabled val="1"/>
          </dgm:varLst>
          <dgm:choose name="Name25">
            <dgm:if name="Name26" func="var" arg="dir" op="equ" val="norm">
              <dgm:alg type="tx">
                <dgm:param type="parTxLTRAlign" val="l"/>
                <dgm:param type="shpTxLTRAlignCh" val="l"/>
                <dgm:param type="parTxRTLAlign" val="l"/>
                <dgm:param type="shpTxRTLAlignCh" val="l"/>
              </dgm:alg>
            </dgm:if>
            <dgm:else name="Name2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1">
          <dgm:alg type="sp"/>
          <dgm:shape xmlns:r="http://schemas.openxmlformats.org/officeDocument/2006/relationships" r:blip="">
            <dgm:adjLst/>
          </dgm:shape>
          <dgm:presOf/>
          <dgm:constrLst/>
          <dgm:forEach name="Name28" ref="accentRepeat"/>
        </dgm:layoutNode>
      </dgm:forEach>
      <dgm:forEach name="Name29" axis="ch" ptType="node" st="2" cnt="1">
        <dgm:layoutNode name="text_2" styleLbl="node1">
          <dgm:varLst>
            <dgm:bulletEnabled val="1"/>
          </dgm:varLst>
          <dgm:choose name="Name30">
            <dgm:if name="Name31" func="var" arg="dir" op="equ" val="norm">
              <dgm:alg type="tx">
                <dgm:param type="parTxLTRAlign" val="l"/>
                <dgm:param type="shpTxLTRAlignCh" val="l"/>
                <dgm:param type="parTxRTLAlign" val="l"/>
                <dgm:param type="shpTxRTLAlignCh" val="l"/>
              </dgm:alg>
            </dgm:if>
            <dgm:else name="Name3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2">
          <dgm:alg type="sp"/>
          <dgm:shape xmlns:r="http://schemas.openxmlformats.org/officeDocument/2006/relationships" r:blip="">
            <dgm:adjLst/>
          </dgm:shape>
          <dgm:presOf/>
          <dgm:constrLst/>
          <dgm:forEach name="Name33" ref="accentRepeat"/>
        </dgm:layoutNode>
      </dgm:forEach>
      <dgm:forEach name="Name34" axis="ch" ptType="node" st="3" cnt="1">
        <dgm:layoutNode name="text_3" styleLbl="node1">
          <dgm:varLst>
            <dgm:bulletEnabled val="1"/>
          </dgm:varLst>
          <dgm:choose name="Name35">
            <dgm:if name="Name36" func="var" arg="dir" op="equ" val="norm">
              <dgm:alg type="tx">
                <dgm:param type="parTxLTRAlign" val="l"/>
                <dgm:param type="shpTxLTRAlignCh" val="l"/>
                <dgm:param type="parTxRTLAlign" val="l"/>
                <dgm:param type="shpTxRTLAlignCh" val="l"/>
              </dgm:alg>
            </dgm:if>
            <dgm:else name="Name3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3">
          <dgm:alg type="sp"/>
          <dgm:shape xmlns:r="http://schemas.openxmlformats.org/officeDocument/2006/relationships" r:blip="">
            <dgm:adjLst/>
          </dgm:shape>
          <dgm:presOf/>
          <dgm:constrLst/>
          <dgm:forEach name="Name38" ref="accentRepeat"/>
        </dgm:layoutNode>
      </dgm:forEach>
      <dgm:forEach name="Name39" axis="ch" ptType="node" st="4" cnt="1">
        <dgm:layoutNode name="text_4" styleLbl="node1">
          <dgm:varLst>
            <dgm:bulletEnabled val="1"/>
          </dgm:varLst>
          <dgm:choose name="Name40">
            <dgm:if name="Name41" func="var" arg="dir" op="equ" val="norm">
              <dgm:alg type="tx">
                <dgm:param type="parTxLTRAlign" val="l"/>
                <dgm:param type="shpTxLTRAlignCh" val="l"/>
                <dgm:param type="parTxRTLAlign" val="l"/>
                <dgm:param type="shpTxRTLAlignCh" val="l"/>
              </dgm:alg>
            </dgm:if>
            <dgm:else name="Name4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4">
          <dgm:alg type="sp"/>
          <dgm:shape xmlns:r="http://schemas.openxmlformats.org/officeDocument/2006/relationships" r:blip="">
            <dgm:adjLst/>
          </dgm:shape>
          <dgm:presOf/>
          <dgm:constrLst/>
          <dgm:forEach name="Name43" ref="accentRepeat"/>
        </dgm:layoutNode>
      </dgm:forEach>
      <dgm:forEach name="Name44" axis="ch" ptType="node" st="5" cnt="1">
        <dgm:layoutNode name="text_5" styleLbl="node1">
          <dgm:varLst>
            <dgm:bulletEnabled val="1"/>
          </dgm:varLst>
          <dgm:choose name="Name45">
            <dgm:if name="Name46" func="var" arg="dir" op="equ" val="norm">
              <dgm:alg type="tx">
                <dgm:param type="parTxLTRAlign" val="l"/>
                <dgm:param type="shpTxLTRAlignCh" val="l"/>
                <dgm:param type="parTxRTLAlign" val="l"/>
                <dgm:param type="shpTxRTLAlignCh" val="l"/>
              </dgm:alg>
            </dgm:if>
            <dgm:else name="Name4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5">
          <dgm:alg type="sp"/>
          <dgm:shape xmlns:r="http://schemas.openxmlformats.org/officeDocument/2006/relationships" r:blip="">
            <dgm:adjLst/>
          </dgm:shape>
          <dgm:presOf/>
          <dgm:constrLst/>
          <dgm:forEach name="Name48" ref="accentRepeat"/>
        </dgm:layoutNode>
      </dgm:forEach>
      <dgm:forEach name="Name49" axis="ch" ptType="node" st="6" cnt="1">
        <dgm:layoutNode name="text_6" styleLbl="node1">
          <dgm:varLst>
            <dgm:bulletEnabled val="1"/>
          </dgm:varLst>
          <dgm:choose name="Name50">
            <dgm:if name="Name51" func="var" arg="dir" op="equ" val="norm">
              <dgm:alg type="tx">
                <dgm:param type="parTxLTRAlign" val="l"/>
                <dgm:param type="shpTxLTRAlignCh" val="l"/>
                <dgm:param type="parTxRTLAlign" val="l"/>
                <dgm:param type="shpTxRTLAlignCh" val="l"/>
              </dgm:alg>
            </dgm:if>
            <dgm:else name="Name5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6">
          <dgm:alg type="sp"/>
          <dgm:shape xmlns:r="http://schemas.openxmlformats.org/officeDocument/2006/relationships" r:blip="">
            <dgm:adjLst/>
          </dgm:shape>
          <dgm:presOf/>
          <dgm:constrLst/>
          <dgm:forEach name="Name53" ref="accentRepeat"/>
        </dgm:layoutNode>
      </dgm:forEach>
      <dgm:forEach name="Name54" axis="ch" ptType="node" st="7" cnt="1">
        <dgm:layoutNode name="text_7" styleLbl="node1">
          <dgm:varLst>
            <dgm:bulletEnabled val="1"/>
          </dgm:varLst>
          <dgm:choose name="Name55">
            <dgm:if name="Name56" func="var" arg="dir" op="equ" val="norm">
              <dgm:alg type="tx">
                <dgm:param type="parTxLTRAlign" val="l"/>
                <dgm:param type="shpTxLTRAlignCh" val="l"/>
                <dgm:param type="parTxRTLAlign" val="l"/>
                <dgm:param type="shpTxRTLAlignCh" val="l"/>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7">
          <dgm:alg type="sp"/>
          <dgm:shape xmlns:r="http://schemas.openxmlformats.org/officeDocument/2006/relationships" r:blip="">
            <dgm:adjLst/>
          </dgm:shape>
          <dgm:presOf/>
          <dgm:constrLst/>
          <dgm:forEach name="Name58" ref="accentRepeat"/>
        </dgm:layoutNode>
      </dgm:forEach>
    </dgm:layoutNode>
  </dgm:layoutNode>
</dgm:layoutDef>
</file>

<file path=xl/diagrams/layout3.xml><?xml version="1.0" encoding="utf-8"?>
<dgm:layoutDef xmlns:dgm="http://schemas.openxmlformats.org/drawingml/2006/diagram" xmlns:a="http://schemas.openxmlformats.org/drawingml/2006/main" uniqueId="urn:microsoft.com/office/officeart/2008/layout/VerticalCurvedList">
  <dgm:title val=""/>
  <dgm:desc val=""/>
  <dgm:catLst>
    <dgm:cat type="list" pri="20000"/>
  </dgm:catLst>
  <dgm:sampData>
    <dgm:dataModel>
      <dgm:ptLst>
        <dgm:pt modelId="0" type="doc"/>
        <dgm:pt modelId="1">
          <dgm:prSet phldr="1"/>
        </dgm:pt>
        <dgm:pt modelId="2">
          <dgm:prSet phldr="1"/>
        </dgm:pt>
        <dgm:pt modelId="3">
          <dgm:prSet phldr="1"/>
        </dgm:pt>
      </dgm:ptLst>
      <dgm:cxnLst>
        <dgm:cxn modelId="4" srcId="0" destId="1" srcOrd="0" destOrd="0"/>
        <dgm:cxn modelId="5" srcId="0" destId="2" srcOrd="1" destOrd="0"/>
        <dgm:cxn modelId="6" srcId="0" destId="3" srcOrd="2" destOrd="0"/>
      </dgm:cxnLst>
      <dgm:bg/>
      <dgm:whole/>
    </dgm:dataModel>
  </dgm:sampData>
  <dgm:styleData>
    <dgm:dataModel>
      <dgm:ptLst>
        <dgm:pt modelId="0" type="doc"/>
        <dgm:pt modelId="1">
          <dgm:prSet phldr="1"/>
        </dgm:pt>
        <dgm:pt modelId="2">
          <dgm:prSet phldr="1"/>
        </dgm:pt>
      </dgm:ptLst>
      <dgm:cxnLst>
        <dgm:cxn modelId="3" srcId="0" destId="1" srcOrd="0" destOrd="0"/>
        <dgm:cxn modelId="4" srcId="0" destId="2" srcOrd="1"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0.8"/>
    </dgm:constrLst>
    <dgm:layoutNode name="Name1">
      <dgm:alg type="composite"/>
      <dgm:shape xmlns:r="http://schemas.openxmlformats.org/officeDocument/2006/relationships" r:blip="">
        <dgm:adjLst/>
      </dgm:shape>
      <dgm:choose name="Name2">
        <dgm:if name="Name3" func="var" arg="dir" op="equ" val="norm">
          <dgm:choose name="Name4">
            <dgm:if name="Name5" axis="ch" ptType="node" func="cnt" op="equ" val="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h" fact="0.225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primFontSz" for="ch" ptType="node" op="equ" val="65"/>
              </dgm:constrLst>
            </dgm:if>
            <dgm:if name="Name6" axis="ch" ptType="node" func="cnt" op="equ" val="2">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h" fact="0.1891"/>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h" fact="0.1891"/>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primFontSz" for="ch" ptType="node" op="equ" val="65"/>
              </dgm:constrLst>
            </dgm:if>
            <dgm:if name="Name7" axis="ch" ptType="node" func="cnt" op="equ" val="3">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h" fact="0.1526"/>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h" fact="0.2253"/>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h" fact="0.1526"/>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primFontSz" for="ch" ptType="node" op="equ" val="65"/>
              </dgm:constrLst>
            </dgm:if>
            <dgm:if name="Name8" axis="ch" ptType="node" func="cnt" op="equ" val="4">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h" fact="0.1268"/>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h" fact="0.215"/>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h" fact="0.21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h" fact="0.126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primFontSz" for="ch" ptType="node" op="equ" val="65"/>
              </dgm:constrLst>
            </dgm:if>
            <dgm:if name="Name9" axis="ch" ptType="node" func="cnt" op="equ" val="5">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h" fact="0.1082"/>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h" fact="0.197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h" fact="0.2253"/>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h" fact="0.197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h" fact="0.1082"/>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primFontSz" for="ch" ptType="node" op="equ" val="65"/>
              </dgm:constrLst>
            </dgm:if>
            <dgm:if name="Name10" axis="ch" ptType="node" func="cnt" op="equ" val="6">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h" fact="0.094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h" fact="0.1809"/>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h" fact="0.220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h" fact="0.2205"/>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h" fact="0.18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h" fact="0.0943"/>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primFontSz" for="ch" ptType="node" op="equ" val="65"/>
              </dgm:constrLst>
            </dgm:if>
            <dgm:else name="Name1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h" fact="0.0835"/>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h" fact="0.165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h" fact="0.2109"/>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h" fact="0.2253"/>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h" fact="0.21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h" fact="0.1658"/>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h" fact="0.0835"/>
                <dgm:constr type="l" for="ch" forName="text_7" refType="ctrX" refFor="ch" refForName="accent_7"/>
                <dgm:constr type="r" for="ch" forName="text_7" refType="w"/>
                <dgm:constr type="w" for="ch" forName="text_7" refType="h" refFor="ch" refForName="text_7" op="gte"/>
                <dgm:constr type="h" for="ch" forName="text_7" refType="h" refFor="ch" refForName="accent_7" fact="0.8"/>
                <dgm:constr type="ctrY" for="ch" forName="text_7" refType="ctrY" refFor="ch" refForName="accent_7"/>
                <dgm:constr type="lMarg" for="ch" forName="text_7" refType="w" refFor="ch" refForName="accent_7" fact="1.8"/>
                <dgm:constr type="primFontSz" for="ch" ptType="node" op="equ" val="65"/>
              </dgm:constrLst>
            </dgm:else>
          </dgm:choose>
        </dgm:if>
        <dgm:else name="Name12">
          <dgm:choose name="Name13">
            <dgm:if name="Name14" axis="ch" ptType="node" func="cnt" op="equ" val="1">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w"/>
                <dgm:constr type="ctrXOff" for="ch" forName="accent_1" refType="h" fact="-0.225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primFontSz" for="ch" ptType="node" op="equ" val="65"/>
              </dgm:constrLst>
            </dgm:if>
            <dgm:if name="Name15" axis="ch" ptType="node" func="cnt" op="equ" val="2">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w"/>
                <dgm:constr type="ctrXOff" for="ch" forName="accent_1" refType="h" fact="-0.1891"/>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w"/>
                <dgm:constr type="ctrXOff" for="ch" forName="accent_2" refType="h" fact="-0.1891"/>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primFontSz" for="ch" ptType="node" op="equ" val="65"/>
              </dgm:constrLst>
            </dgm:if>
            <dgm:if name="Name16" axis="ch" ptType="node" func="cnt" op="equ" val="3">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w"/>
                <dgm:constr type="ctrXOff" for="ch" forName="accent_1" refType="h" fact="-0.1526"/>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w"/>
                <dgm:constr type="ctrXOff" for="ch" forName="accent_2" refType="h" fact="-0.2253"/>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w"/>
                <dgm:constr type="ctrXOff" for="ch" forName="accent_3" refType="h" fact="-0.1526"/>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primFontSz" for="ch" ptType="node" op="equ" val="65"/>
              </dgm:constrLst>
            </dgm:if>
            <dgm:if name="Name17" axis="ch" ptType="node" func="cnt" op="equ" val="4">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w"/>
                <dgm:constr type="ctrXOff" for="ch" forName="accent_1" refType="h" fact="-0.1268"/>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w"/>
                <dgm:constr type="ctrXOff" for="ch" forName="accent_2" refType="h" fact="-0.215"/>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w"/>
                <dgm:constr type="ctrXOff" for="ch" forName="accent_3" refType="h" fact="-0.21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w"/>
                <dgm:constr type="ctrXOff" for="ch" forName="accent_4" refType="h" fact="-0.126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primFontSz" for="ch" ptType="node" op="equ" val="65"/>
              </dgm:constrLst>
            </dgm:if>
            <dgm:if name="Name18" axis="ch" ptType="node" func="cnt" op="equ" val="5">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w"/>
                <dgm:constr type="ctrXOff" for="ch" forName="accent_1" refType="h" fact="-0.1082"/>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w"/>
                <dgm:constr type="ctrXOff" for="ch" forName="accent_2" refType="h" fact="-0.197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w"/>
                <dgm:constr type="ctrXOff" for="ch" forName="accent_3" refType="h" fact="-0.2253"/>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w"/>
                <dgm:constr type="ctrXOff" for="ch" forName="accent_4" refType="h" fact="-0.197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w"/>
                <dgm:constr type="ctrXOff" for="ch" forName="accent_5" refType="h" fact="-0.1082"/>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primFontSz" for="ch" ptType="node" op="equ" val="65"/>
              </dgm:constrLst>
            </dgm:if>
            <dgm:if name="Name19" axis="ch" ptType="node" func="cnt" op="equ" val="6">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w"/>
                <dgm:constr type="ctrXOff" for="ch" forName="accent_1" refType="h" fact="-0.094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w"/>
                <dgm:constr type="ctrXOff" for="ch" forName="accent_2" refType="h" fact="-0.1809"/>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w"/>
                <dgm:constr type="ctrXOff" for="ch" forName="accent_3" refType="h" fact="-0.220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w"/>
                <dgm:constr type="ctrXOff" for="ch" forName="accent_4" refType="h" fact="-0.2205"/>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w"/>
                <dgm:constr type="ctrXOff" for="ch" forName="accent_5" refType="h" fact="-0.18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w"/>
                <dgm:constr type="ctrXOff" for="ch" forName="accent_6" refType="h" fact="-0.0943"/>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primFontSz" for="ch" ptType="node" op="equ" val="65"/>
              </dgm:constrLst>
            </dgm:if>
            <dgm:else name="Name20">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w"/>
                <dgm:constr type="ctrXOff" for="ch" forName="accent_1" refType="h" fact="-0.0835"/>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w"/>
                <dgm:constr type="ctrXOff" for="ch" forName="accent_2" refType="h" fact="-0.165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w"/>
                <dgm:constr type="ctrXOff" for="ch" forName="accent_3" refType="h" fact="-0.2109"/>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w"/>
                <dgm:constr type="ctrXOff" for="ch" forName="accent_4" refType="h" fact="-0.2253"/>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w"/>
                <dgm:constr type="ctrXOff" for="ch" forName="accent_5" refType="h" fact="-0.21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w"/>
                <dgm:constr type="ctrXOff" for="ch" forName="accent_6" refType="h" fact="-0.1658"/>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w"/>
                <dgm:constr type="ctrXOff" for="ch" forName="accent_7" refType="h" fact="-0.0835"/>
                <dgm:constr type="r" for="ch" forName="text_7" refType="ctrX" refFor="ch" refForName="accent_7"/>
                <dgm:constr type="rOff" for="ch" forName="text_7" refType="ctrXOff" refFor="ch" refForName="accent_7"/>
                <dgm:constr type="l" for="ch" forName="text_7"/>
                <dgm:constr type="w" for="ch" forName="text_7" refType="h" refFor="ch" refForName="text_7" op="gte"/>
                <dgm:constr type="h" for="ch" forName="text_7" refType="h" refFor="ch" refForName="accent_7" fact="0.8"/>
                <dgm:constr type="ctrY" for="ch" forName="text_7" refType="ctrY" refFor="ch" refForName="accent_7"/>
                <dgm:constr type="rMarg" for="ch" forName="text_7" refType="w" refFor="ch" refForName="accent_7" fact="1.8"/>
                <dgm:constr type="primFontSz" for="ch" ptType="node" op="equ" val="65"/>
              </dgm:constrLst>
            </dgm:else>
          </dgm:choose>
        </dgm:else>
      </dgm:choose>
      <dgm:layoutNode name="cycle">
        <dgm:choose name="Name21">
          <dgm:if name="Name22" func="var" arg="dir" op="equ" val="norm">
            <dgm:alg type="cycle">
              <dgm:param type="stAng" val="45"/>
              <dgm:param type="spanAng" val="90"/>
            </dgm:alg>
          </dgm:if>
          <dgm:else name="Name23">
            <dgm:alg type="cycle">
              <dgm:param type="stAng" val="225"/>
              <dgm:param type="spanAng" val="90"/>
            </dgm:alg>
          </dgm:else>
        </dgm:choose>
        <dgm:shape xmlns:r="http://schemas.openxmlformats.org/officeDocument/2006/relationships" r:blip="">
          <dgm:adjLst/>
        </dgm:shape>
        <dgm:presOf/>
        <dgm:constrLst>
          <dgm:constr type="w" for="ch" val="1"/>
          <dgm:constr type="h" for="ch" val="1"/>
          <dgm:constr type="diam" for="ch" forName="conn" refType="diam"/>
        </dgm:constrLst>
        <dgm:layoutNode name="srcNode">
          <dgm:alg type="sp"/>
          <dgm:shape xmlns:r="http://schemas.openxmlformats.org/officeDocument/2006/relationships" type="rect" r:blip="" hideGeom="1">
            <dgm:adjLst/>
          </dgm:shape>
          <dgm:presOf/>
        </dgm:layoutNode>
        <dgm:layoutNode name="conn" styleLbl="parChTrans1D2">
          <dgm:alg type="conn">
            <dgm:param type="connRout" val="curve"/>
            <dgm:param type="srcNode" val="srcNode"/>
            <dgm:param type="dstNode" val="dstNode"/>
            <dgm:param type="begPts" val="ctr"/>
            <dgm:param type="endPts" val="ctr"/>
            <dgm:param type="endSty" val="noArr"/>
          </dgm:alg>
          <dgm:shape xmlns:r="http://schemas.openxmlformats.org/officeDocument/2006/relationships" type="conn" r:blip="">
            <dgm:adjLst/>
          </dgm:shape>
          <dgm:presOf axis="desOrSelf" ptType="sibTrans" hideLastTrans="0" st="0" cnt="1"/>
          <dgm:constrLst>
            <dgm:constr type="begPad"/>
            <dgm:constr type="endPad"/>
          </dgm:constrLst>
        </dgm:layoutNode>
        <dgm:layoutNode name="extraNode">
          <dgm:alg type="sp"/>
          <dgm:shape xmlns:r="http://schemas.openxmlformats.org/officeDocument/2006/relationships" type="rect" r:blip="" hideGeom="1">
            <dgm:adjLst/>
          </dgm:shape>
          <dgm:presOf/>
        </dgm:layoutNode>
        <dgm:layoutNode name="dstNode">
          <dgm:alg type="sp"/>
          <dgm:shape xmlns:r="http://schemas.openxmlformats.org/officeDocument/2006/relationships" type="rect" r:blip="" hideGeom="1">
            <dgm:adjLst/>
          </dgm:shape>
          <dgm:presOf/>
        </dgm:layoutNode>
      </dgm:layoutNode>
      <dgm:forEach name="wrapper" axis="self" ptType="parTrans">
        <dgm:forEach name="wrapper2" axis="self" ptType="sibTrans" st="2">
          <dgm:forEach name="accentRepeat" axis="self">
            <dgm:layoutNode name="accentRepeatNode" styleLbl="solidFgAcc1">
              <dgm:alg type="sp"/>
              <dgm:shape xmlns:r="http://schemas.openxmlformats.org/officeDocument/2006/relationships" type="ellipse" r:blip="">
                <dgm:adjLst/>
              </dgm:shape>
              <dgm:presOf/>
            </dgm:layoutNode>
          </dgm:forEach>
        </dgm:forEach>
      </dgm:forEach>
      <dgm:forEach name="Name24" axis="ch" ptType="node" cnt="1">
        <dgm:layoutNode name="text_1" styleLbl="node1">
          <dgm:varLst>
            <dgm:bulletEnabled val="1"/>
          </dgm:varLst>
          <dgm:choose name="Name25">
            <dgm:if name="Name26" func="var" arg="dir" op="equ" val="norm">
              <dgm:alg type="tx">
                <dgm:param type="parTxLTRAlign" val="l"/>
                <dgm:param type="shpTxLTRAlignCh" val="l"/>
                <dgm:param type="parTxRTLAlign" val="l"/>
                <dgm:param type="shpTxRTLAlignCh" val="l"/>
              </dgm:alg>
            </dgm:if>
            <dgm:else name="Name2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1">
          <dgm:alg type="sp"/>
          <dgm:shape xmlns:r="http://schemas.openxmlformats.org/officeDocument/2006/relationships" r:blip="">
            <dgm:adjLst/>
          </dgm:shape>
          <dgm:presOf/>
          <dgm:constrLst/>
          <dgm:forEach name="Name28" ref="accentRepeat"/>
        </dgm:layoutNode>
      </dgm:forEach>
      <dgm:forEach name="Name29" axis="ch" ptType="node" st="2" cnt="1">
        <dgm:layoutNode name="text_2" styleLbl="node1">
          <dgm:varLst>
            <dgm:bulletEnabled val="1"/>
          </dgm:varLst>
          <dgm:choose name="Name30">
            <dgm:if name="Name31" func="var" arg="dir" op="equ" val="norm">
              <dgm:alg type="tx">
                <dgm:param type="parTxLTRAlign" val="l"/>
                <dgm:param type="shpTxLTRAlignCh" val="l"/>
                <dgm:param type="parTxRTLAlign" val="l"/>
                <dgm:param type="shpTxRTLAlignCh" val="l"/>
              </dgm:alg>
            </dgm:if>
            <dgm:else name="Name3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2">
          <dgm:alg type="sp"/>
          <dgm:shape xmlns:r="http://schemas.openxmlformats.org/officeDocument/2006/relationships" r:blip="">
            <dgm:adjLst/>
          </dgm:shape>
          <dgm:presOf/>
          <dgm:constrLst/>
          <dgm:forEach name="Name33" ref="accentRepeat"/>
        </dgm:layoutNode>
      </dgm:forEach>
      <dgm:forEach name="Name34" axis="ch" ptType="node" st="3" cnt="1">
        <dgm:layoutNode name="text_3" styleLbl="node1">
          <dgm:varLst>
            <dgm:bulletEnabled val="1"/>
          </dgm:varLst>
          <dgm:choose name="Name35">
            <dgm:if name="Name36" func="var" arg="dir" op="equ" val="norm">
              <dgm:alg type="tx">
                <dgm:param type="parTxLTRAlign" val="l"/>
                <dgm:param type="shpTxLTRAlignCh" val="l"/>
                <dgm:param type="parTxRTLAlign" val="l"/>
                <dgm:param type="shpTxRTLAlignCh" val="l"/>
              </dgm:alg>
            </dgm:if>
            <dgm:else name="Name3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3">
          <dgm:alg type="sp"/>
          <dgm:shape xmlns:r="http://schemas.openxmlformats.org/officeDocument/2006/relationships" r:blip="">
            <dgm:adjLst/>
          </dgm:shape>
          <dgm:presOf/>
          <dgm:constrLst/>
          <dgm:forEach name="Name38" ref="accentRepeat"/>
        </dgm:layoutNode>
      </dgm:forEach>
      <dgm:forEach name="Name39" axis="ch" ptType="node" st="4" cnt="1">
        <dgm:layoutNode name="text_4" styleLbl="node1">
          <dgm:varLst>
            <dgm:bulletEnabled val="1"/>
          </dgm:varLst>
          <dgm:choose name="Name40">
            <dgm:if name="Name41" func="var" arg="dir" op="equ" val="norm">
              <dgm:alg type="tx">
                <dgm:param type="parTxLTRAlign" val="l"/>
                <dgm:param type="shpTxLTRAlignCh" val="l"/>
                <dgm:param type="parTxRTLAlign" val="l"/>
                <dgm:param type="shpTxRTLAlignCh" val="l"/>
              </dgm:alg>
            </dgm:if>
            <dgm:else name="Name4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4">
          <dgm:alg type="sp"/>
          <dgm:shape xmlns:r="http://schemas.openxmlformats.org/officeDocument/2006/relationships" r:blip="">
            <dgm:adjLst/>
          </dgm:shape>
          <dgm:presOf/>
          <dgm:constrLst/>
          <dgm:forEach name="Name43" ref="accentRepeat"/>
        </dgm:layoutNode>
      </dgm:forEach>
      <dgm:forEach name="Name44" axis="ch" ptType="node" st="5" cnt="1">
        <dgm:layoutNode name="text_5" styleLbl="node1">
          <dgm:varLst>
            <dgm:bulletEnabled val="1"/>
          </dgm:varLst>
          <dgm:choose name="Name45">
            <dgm:if name="Name46" func="var" arg="dir" op="equ" val="norm">
              <dgm:alg type="tx">
                <dgm:param type="parTxLTRAlign" val="l"/>
                <dgm:param type="shpTxLTRAlignCh" val="l"/>
                <dgm:param type="parTxRTLAlign" val="l"/>
                <dgm:param type="shpTxRTLAlignCh" val="l"/>
              </dgm:alg>
            </dgm:if>
            <dgm:else name="Name4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5">
          <dgm:alg type="sp"/>
          <dgm:shape xmlns:r="http://schemas.openxmlformats.org/officeDocument/2006/relationships" r:blip="">
            <dgm:adjLst/>
          </dgm:shape>
          <dgm:presOf/>
          <dgm:constrLst/>
          <dgm:forEach name="Name48" ref="accentRepeat"/>
        </dgm:layoutNode>
      </dgm:forEach>
      <dgm:forEach name="Name49" axis="ch" ptType="node" st="6" cnt="1">
        <dgm:layoutNode name="text_6" styleLbl="node1">
          <dgm:varLst>
            <dgm:bulletEnabled val="1"/>
          </dgm:varLst>
          <dgm:choose name="Name50">
            <dgm:if name="Name51" func="var" arg="dir" op="equ" val="norm">
              <dgm:alg type="tx">
                <dgm:param type="parTxLTRAlign" val="l"/>
                <dgm:param type="shpTxLTRAlignCh" val="l"/>
                <dgm:param type="parTxRTLAlign" val="l"/>
                <dgm:param type="shpTxRTLAlignCh" val="l"/>
              </dgm:alg>
            </dgm:if>
            <dgm:else name="Name5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6">
          <dgm:alg type="sp"/>
          <dgm:shape xmlns:r="http://schemas.openxmlformats.org/officeDocument/2006/relationships" r:blip="">
            <dgm:adjLst/>
          </dgm:shape>
          <dgm:presOf/>
          <dgm:constrLst/>
          <dgm:forEach name="Name53" ref="accentRepeat"/>
        </dgm:layoutNode>
      </dgm:forEach>
      <dgm:forEach name="Name54" axis="ch" ptType="node" st="7" cnt="1">
        <dgm:layoutNode name="text_7" styleLbl="node1">
          <dgm:varLst>
            <dgm:bulletEnabled val="1"/>
          </dgm:varLst>
          <dgm:choose name="Name55">
            <dgm:if name="Name56" func="var" arg="dir" op="equ" val="norm">
              <dgm:alg type="tx">
                <dgm:param type="parTxLTRAlign" val="l"/>
                <dgm:param type="shpTxLTRAlignCh" val="l"/>
                <dgm:param type="parTxRTLAlign" val="l"/>
                <dgm:param type="shpTxRTLAlignCh" val="l"/>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7">
          <dgm:alg type="sp"/>
          <dgm:shape xmlns:r="http://schemas.openxmlformats.org/officeDocument/2006/relationships" r:blip="">
            <dgm:adjLst/>
          </dgm:shape>
          <dgm:presOf/>
          <dgm:constrLst/>
          <dgm:forEach name="Name58" ref="accentRepeat"/>
        </dgm:layoutNode>
      </dgm:forEach>
    </dgm:layoutNode>
  </dgm:layoutNode>
</dgm:layoutDef>
</file>

<file path=xl/diagrams/layout4.xml><?xml version="1.0" encoding="utf-8"?>
<dgm:layoutDef xmlns:dgm="http://schemas.openxmlformats.org/drawingml/2006/diagram" xmlns:a="http://schemas.openxmlformats.org/drawingml/2006/main" uniqueId="urn:microsoft.com/office/officeart/2008/layout/VerticalCurvedList">
  <dgm:title val=""/>
  <dgm:desc val=""/>
  <dgm:catLst>
    <dgm:cat type="list" pri="20000"/>
  </dgm:catLst>
  <dgm:sampData>
    <dgm:dataModel>
      <dgm:ptLst>
        <dgm:pt modelId="0" type="doc"/>
        <dgm:pt modelId="1">
          <dgm:prSet phldr="1"/>
        </dgm:pt>
        <dgm:pt modelId="2">
          <dgm:prSet phldr="1"/>
        </dgm:pt>
        <dgm:pt modelId="3">
          <dgm:prSet phldr="1"/>
        </dgm:pt>
      </dgm:ptLst>
      <dgm:cxnLst>
        <dgm:cxn modelId="4" srcId="0" destId="1" srcOrd="0" destOrd="0"/>
        <dgm:cxn modelId="5" srcId="0" destId="2" srcOrd="1" destOrd="0"/>
        <dgm:cxn modelId="6" srcId="0" destId="3" srcOrd="2" destOrd="0"/>
      </dgm:cxnLst>
      <dgm:bg/>
      <dgm:whole/>
    </dgm:dataModel>
  </dgm:sampData>
  <dgm:styleData>
    <dgm:dataModel>
      <dgm:ptLst>
        <dgm:pt modelId="0" type="doc"/>
        <dgm:pt modelId="1">
          <dgm:prSet phldr="1"/>
        </dgm:pt>
        <dgm:pt modelId="2">
          <dgm:prSet phldr="1"/>
        </dgm:pt>
      </dgm:ptLst>
      <dgm:cxnLst>
        <dgm:cxn modelId="3" srcId="0" destId="1" srcOrd="0" destOrd="0"/>
        <dgm:cxn modelId="4" srcId="0" destId="2" srcOrd="1"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0.8"/>
    </dgm:constrLst>
    <dgm:layoutNode name="Name1">
      <dgm:alg type="composite"/>
      <dgm:shape xmlns:r="http://schemas.openxmlformats.org/officeDocument/2006/relationships" r:blip="">
        <dgm:adjLst/>
      </dgm:shape>
      <dgm:choose name="Name2">
        <dgm:if name="Name3" func="var" arg="dir" op="equ" val="norm">
          <dgm:choose name="Name4">
            <dgm:if name="Name5" axis="ch" ptType="node" func="cnt" op="equ" val="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h" fact="0.225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primFontSz" for="ch" ptType="node" op="equ" val="65"/>
              </dgm:constrLst>
            </dgm:if>
            <dgm:if name="Name6" axis="ch" ptType="node" func="cnt" op="equ" val="2">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h" fact="0.1891"/>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h" fact="0.1891"/>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primFontSz" for="ch" ptType="node" op="equ" val="65"/>
              </dgm:constrLst>
            </dgm:if>
            <dgm:if name="Name7" axis="ch" ptType="node" func="cnt" op="equ" val="3">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h" fact="0.1526"/>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h" fact="0.2253"/>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h" fact="0.1526"/>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primFontSz" for="ch" ptType="node" op="equ" val="65"/>
              </dgm:constrLst>
            </dgm:if>
            <dgm:if name="Name8" axis="ch" ptType="node" func="cnt" op="equ" val="4">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h" fact="0.1268"/>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h" fact="0.215"/>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h" fact="0.21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h" fact="0.126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primFontSz" for="ch" ptType="node" op="equ" val="65"/>
              </dgm:constrLst>
            </dgm:if>
            <dgm:if name="Name9" axis="ch" ptType="node" func="cnt" op="equ" val="5">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h" fact="0.1082"/>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h" fact="0.197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h" fact="0.2253"/>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h" fact="0.197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h" fact="0.1082"/>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primFontSz" for="ch" ptType="node" op="equ" val="65"/>
              </dgm:constrLst>
            </dgm:if>
            <dgm:if name="Name10" axis="ch" ptType="node" func="cnt" op="equ" val="6">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h" fact="0.094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h" fact="0.1809"/>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h" fact="0.220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h" fact="0.2205"/>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h" fact="0.18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h" fact="0.0943"/>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primFontSz" for="ch" ptType="node" op="equ" val="65"/>
              </dgm:constrLst>
            </dgm:if>
            <dgm:else name="Name1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h" fact="0.0835"/>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h" fact="0.165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h" fact="0.2109"/>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h" fact="0.2253"/>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h" fact="0.21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h" fact="0.1658"/>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h" fact="0.0835"/>
                <dgm:constr type="l" for="ch" forName="text_7" refType="ctrX" refFor="ch" refForName="accent_7"/>
                <dgm:constr type="r" for="ch" forName="text_7" refType="w"/>
                <dgm:constr type="w" for="ch" forName="text_7" refType="h" refFor="ch" refForName="text_7" op="gte"/>
                <dgm:constr type="h" for="ch" forName="text_7" refType="h" refFor="ch" refForName="accent_7" fact="0.8"/>
                <dgm:constr type="ctrY" for="ch" forName="text_7" refType="ctrY" refFor="ch" refForName="accent_7"/>
                <dgm:constr type="lMarg" for="ch" forName="text_7" refType="w" refFor="ch" refForName="accent_7" fact="1.8"/>
                <dgm:constr type="primFontSz" for="ch" ptType="node" op="equ" val="65"/>
              </dgm:constrLst>
            </dgm:else>
          </dgm:choose>
        </dgm:if>
        <dgm:else name="Name12">
          <dgm:choose name="Name13">
            <dgm:if name="Name14" axis="ch" ptType="node" func="cnt" op="equ" val="1">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w"/>
                <dgm:constr type="ctrXOff" for="ch" forName="accent_1" refType="h" fact="-0.225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primFontSz" for="ch" ptType="node" op="equ" val="65"/>
              </dgm:constrLst>
            </dgm:if>
            <dgm:if name="Name15" axis="ch" ptType="node" func="cnt" op="equ" val="2">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w"/>
                <dgm:constr type="ctrXOff" for="ch" forName="accent_1" refType="h" fact="-0.1891"/>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w"/>
                <dgm:constr type="ctrXOff" for="ch" forName="accent_2" refType="h" fact="-0.1891"/>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primFontSz" for="ch" ptType="node" op="equ" val="65"/>
              </dgm:constrLst>
            </dgm:if>
            <dgm:if name="Name16" axis="ch" ptType="node" func="cnt" op="equ" val="3">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w"/>
                <dgm:constr type="ctrXOff" for="ch" forName="accent_1" refType="h" fact="-0.1526"/>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w"/>
                <dgm:constr type="ctrXOff" for="ch" forName="accent_2" refType="h" fact="-0.2253"/>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w"/>
                <dgm:constr type="ctrXOff" for="ch" forName="accent_3" refType="h" fact="-0.1526"/>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primFontSz" for="ch" ptType="node" op="equ" val="65"/>
              </dgm:constrLst>
            </dgm:if>
            <dgm:if name="Name17" axis="ch" ptType="node" func="cnt" op="equ" val="4">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w"/>
                <dgm:constr type="ctrXOff" for="ch" forName="accent_1" refType="h" fact="-0.1268"/>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w"/>
                <dgm:constr type="ctrXOff" for="ch" forName="accent_2" refType="h" fact="-0.215"/>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w"/>
                <dgm:constr type="ctrXOff" for="ch" forName="accent_3" refType="h" fact="-0.21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w"/>
                <dgm:constr type="ctrXOff" for="ch" forName="accent_4" refType="h" fact="-0.126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primFontSz" for="ch" ptType="node" op="equ" val="65"/>
              </dgm:constrLst>
            </dgm:if>
            <dgm:if name="Name18" axis="ch" ptType="node" func="cnt" op="equ" val="5">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w"/>
                <dgm:constr type="ctrXOff" for="ch" forName="accent_1" refType="h" fact="-0.1082"/>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w"/>
                <dgm:constr type="ctrXOff" for="ch" forName="accent_2" refType="h" fact="-0.197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w"/>
                <dgm:constr type="ctrXOff" for="ch" forName="accent_3" refType="h" fact="-0.2253"/>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w"/>
                <dgm:constr type="ctrXOff" for="ch" forName="accent_4" refType="h" fact="-0.197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w"/>
                <dgm:constr type="ctrXOff" for="ch" forName="accent_5" refType="h" fact="-0.1082"/>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primFontSz" for="ch" ptType="node" op="equ" val="65"/>
              </dgm:constrLst>
            </dgm:if>
            <dgm:if name="Name19" axis="ch" ptType="node" func="cnt" op="equ" val="6">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w"/>
                <dgm:constr type="ctrXOff" for="ch" forName="accent_1" refType="h" fact="-0.094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w"/>
                <dgm:constr type="ctrXOff" for="ch" forName="accent_2" refType="h" fact="-0.1809"/>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w"/>
                <dgm:constr type="ctrXOff" for="ch" forName="accent_3" refType="h" fact="-0.220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w"/>
                <dgm:constr type="ctrXOff" for="ch" forName="accent_4" refType="h" fact="-0.2205"/>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w"/>
                <dgm:constr type="ctrXOff" for="ch" forName="accent_5" refType="h" fact="-0.18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w"/>
                <dgm:constr type="ctrXOff" for="ch" forName="accent_6" refType="h" fact="-0.0943"/>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primFontSz" for="ch" ptType="node" op="equ" val="65"/>
              </dgm:constrLst>
            </dgm:if>
            <dgm:else name="Name20">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w"/>
                <dgm:constr type="ctrXOff" for="ch" forName="accent_1" refType="h" fact="-0.0835"/>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w"/>
                <dgm:constr type="ctrXOff" for="ch" forName="accent_2" refType="h" fact="-0.165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w"/>
                <dgm:constr type="ctrXOff" for="ch" forName="accent_3" refType="h" fact="-0.2109"/>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w"/>
                <dgm:constr type="ctrXOff" for="ch" forName="accent_4" refType="h" fact="-0.2253"/>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w"/>
                <dgm:constr type="ctrXOff" for="ch" forName="accent_5" refType="h" fact="-0.21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w"/>
                <dgm:constr type="ctrXOff" for="ch" forName="accent_6" refType="h" fact="-0.1658"/>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w"/>
                <dgm:constr type="ctrXOff" for="ch" forName="accent_7" refType="h" fact="-0.0835"/>
                <dgm:constr type="r" for="ch" forName="text_7" refType="ctrX" refFor="ch" refForName="accent_7"/>
                <dgm:constr type="rOff" for="ch" forName="text_7" refType="ctrXOff" refFor="ch" refForName="accent_7"/>
                <dgm:constr type="l" for="ch" forName="text_7"/>
                <dgm:constr type="w" for="ch" forName="text_7" refType="h" refFor="ch" refForName="text_7" op="gte"/>
                <dgm:constr type="h" for="ch" forName="text_7" refType="h" refFor="ch" refForName="accent_7" fact="0.8"/>
                <dgm:constr type="ctrY" for="ch" forName="text_7" refType="ctrY" refFor="ch" refForName="accent_7"/>
                <dgm:constr type="rMarg" for="ch" forName="text_7" refType="w" refFor="ch" refForName="accent_7" fact="1.8"/>
                <dgm:constr type="primFontSz" for="ch" ptType="node" op="equ" val="65"/>
              </dgm:constrLst>
            </dgm:else>
          </dgm:choose>
        </dgm:else>
      </dgm:choose>
      <dgm:layoutNode name="cycle">
        <dgm:choose name="Name21">
          <dgm:if name="Name22" func="var" arg="dir" op="equ" val="norm">
            <dgm:alg type="cycle">
              <dgm:param type="stAng" val="45"/>
              <dgm:param type="spanAng" val="90"/>
            </dgm:alg>
          </dgm:if>
          <dgm:else name="Name23">
            <dgm:alg type="cycle">
              <dgm:param type="stAng" val="225"/>
              <dgm:param type="spanAng" val="90"/>
            </dgm:alg>
          </dgm:else>
        </dgm:choose>
        <dgm:shape xmlns:r="http://schemas.openxmlformats.org/officeDocument/2006/relationships" r:blip="">
          <dgm:adjLst/>
        </dgm:shape>
        <dgm:presOf/>
        <dgm:constrLst>
          <dgm:constr type="w" for="ch" val="1"/>
          <dgm:constr type="h" for="ch" val="1"/>
          <dgm:constr type="diam" for="ch" forName="conn" refType="diam"/>
        </dgm:constrLst>
        <dgm:layoutNode name="srcNode">
          <dgm:alg type="sp"/>
          <dgm:shape xmlns:r="http://schemas.openxmlformats.org/officeDocument/2006/relationships" type="rect" r:blip="" hideGeom="1">
            <dgm:adjLst/>
          </dgm:shape>
          <dgm:presOf/>
        </dgm:layoutNode>
        <dgm:layoutNode name="conn" styleLbl="parChTrans1D2">
          <dgm:alg type="conn">
            <dgm:param type="connRout" val="curve"/>
            <dgm:param type="srcNode" val="srcNode"/>
            <dgm:param type="dstNode" val="dstNode"/>
            <dgm:param type="begPts" val="ctr"/>
            <dgm:param type="endPts" val="ctr"/>
            <dgm:param type="endSty" val="noArr"/>
          </dgm:alg>
          <dgm:shape xmlns:r="http://schemas.openxmlformats.org/officeDocument/2006/relationships" type="conn" r:blip="">
            <dgm:adjLst/>
          </dgm:shape>
          <dgm:presOf axis="desOrSelf" ptType="sibTrans" hideLastTrans="0" st="0" cnt="1"/>
          <dgm:constrLst>
            <dgm:constr type="begPad"/>
            <dgm:constr type="endPad"/>
          </dgm:constrLst>
        </dgm:layoutNode>
        <dgm:layoutNode name="extraNode">
          <dgm:alg type="sp"/>
          <dgm:shape xmlns:r="http://schemas.openxmlformats.org/officeDocument/2006/relationships" type="rect" r:blip="" hideGeom="1">
            <dgm:adjLst/>
          </dgm:shape>
          <dgm:presOf/>
        </dgm:layoutNode>
        <dgm:layoutNode name="dstNode">
          <dgm:alg type="sp"/>
          <dgm:shape xmlns:r="http://schemas.openxmlformats.org/officeDocument/2006/relationships" type="rect" r:blip="" hideGeom="1">
            <dgm:adjLst/>
          </dgm:shape>
          <dgm:presOf/>
        </dgm:layoutNode>
      </dgm:layoutNode>
      <dgm:forEach name="wrapper" axis="self" ptType="parTrans">
        <dgm:forEach name="wrapper2" axis="self" ptType="sibTrans" st="2">
          <dgm:forEach name="accentRepeat" axis="self">
            <dgm:layoutNode name="accentRepeatNode" styleLbl="solidFgAcc1">
              <dgm:alg type="sp"/>
              <dgm:shape xmlns:r="http://schemas.openxmlformats.org/officeDocument/2006/relationships" type="ellipse" r:blip="">
                <dgm:adjLst/>
              </dgm:shape>
              <dgm:presOf/>
            </dgm:layoutNode>
          </dgm:forEach>
        </dgm:forEach>
      </dgm:forEach>
      <dgm:forEach name="Name24" axis="ch" ptType="node" cnt="1">
        <dgm:layoutNode name="text_1" styleLbl="node1">
          <dgm:varLst>
            <dgm:bulletEnabled val="1"/>
          </dgm:varLst>
          <dgm:choose name="Name25">
            <dgm:if name="Name26" func="var" arg="dir" op="equ" val="norm">
              <dgm:alg type="tx">
                <dgm:param type="parTxLTRAlign" val="l"/>
                <dgm:param type="shpTxLTRAlignCh" val="l"/>
                <dgm:param type="parTxRTLAlign" val="l"/>
                <dgm:param type="shpTxRTLAlignCh" val="l"/>
              </dgm:alg>
            </dgm:if>
            <dgm:else name="Name2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1">
          <dgm:alg type="sp"/>
          <dgm:shape xmlns:r="http://schemas.openxmlformats.org/officeDocument/2006/relationships" r:blip="">
            <dgm:adjLst/>
          </dgm:shape>
          <dgm:presOf/>
          <dgm:constrLst/>
          <dgm:forEach name="Name28" ref="accentRepeat"/>
        </dgm:layoutNode>
      </dgm:forEach>
      <dgm:forEach name="Name29" axis="ch" ptType="node" st="2" cnt="1">
        <dgm:layoutNode name="text_2" styleLbl="node1">
          <dgm:varLst>
            <dgm:bulletEnabled val="1"/>
          </dgm:varLst>
          <dgm:choose name="Name30">
            <dgm:if name="Name31" func="var" arg="dir" op="equ" val="norm">
              <dgm:alg type="tx">
                <dgm:param type="parTxLTRAlign" val="l"/>
                <dgm:param type="shpTxLTRAlignCh" val="l"/>
                <dgm:param type="parTxRTLAlign" val="l"/>
                <dgm:param type="shpTxRTLAlignCh" val="l"/>
              </dgm:alg>
            </dgm:if>
            <dgm:else name="Name3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2">
          <dgm:alg type="sp"/>
          <dgm:shape xmlns:r="http://schemas.openxmlformats.org/officeDocument/2006/relationships" r:blip="">
            <dgm:adjLst/>
          </dgm:shape>
          <dgm:presOf/>
          <dgm:constrLst/>
          <dgm:forEach name="Name33" ref="accentRepeat"/>
        </dgm:layoutNode>
      </dgm:forEach>
      <dgm:forEach name="Name34" axis="ch" ptType="node" st="3" cnt="1">
        <dgm:layoutNode name="text_3" styleLbl="node1">
          <dgm:varLst>
            <dgm:bulletEnabled val="1"/>
          </dgm:varLst>
          <dgm:choose name="Name35">
            <dgm:if name="Name36" func="var" arg="dir" op="equ" val="norm">
              <dgm:alg type="tx">
                <dgm:param type="parTxLTRAlign" val="l"/>
                <dgm:param type="shpTxLTRAlignCh" val="l"/>
                <dgm:param type="parTxRTLAlign" val="l"/>
                <dgm:param type="shpTxRTLAlignCh" val="l"/>
              </dgm:alg>
            </dgm:if>
            <dgm:else name="Name3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3">
          <dgm:alg type="sp"/>
          <dgm:shape xmlns:r="http://schemas.openxmlformats.org/officeDocument/2006/relationships" r:blip="">
            <dgm:adjLst/>
          </dgm:shape>
          <dgm:presOf/>
          <dgm:constrLst/>
          <dgm:forEach name="Name38" ref="accentRepeat"/>
        </dgm:layoutNode>
      </dgm:forEach>
      <dgm:forEach name="Name39" axis="ch" ptType="node" st="4" cnt="1">
        <dgm:layoutNode name="text_4" styleLbl="node1">
          <dgm:varLst>
            <dgm:bulletEnabled val="1"/>
          </dgm:varLst>
          <dgm:choose name="Name40">
            <dgm:if name="Name41" func="var" arg="dir" op="equ" val="norm">
              <dgm:alg type="tx">
                <dgm:param type="parTxLTRAlign" val="l"/>
                <dgm:param type="shpTxLTRAlignCh" val="l"/>
                <dgm:param type="parTxRTLAlign" val="l"/>
                <dgm:param type="shpTxRTLAlignCh" val="l"/>
              </dgm:alg>
            </dgm:if>
            <dgm:else name="Name4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4">
          <dgm:alg type="sp"/>
          <dgm:shape xmlns:r="http://schemas.openxmlformats.org/officeDocument/2006/relationships" r:blip="">
            <dgm:adjLst/>
          </dgm:shape>
          <dgm:presOf/>
          <dgm:constrLst/>
          <dgm:forEach name="Name43" ref="accentRepeat"/>
        </dgm:layoutNode>
      </dgm:forEach>
      <dgm:forEach name="Name44" axis="ch" ptType="node" st="5" cnt="1">
        <dgm:layoutNode name="text_5" styleLbl="node1">
          <dgm:varLst>
            <dgm:bulletEnabled val="1"/>
          </dgm:varLst>
          <dgm:choose name="Name45">
            <dgm:if name="Name46" func="var" arg="dir" op="equ" val="norm">
              <dgm:alg type="tx">
                <dgm:param type="parTxLTRAlign" val="l"/>
                <dgm:param type="shpTxLTRAlignCh" val="l"/>
                <dgm:param type="parTxRTLAlign" val="l"/>
                <dgm:param type="shpTxRTLAlignCh" val="l"/>
              </dgm:alg>
            </dgm:if>
            <dgm:else name="Name4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5">
          <dgm:alg type="sp"/>
          <dgm:shape xmlns:r="http://schemas.openxmlformats.org/officeDocument/2006/relationships" r:blip="">
            <dgm:adjLst/>
          </dgm:shape>
          <dgm:presOf/>
          <dgm:constrLst/>
          <dgm:forEach name="Name48" ref="accentRepeat"/>
        </dgm:layoutNode>
      </dgm:forEach>
      <dgm:forEach name="Name49" axis="ch" ptType="node" st="6" cnt="1">
        <dgm:layoutNode name="text_6" styleLbl="node1">
          <dgm:varLst>
            <dgm:bulletEnabled val="1"/>
          </dgm:varLst>
          <dgm:choose name="Name50">
            <dgm:if name="Name51" func="var" arg="dir" op="equ" val="norm">
              <dgm:alg type="tx">
                <dgm:param type="parTxLTRAlign" val="l"/>
                <dgm:param type="shpTxLTRAlignCh" val="l"/>
                <dgm:param type="parTxRTLAlign" val="l"/>
                <dgm:param type="shpTxRTLAlignCh" val="l"/>
              </dgm:alg>
            </dgm:if>
            <dgm:else name="Name5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6">
          <dgm:alg type="sp"/>
          <dgm:shape xmlns:r="http://schemas.openxmlformats.org/officeDocument/2006/relationships" r:blip="">
            <dgm:adjLst/>
          </dgm:shape>
          <dgm:presOf/>
          <dgm:constrLst/>
          <dgm:forEach name="Name53" ref="accentRepeat"/>
        </dgm:layoutNode>
      </dgm:forEach>
      <dgm:forEach name="Name54" axis="ch" ptType="node" st="7" cnt="1">
        <dgm:layoutNode name="text_7" styleLbl="node1">
          <dgm:varLst>
            <dgm:bulletEnabled val="1"/>
          </dgm:varLst>
          <dgm:choose name="Name55">
            <dgm:if name="Name56" func="var" arg="dir" op="equ" val="norm">
              <dgm:alg type="tx">
                <dgm:param type="parTxLTRAlign" val="l"/>
                <dgm:param type="shpTxLTRAlignCh" val="l"/>
                <dgm:param type="parTxRTLAlign" val="l"/>
                <dgm:param type="shpTxRTLAlignCh" val="l"/>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7">
          <dgm:alg type="sp"/>
          <dgm:shape xmlns:r="http://schemas.openxmlformats.org/officeDocument/2006/relationships" r:blip="">
            <dgm:adjLst/>
          </dgm:shape>
          <dgm:presOf/>
          <dgm:constrLst/>
          <dgm:forEach name="Name58" ref="accentRepeat"/>
        </dgm:layoutNode>
      </dgm:forEach>
    </dgm:layoutNode>
  </dgm:layoutNode>
</dgm:layoutDef>
</file>

<file path=xl/diagrams/layout5.xml><?xml version="1.0" encoding="utf-8"?>
<dgm:layoutDef xmlns:dgm="http://schemas.openxmlformats.org/drawingml/2006/diagram" xmlns:a="http://schemas.openxmlformats.org/drawingml/2006/main" uniqueId="urn:microsoft.com/office/officeart/2008/layout/VerticalCurvedList">
  <dgm:title val=""/>
  <dgm:desc val=""/>
  <dgm:catLst>
    <dgm:cat type="list" pri="20000"/>
  </dgm:catLst>
  <dgm:sampData>
    <dgm:dataModel>
      <dgm:ptLst>
        <dgm:pt modelId="0" type="doc"/>
        <dgm:pt modelId="1">
          <dgm:prSet phldr="1"/>
        </dgm:pt>
        <dgm:pt modelId="2">
          <dgm:prSet phldr="1"/>
        </dgm:pt>
        <dgm:pt modelId="3">
          <dgm:prSet phldr="1"/>
        </dgm:pt>
      </dgm:ptLst>
      <dgm:cxnLst>
        <dgm:cxn modelId="4" srcId="0" destId="1" srcOrd="0" destOrd="0"/>
        <dgm:cxn modelId="5" srcId="0" destId="2" srcOrd="1" destOrd="0"/>
        <dgm:cxn modelId="6" srcId="0" destId="3" srcOrd="2" destOrd="0"/>
      </dgm:cxnLst>
      <dgm:bg/>
      <dgm:whole/>
    </dgm:dataModel>
  </dgm:sampData>
  <dgm:styleData>
    <dgm:dataModel>
      <dgm:ptLst>
        <dgm:pt modelId="0" type="doc"/>
        <dgm:pt modelId="1">
          <dgm:prSet phldr="1"/>
        </dgm:pt>
        <dgm:pt modelId="2">
          <dgm:prSet phldr="1"/>
        </dgm:pt>
      </dgm:ptLst>
      <dgm:cxnLst>
        <dgm:cxn modelId="3" srcId="0" destId="1" srcOrd="0" destOrd="0"/>
        <dgm:cxn modelId="4" srcId="0" destId="2" srcOrd="1"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0.8"/>
    </dgm:constrLst>
    <dgm:layoutNode name="Name1">
      <dgm:alg type="composite"/>
      <dgm:shape xmlns:r="http://schemas.openxmlformats.org/officeDocument/2006/relationships" r:blip="">
        <dgm:adjLst/>
      </dgm:shape>
      <dgm:choose name="Name2">
        <dgm:if name="Name3" func="var" arg="dir" op="equ" val="norm">
          <dgm:choose name="Name4">
            <dgm:if name="Name5" axis="ch" ptType="node" func="cnt" op="equ" val="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h" fact="0.225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primFontSz" for="ch" ptType="node" op="equ" val="65"/>
              </dgm:constrLst>
            </dgm:if>
            <dgm:if name="Name6" axis="ch" ptType="node" func="cnt" op="equ" val="2">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h" fact="0.1891"/>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h" fact="0.1891"/>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primFontSz" for="ch" ptType="node" op="equ" val="65"/>
              </dgm:constrLst>
            </dgm:if>
            <dgm:if name="Name7" axis="ch" ptType="node" func="cnt" op="equ" val="3">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h" fact="0.1526"/>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h" fact="0.2253"/>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h" fact="0.1526"/>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primFontSz" for="ch" ptType="node" op="equ" val="65"/>
              </dgm:constrLst>
            </dgm:if>
            <dgm:if name="Name8" axis="ch" ptType="node" func="cnt" op="equ" val="4">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h" fact="0.1268"/>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h" fact="0.215"/>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h" fact="0.21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h" fact="0.126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primFontSz" for="ch" ptType="node" op="equ" val="65"/>
              </dgm:constrLst>
            </dgm:if>
            <dgm:if name="Name9" axis="ch" ptType="node" func="cnt" op="equ" val="5">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h" fact="0.1082"/>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h" fact="0.197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h" fact="0.2253"/>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h" fact="0.1978"/>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h" fact="0.1082"/>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primFontSz" for="ch" ptType="node" op="equ" val="65"/>
              </dgm:constrLst>
            </dgm:if>
            <dgm:if name="Name10" axis="ch" ptType="node" func="cnt" op="equ" val="6">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h" fact="0.0943"/>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h" fact="0.1809"/>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h" fact="0.2205"/>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h" fact="0.2205"/>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h" fact="0.18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h" fact="0.0943"/>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primFontSz" for="ch" ptType="node" op="equ" val="65"/>
              </dgm:constrLst>
            </dgm:if>
            <dgm:else name="Name11">
              <dgm:constrLst>
                <dgm:constr type="h" for="ch" forName="cycle" refType="h"/>
                <dgm:constr type="w" for="ch" forName="cycle" refType="h" refFor="ch" refForName="cycle" fact="0.26"/>
                <dgm:constr type="l" for="ch" forName="cycle"/>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h" fact="0.0835"/>
                <dgm:constr type="l" for="ch" forName="text_1" refType="ctrX" refFor="ch" refForName="accent_1"/>
                <dgm:constr type="r" for="ch" forName="text_1" refType="w"/>
                <dgm:constr type="w" for="ch" forName="text_1" refType="h" refFor="ch" refForName="text_1" op="gte"/>
                <dgm:constr type="h" for="ch" forName="text_1" refType="h" refFor="ch" refForName="accent_1" fact="0.8"/>
                <dgm:constr type="ctrY" for="ch" forName="text_1" refType="ctrY" refFor="ch" refForName="accent_1"/>
                <dgm:constr type="l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h" fact="0.1658"/>
                <dgm:constr type="l" for="ch" forName="text_2" refType="ctrX" refFor="ch" refForName="accent_2"/>
                <dgm:constr type="r" for="ch" forName="text_2" refType="w"/>
                <dgm:constr type="w" for="ch" forName="text_2" refType="h" refFor="ch" refForName="text_2" op="gte"/>
                <dgm:constr type="h" for="ch" forName="text_2" refType="h" refFor="ch" refForName="accent_2" fact="0.8"/>
                <dgm:constr type="ctrY" for="ch" forName="text_2" refType="ctrY" refFor="ch" refForName="accent_2"/>
                <dgm:constr type="l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h" fact="0.2109"/>
                <dgm:constr type="l" for="ch" forName="text_3" refType="ctrX" refFor="ch" refForName="accent_3"/>
                <dgm:constr type="r" for="ch" forName="text_3" refType="w"/>
                <dgm:constr type="w" for="ch" forName="text_3" refType="h" refFor="ch" refForName="text_3" op="gte"/>
                <dgm:constr type="h" for="ch" forName="text_3" refType="h" refFor="ch" refForName="accent_3" fact="0.8"/>
                <dgm:constr type="ctrY" for="ch" forName="text_3" refType="ctrY" refFor="ch" refForName="accent_3"/>
                <dgm:constr type="l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h" fact="0.2253"/>
                <dgm:constr type="l" for="ch" forName="text_4" refType="ctrX" refFor="ch" refForName="accent_4"/>
                <dgm:constr type="r" for="ch" forName="text_4" refType="w"/>
                <dgm:constr type="w" for="ch" forName="text_4" refType="h" refFor="ch" refForName="text_4" op="gte"/>
                <dgm:constr type="h" for="ch" forName="text_4" refType="h" refFor="ch" refForName="accent_4" fact="0.8"/>
                <dgm:constr type="ctrY" for="ch" forName="text_4" refType="ctrY" refFor="ch" refForName="accent_4"/>
                <dgm:constr type="l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h" fact="0.2109"/>
                <dgm:constr type="l" for="ch" forName="text_5" refType="ctrX" refFor="ch" refForName="accent_5"/>
                <dgm:constr type="r" for="ch" forName="text_5" refType="w"/>
                <dgm:constr type="w" for="ch" forName="text_5" refType="h" refFor="ch" refForName="text_5" op="gte"/>
                <dgm:constr type="h" for="ch" forName="text_5" refType="h" refFor="ch" refForName="accent_5" fact="0.8"/>
                <dgm:constr type="ctrY" for="ch" forName="text_5" refType="ctrY" refFor="ch" refForName="accent_5"/>
                <dgm:constr type="l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h" fact="0.1658"/>
                <dgm:constr type="l" for="ch" forName="text_6" refType="ctrX" refFor="ch" refForName="accent_6"/>
                <dgm:constr type="r" for="ch" forName="text_6" refType="w"/>
                <dgm:constr type="w" for="ch" forName="text_6" refType="h" refFor="ch" refForName="text_6" op="gte"/>
                <dgm:constr type="h" for="ch" forName="text_6" refType="h" refFor="ch" refForName="accent_6" fact="0.8"/>
                <dgm:constr type="ctrY" for="ch" forName="text_6" refType="ctrY" refFor="ch" refForName="accent_6"/>
                <dgm:constr type="l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h" fact="0.0835"/>
                <dgm:constr type="l" for="ch" forName="text_7" refType="ctrX" refFor="ch" refForName="accent_7"/>
                <dgm:constr type="r" for="ch" forName="text_7" refType="w"/>
                <dgm:constr type="w" for="ch" forName="text_7" refType="h" refFor="ch" refForName="text_7" op="gte"/>
                <dgm:constr type="h" for="ch" forName="text_7" refType="h" refFor="ch" refForName="accent_7" fact="0.8"/>
                <dgm:constr type="ctrY" for="ch" forName="text_7" refType="ctrY" refFor="ch" refForName="accent_7"/>
                <dgm:constr type="lMarg" for="ch" forName="text_7" refType="w" refFor="ch" refForName="accent_7" fact="1.8"/>
                <dgm:constr type="primFontSz" for="ch" ptType="node" op="equ" val="65"/>
              </dgm:constrLst>
            </dgm:else>
          </dgm:choose>
        </dgm:if>
        <dgm:else name="Name12">
          <dgm:choose name="Name13">
            <dgm:if name="Name14" axis="ch" ptType="node" func="cnt" op="equ" val="1">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625"/>
                <dgm:constr type="w" for="ch" forName="accent_1" refType="h" refFor="ch" refForName="accent_1" op="equ"/>
                <dgm:constr type="ctrY" for="ch" forName="accent_1" refType="h" fact="0.5"/>
                <dgm:constr type="ctrX" for="ch" forName="accent_1" refType="w"/>
                <dgm:constr type="ctrXOff" for="ch" forName="accent_1" refType="h" fact="-0.225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primFontSz" for="ch" ptType="node" op="equ" val="65"/>
              </dgm:constrLst>
            </dgm:if>
            <dgm:if name="Name15" axis="ch" ptType="node" func="cnt" op="equ" val="2">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3571"/>
                <dgm:constr type="w" for="ch" forName="accent_1" refType="h" refFor="ch" refForName="accent_1" op="equ"/>
                <dgm:constr type="ctrY" for="ch" forName="accent_1" refType="h" fact="0.2857"/>
                <dgm:constr type="ctrX" for="ch" forName="accent_1" refType="w"/>
                <dgm:constr type="ctrXOff" for="ch" forName="accent_1" refType="h" fact="-0.1891"/>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3571"/>
                <dgm:constr type="w" for="ch" forName="accent_2" refType="h" refFor="ch" refForName="accent_2" op="equ"/>
                <dgm:constr type="ctrY" for="ch" forName="accent_2" refType="h" fact="0.7143"/>
                <dgm:constr type="ctrX" for="ch" forName="accent_2" refType="w"/>
                <dgm:constr type="ctrXOff" for="ch" forName="accent_2" refType="h" fact="-0.1891"/>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primFontSz" for="ch" ptType="node" op="equ" val="65"/>
              </dgm:constrLst>
            </dgm:if>
            <dgm:if name="Name16" axis="ch" ptType="node" func="cnt" op="equ" val="3">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25"/>
                <dgm:constr type="w" for="ch" forName="accent_1" refType="h" refFor="ch" refForName="accent_1" op="equ"/>
                <dgm:constr type="ctrY" for="ch" forName="accent_1" refType="h" fact="0.2"/>
                <dgm:constr type="ctrX" for="ch" forName="accent_1" refType="w"/>
                <dgm:constr type="ctrXOff" for="ch" forName="accent_1" refType="h" fact="-0.1526"/>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25"/>
                <dgm:constr type="w" for="ch" forName="accent_2" refType="h" refFor="ch" refForName="accent_2" op="equ"/>
                <dgm:constr type="ctrY" for="ch" forName="accent_2" refType="h" fact="0.5"/>
                <dgm:constr type="ctrX" for="ch" forName="accent_2" refType="w"/>
                <dgm:constr type="ctrXOff" for="ch" forName="accent_2" refType="h" fact="-0.2253"/>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25"/>
                <dgm:constr type="w" for="ch" forName="accent_3" refType="h" refFor="ch" refForName="accent_3" op="equ"/>
                <dgm:constr type="ctrY" for="ch" forName="accent_3" refType="h" fact="0.8"/>
                <dgm:constr type="ctrX" for="ch" forName="accent_3" refType="w"/>
                <dgm:constr type="ctrXOff" for="ch" forName="accent_3" refType="h" fact="-0.1526"/>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primFontSz" for="ch" ptType="node" op="equ" val="65"/>
              </dgm:constrLst>
            </dgm:if>
            <dgm:if name="Name17" axis="ch" ptType="node" func="cnt" op="equ" val="4">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923"/>
                <dgm:constr type="w" for="ch" forName="accent_1" refType="h" refFor="ch" refForName="accent_1" op="equ"/>
                <dgm:constr type="ctrY" for="ch" forName="accent_1" refType="h" fact="0.1538"/>
                <dgm:constr type="ctrX" for="ch" forName="accent_1" refType="w"/>
                <dgm:constr type="ctrXOff" for="ch" forName="accent_1" refType="h" fact="-0.1268"/>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923"/>
                <dgm:constr type="w" for="ch" forName="accent_2" refType="h" refFor="ch" refForName="accent_2" op="equ"/>
                <dgm:constr type="ctrY" for="ch" forName="accent_2" refType="h" fact="0.3846"/>
                <dgm:constr type="ctrX" for="ch" forName="accent_2" refType="w"/>
                <dgm:constr type="ctrXOff" for="ch" forName="accent_2" refType="h" fact="-0.215"/>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923"/>
                <dgm:constr type="w" for="ch" forName="accent_3" refType="h" refFor="ch" refForName="accent_3" op="equ"/>
                <dgm:constr type="ctrY" for="ch" forName="accent_3" refType="h" fact="0.6154"/>
                <dgm:constr type="ctrX" for="ch" forName="accent_3" refType="w"/>
                <dgm:constr type="ctrXOff" for="ch" forName="accent_3" refType="h" fact="-0.21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923"/>
                <dgm:constr type="w" for="ch" forName="accent_4" refType="h" refFor="ch" refForName="accent_4" op="equ"/>
                <dgm:constr type="ctrY" for="ch" forName="accent_4" refType="h" fact="0.8462"/>
                <dgm:constr type="ctrX" for="ch" forName="accent_4" refType="w"/>
                <dgm:constr type="ctrXOff" for="ch" forName="accent_4" refType="h" fact="-0.126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primFontSz" for="ch" ptType="node" op="equ" val="65"/>
              </dgm:constrLst>
            </dgm:if>
            <dgm:if name="Name18" axis="ch" ptType="node" func="cnt" op="equ" val="5">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563"/>
                <dgm:constr type="w" for="ch" forName="accent_1" refType="h" refFor="ch" refForName="accent_1" op="equ"/>
                <dgm:constr type="ctrY" for="ch" forName="accent_1" refType="h" fact="0.125"/>
                <dgm:constr type="ctrX" for="ch" forName="accent_1" refType="w"/>
                <dgm:constr type="ctrXOff" for="ch" forName="accent_1" refType="h" fact="-0.1082"/>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563"/>
                <dgm:constr type="w" for="ch" forName="accent_2" refType="h" refFor="ch" refForName="accent_2" op="equ"/>
                <dgm:constr type="ctrY" for="ch" forName="accent_2" refType="h" fact="0.3125"/>
                <dgm:constr type="ctrX" for="ch" forName="accent_2" refType="w"/>
                <dgm:constr type="ctrXOff" for="ch" forName="accent_2" refType="h" fact="-0.197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563"/>
                <dgm:constr type="w" for="ch" forName="accent_3" refType="h" refFor="ch" refForName="accent_3" op="equ"/>
                <dgm:constr type="ctrY" for="ch" forName="accent_3" refType="h" fact="0.5"/>
                <dgm:constr type="ctrX" for="ch" forName="accent_3" refType="w"/>
                <dgm:constr type="ctrXOff" for="ch" forName="accent_3" refType="h" fact="-0.2253"/>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563"/>
                <dgm:constr type="w" for="ch" forName="accent_4" refType="h" refFor="ch" refForName="accent_4" op="equ"/>
                <dgm:constr type="ctrY" for="ch" forName="accent_4" refType="h" fact="0.6875"/>
                <dgm:constr type="ctrX" for="ch" forName="accent_4" refType="w"/>
                <dgm:constr type="ctrXOff" for="ch" forName="accent_4" refType="h" fact="-0.1978"/>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563"/>
                <dgm:constr type="w" for="ch" forName="accent_5" refType="h" refFor="ch" refForName="accent_5" op="equ"/>
                <dgm:constr type="ctrY" for="ch" forName="accent_5" refType="h" fact="0.875"/>
                <dgm:constr type="ctrX" for="ch" forName="accent_5" refType="w"/>
                <dgm:constr type="ctrXOff" for="ch" forName="accent_5" refType="h" fact="-0.1082"/>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primFontSz" for="ch" ptType="node" op="equ" val="65"/>
              </dgm:constrLst>
            </dgm:if>
            <dgm:if name="Name19" axis="ch" ptType="node" func="cnt" op="equ" val="6">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316"/>
                <dgm:constr type="w" for="ch" forName="accent_1" refType="h" refFor="ch" refForName="accent_1" op="equ"/>
                <dgm:constr type="ctrY" for="ch" forName="accent_1" refType="h" fact="0.1053"/>
                <dgm:constr type="ctrX" for="ch" forName="accent_1" refType="w"/>
                <dgm:constr type="ctrXOff" for="ch" forName="accent_1" refType="h" fact="-0.0943"/>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316"/>
                <dgm:constr type="w" for="ch" forName="accent_2" refType="h" refFor="ch" refForName="accent_2" op="equ"/>
                <dgm:constr type="ctrY" for="ch" forName="accent_2" refType="h" fact="0.2632"/>
                <dgm:constr type="ctrX" for="ch" forName="accent_2" refType="w"/>
                <dgm:constr type="ctrXOff" for="ch" forName="accent_2" refType="h" fact="-0.1809"/>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316"/>
                <dgm:constr type="w" for="ch" forName="accent_3" refType="h" refFor="ch" refForName="accent_3" op="equ"/>
                <dgm:constr type="ctrY" for="ch" forName="accent_3" refType="h" fact="0.4211"/>
                <dgm:constr type="ctrX" for="ch" forName="accent_3" refType="w"/>
                <dgm:constr type="ctrXOff" for="ch" forName="accent_3" refType="h" fact="-0.2205"/>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316"/>
                <dgm:constr type="w" for="ch" forName="accent_4" refType="h" refFor="ch" refForName="accent_4" op="equ"/>
                <dgm:constr type="ctrY" for="ch" forName="accent_4" refType="h" fact="0.5789"/>
                <dgm:constr type="ctrX" for="ch" forName="accent_4" refType="w"/>
                <dgm:constr type="ctrXOff" for="ch" forName="accent_4" refType="h" fact="-0.2205"/>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316"/>
                <dgm:constr type="w" for="ch" forName="accent_5" refType="h" refFor="ch" refForName="accent_5" op="equ"/>
                <dgm:constr type="ctrY" for="ch" forName="accent_5" refType="h" fact="0.7368"/>
                <dgm:constr type="ctrX" for="ch" forName="accent_5" refType="w"/>
                <dgm:constr type="ctrXOff" for="ch" forName="accent_5" refType="h" fact="-0.18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316"/>
                <dgm:constr type="w" for="ch" forName="accent_6" refType="h" refFor="ch" refForName="accent_6" op="equ"/>
                <dgm:constr type="ctrY" for="ch" forName="accent_6" refType="h" fact="0.8947"/>
                <dgm:constr type="ctrX" for="ch" forName="accent_6" refType="w"/>
                <dgm:constr type="ctrXOff" for="ch" forName="accent_6" refType="h" fact="-0.0943"/>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primFontSz" for="ch" ptType="node" op="equ" val="65"/>
              </dgm:constrLst>
            </dgm:if>
            <dgm:else name="Name20">
              <dgm:constrLst>
                <dgm:constr type="h" for="ch" forName="cycle" refType="h"/>
                <dgm:constr type="w" for="ch" forName="cycle" refType="h" refFor="ch" refForName="cycle" fact="0.26"/>
                <dgm:constr type="r" for="ch" forName="cycle" refType="w"/>
                <dgm:constr type="ctrY" for="ch" forName="cycle" refType="h" fact="0.5"/>
                <dgm:constr type="diam" for="ch" forName="cycle" refType="h" fact="1.344"/>
                <dgm:constr type="h" for="ch" forName="accent_1" refType="h" fact="0.1136"/>
                <dgm:constr type="w" for="ch" forName="accent_1" refType="h" refFor="ch" refForName="accent_1" op="equ"/>
                <dgm:constr type="ctrY" for="ch" forName="accent_1" refType="h" fact="0.0909"/>
                <dgm:constr type="ctrX" for="ch" forName="accent_1" refType="w"/>
                <dgm:constr type="ctrXOff" for="ch" forName="accent_1" refType="h" fact="-0.0835"/>
                <dgm:constr type="r" for="ch" forName="text_1" refType="ctrX" refFor="ch" refForName="accent_1"/>
                <dgm:constr type="rOff" for="ch" forName="text_1" refType="ctrXOff" refFor="ch" refForName="accent_1"/>
                <dgm:constr type="l" for="ch" forName="text_1"/>
                <dgm:constr type="w" for="ch" forName="text_1" refType="h" refFor="ch" refForName="text_1" op="gte"/>
                <dgm:constr type="h" for="ch" forName="text_1" refType="h" refFor="ch" refForName="accent_1" fact="0.8"/>
                <dgm:constr type="ctrY" for="ch" forName="text_1" refType="ctrY" refFor="ch" refForName="accent_1"/>
                <dgm:constr type="rMarg" for="ch" forName="text_1" refType="w" refFor="ch" refForName="accent_1" fact="1.8"/>
                <dgm:constr type="h" for="ch" forName="accent_2" refType="h" fact="0.1136"/>
                <dgm:constr type="w" for="ch" forName="accent_2" refType="h" refFor="ch" refForName="accent_2" op="equ"/>
                <dgm:constr type="ctrY" for="ch" forName="accent_2" refType="h" fact="0.2273"/>
                <dgm:constr type="ctrX" for="ch" forName="accent_2" refType="w"/>
                <dgm:constr type="ctrXOff" for="ch" forName="accent_2" refType="h" fact="-0.1658"/>
                <dgm:constr type="r" for="ch" forName="text_2" refType="ctrX" refFor="ch" refForName="accent_2"/>
                <dgm:constr type="rOff" for="ch" forName="text_2" refType="ctrXOff" refFor="ch" refForName="accent_2"/>
                <dgm:constr type="l" for="ch" forName="text_2"/>
                <dgm:constr type="w" for="ch" forName="text_2" refType="h" refFor="ch" refForName="text_2" op="gte"/>
                <dgm:constr type="h" for="ch" forName="text_2" refType="h" refFor="ch" refForName="accent_2" fact="0.8"/>
                <dgm:constr type="ctrY" for="ch" forName="text_2" refType="ctrY" refFor="ch" refForName="accent_2"/>
                <dgm:constr type="rMarg" for="ch" forName="text_2" refType="w" refFor="ch" refForName="accent_2" fact="1.8"/>
                <dgm:constr type="h" for="ch" forName="accent_3" refType="h" fact="0.1136"/>
                <dgm:constr type="w" for="ch" forName="accent_3" refType="h" refFor="ch" refForName="accent_3" op="equ"/>
                <dgm:constr type="ctrY" for="ch" forName="accent_3" refType="h" fact="0.3636"/>
                <dgm:constr type="ctrX" for="ch" forName="accent_3" refType="w"/>
                <dgm:constr type="ctrXOff" for="ch" forName="accent_3" refType="h" fact="-0.2109"/>
                <dgm:constr type="r" for="ch" forName="text_3" refType="ctrX" refFor="ch" refForName="accent_3"/>
                <dgm:constr type="rOff" for="ch" forName="text_3" refType="ctrXOff" refFor="ch" refForName="accent_3"/>
                <dgm:constr type="l" for="ch" forName="text_3"/>
                <dgm:constr type="w" for="ch" forName="text_3" refType="h" refFor="ch" refForName="text_3" op="gte"/>
                <dgm:constr type="h" for="ch" forName="text_3" refType="h" refFor="ch" refForName="accent_3" fact="0.8"/>
                <dgm:constr type="ctrY" for="ch" forName="text_3" refType="ctrY" refFor="ch" refForName="accent_3"/>
                <dgm:constr type="rMarg" for="ch" forName="text_3" refType="w" refFor="ch" refForName="accent_3" fact="1.8"/>
                <dgm:constr type="h" for="ch" forName="accent_4" refType="h" fact="0.1136"/>
                <dgm:constr type="w" for="ch" forName="accent_4" refType="h" refFor="ch" refForName="accent_4" op="equ"/>
                <dgm:constr type="ctrY" for="ch" forName="accent_4" refType="h" fact="0.5"/>
                <dgm:constr type="ctrX" for="ch" forName="accent_4" refType="w"/>
                <dgm:constr type="ctrXOff" for="ch" forName="accent_4" refType="h" fact="-0.2253"/>
                <dgm:constr type="r" for="ch" forName="text_4" refType="ctrX" refFor="ch" refForName="accent_4"/>
                <dgm:constr type="rOff" for="ch" forName="text_4" refType="ctrXOff" refFor="ch" refForName="accent_4"/>
                <dgm:constr type="l" for="ch" forName="text_4"/>
                <dgm:constr type="w" for="ch" forName="text_4" refType="h" refFor="ch" refForName="text_4" op="gte"/>
                <dgm:constr type="h" for="ch" forName="text_4" refType="h" refFor="ch" refForName="accent_4" fact="0.8"/>
                <dgm:constr type="ctrY" for="ch" forName="text_4" refType="ctrY" refFor="ch" refForName="accent_4"/>
                <dgm:constr type="rMarg" for="ch" forName="text_4" refType="w" refFor="ch" refForName="accent_4" fact="1.8"/>
                <dgm:constr type="h" for="ch" forName="accent_5" refType="h" fact="0.1136"/>
                <dgm:constr type="w" for="ch" forName="accent_5" refType="h" refFor="ch" refForName="accent_5" op="equ"/>
                <dgm:constr type="ctrY" for="ch" forName="accent_5" refType="h" fact="0.6364"/>
                <dgm:constr type="ctrX" for="ch" forName="accent_5" refType="w"/>
                <dgm:constr type="ctrXOff" for="ch" forName="accent_5" refType="h" fact="-0.2109"/>
                <dgm:constr type="r" for="ch" forName="text_5" refType="ctrX" refFor="ch" refForName="accent_5"/>
                <dgm:constr type="rOff" for="ch" forName="text_5" refType="ctrXOff" refFor="ch" refForName="accent_5"/>
                <dgm:constr type="l" for="ch" forName="text_5"/>
                <dgm:constr type="w" for="ch" forName="text_5" refType="h" refFor="ch" refForName="text_5" op="gte"/>
                <dgm:constr type="h" for="ch" forName="text_5" refType="h" refFor="ch" refForName="accent_5" fact="0.8"/>
                <dgm:constr type="ctrY" for="ch" forName="text_5" refType="ctrY" refFor="ch" refForName="accent_5"/>
                <dgm:constr type="rMarg" for="ch" forName="text_5" refType="w" refFor="ch" refForName="accent_5" fact="1.8"/>
                <dgm:constr type="h" for="ch" forName="accent_6" refType="h" fact="0.1136"/>
                <dgm:constr type="w" for="ch" forName="accent_6" refType="h" refFor="ch" refForName="accent_6" op="equ"/>
                <dgm:constr type="ctrY" for="ch" forName="accent_6" refType="h" fact="0.7727"/>
                <dgm:constr type="ctrX" for="ch" forName="accent_6" refType="w"/>
                <dgm:constr type="ctrXOff" for="ch" forName="accent_6" refType="h" fact="-0.1658"/>
                <dgm:constr type="r" for="ch" forName="text_6" refType="ctrX" refFor="ch" refForName="accent_6"/>
                <dgm:constr type="rOff" for="ch" forName="text_6" refType="ctrXOff" refFor="ch" refForName="accent_6"/>
                <dgm:constr type="l" for="ch" forName="text_6"/>
                <dgm:constr type="w" for="ch" forName="text_6" refType="h" refFor="ch" refForName="text_6" op="gte"/>
                <dgm:constr type="h" for="ch" forName="text_6" refType="h" refFor="ch" refForName="accent_6" fact="0.8"/>
                <dgm:constr type="ctrY" for="ch" forName="text_6" refType="ctrY" refFor="ch" refForName="accent_6"/>
                <dgm:constr type="rMarg" for="ch" forName="text_6" refType="w" refFor="ch" refForName="accent_6" fact="1.8"/>
                <dgm:constr type="h" for="ch" forName="accent_7" refType="h" fact="0.1136"/>
                <dgm:constr type="w" for="ch" forName="accent_7" refType="h" refFor="ch" refForName="accent_7" op="equ"/>
                <dgm:constr type="ctrY" for="ch" forName="accent_7" refType="h" fact="0.9091"/>
                <dgm:constr type="ctrX" for="ch" forName="accent_7" refType="w"/>
                <dgm:constr type="ctrXOff" for="ch" forName="accent_7" refType="h" fact="-0.0835"/>
                <dgm:constr type="r" for="ch" forName="text_7" refType="ctrX" refFor="ch" refForName="accent_7"/>
                <dgm:constr type="rOff" for="ch" forName="text_7" refType="ctrXOff" refFor="ch" refForName="accent_7"/>
                <dgm:constr type="l" for="ch" forName="text_7"/>
                <dgm:constr type="w" for="ch" forName="text_7" refType="h" refFor="ch" refForName="text_7" op="gte"/>
                <dgm:constr type="h" for="ch" forName="text_7" refType="h" refFor="ch" refForName="accent_7" fact="0.8"/>
                <dgm:constr type="ctrY" for="ch" forName="text_7" refType="ctrY" refFor="ch" refForName="accent_7"/>
                <dgm:constr type="rMarg" for="ch" forName="text_7" refType="w" refFor="ch" refForName="accent_7" fact="1.8"/>
                <dgm:constr type="primFontSz" for="ch" ptType="node" op="equ" val="65"/>
              </dgm:constrLst>
            </dgm:else>
          </dgm:choose>
        </dgm:else>
      </dgm:choose>
      <dgm:layoutNode name="cycle">
        <dgm:choose name="Name21">
          <dgm:if name="Name22" func="var" arg="dir" op="equ" val="norm">
            <dgm:alg type="cycle">
              <dgm:param type="stAng" val="45"/>
              <dgm:param type="spanAng" val="90"/>
            </dgm:alg>
          </dgm:if>
          <dgm:else name="Name23">
            <dgm:alg type="cycle">
              <dgm:param type="stAng" val="225"/>
              <dgm:param type="spanAng" val="90"/>
            </dgm:alg>
          </dgm:else>
        </dgm:choose>
        <dgm:shape xmlns:r="http://schemas.openxmlformats.org/officeDocument/2006/relationships" r:blip="">
          <dgm:adjLst/>
        </dgm:shape>
        <dgm:presOf/>
        <dgm:constrLst>
          <dgm:constr type="w" for="ch" val="1"/>
          <dgm:constr type="h" for="ch" val="1"/>
          <dgm:constr type="diam" for="ch" forName="conn" refType="diam"/>
        </dgm:constrLst>
        <dgm:layoutNode name="srcNode">
          <dgm:alg type="sp"/>
          <dgm:shape xmlns:r="http://schemas.openxmlformats.org/officeDocument/2006/relationships" type="rect" r:blip="" hideGeom="1">
            <dgm:adjLst/>
          </dgm:shape>
          <dgm:presOf/>
        </dgm:layoutNode>
        <dgm:layoutNode name="conn" styleLbl="parChTrans1D2">
          <dgm:alg type="conn">
            <dgm:param type="connRout" val="curve"/>
            <dgm:param type="srcNode" val="srcNode"/>
            <dgm:param type="dstNode" val="dstNode"/>
            <dgm:param type="begPts" val="ctr"/>
            <dgm:param type="endPts" val="ctr"/>
            <dgm:param type="endSty" val="noArr"/>
          </dgm:alg>
          <dgm:shape xmlns:r="http://schemas.openxmlformats.org/officeDocument/2006/relationships" type="conn" r:blip="">
            <dgm:adjLst/>
          </dgm:shape>
          <dgm:presOf axis="desOrSelf" ptType="sibTrans" hideLastTrans="0" st="0" cnt="1"/>
          <dgm:constrLst>
            <dgm:constr type="begPad"/>
            <dgm:constr type="endPad"/>
          </dgm:constrLst>
        </dgm:layoutNode>
        <dgm:layoutNode name="extraNode">
          <dgm:alg type="sp"/>
          <dgm:shape xmlns:r="http://schemas.openxmlformats.org/officeDocument/2006/relationships" type="rect" r:blip="" hideGeom="1">
            <dgm:adjLst/>
          </dgm:shape>
          <dgm:presOf/>
        </dgm:layoutNode>
        <dgm:layoutNode name="dstNode">
          <dgm:alg type="sp"/>
          <dgm:shape xmlns:r="http://schemas.openxmlformats.org/officeDocument/2006/relationships" type="rect" r:blip="" hideGeom="1">
            <dgm:adjLst/>
          </dgm:shape>
          <dgm:presOf/>
        </dgm:layoutNode>
      </dgm:layoutNode>
      <dgm:forEach name="wrapper" axis="self" ptType="parTrans">
        <dgm:forEach name="wrapper2" axis="self" ptType="sibTrans" st="2">
          <dgm:forEach name="accentRepeat" axis="self">
            <dgm:layoutNode name="accentRepeatNode" styleLbl="solidFgAcc1">
              <dgm:alg type="sp"/>
              <dgm:shape xmlns:r="http://schemas.openxmlformats.org/officeDocument/2006/relationships" type="ellipse" r:blip="">
                <dgm:adjLst/>
              </dgm:shape>
              <dgm:presOf/>
            </dgm:layoutNode>
          </dgm:forEach>
        </dgm:forEach>
      </dgm:forEach>
      <dgm:forEach name="Name24" axis="ch" ptType="node" cnt="1">
        <dgm:layoutNode name="text_1" styleLbl="node1">
          <dgm:varLst>
            <dgm:bulletEnabled val="1"/>
          </dgm:varLst>
          <dgm:choose name="Name25">
            <dgm:if name="Name26" func="var" arg="dir" op="equ" val="norm">
              <dgm:alg type="tx">
                <dgm:param type="parTxLTRAlign" val="l"/>
                <dgm:param type="shpTxLTRAlignCh" val="l"/>
                <dgm:param type="parTxRTLAlign" val="l"/>
                <dgm:param type="shpTxRTLAlignCh" val="l"/>
              </dgm:alg>
            </dgm:if>
            <dgm:else name="Name2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1">
          <dgm:alg type="sp"/>
          <dgm:shape xmlns:r="http://schemas.openxmlformats.org/officeDocument/2006/relationships" r:blip="">
            <dgm:adjLst/>
          </dgm:shape>
          <dgm:presOf/>
          <dgm:constrLst/>
          <dgm:forEach name="Name28" ref="accentRepeat"/>
        </dgm:layoutNode>
      </dgm:forEach>
      <dgm:forEach name="Name29" axis="ch" ptType="node" st="2" cnt="1">
        <dgm:layoutNode name="text_2" styleLbl="node1">
          <dgm:varLst>
            <dgm:bulletEnabled val="1"/>
          </dgm:varLst>
          <dgm:choose name="Name30">
            <dgm:if name="Name31" func="var" arg="dir" op="equ" val="norm">
              <dgm:alg type="tx">
                <dgm:param type="parTxLTRAlign" val="l"/>
                <dgm:param type="shpTxLTRAlignCh" val="l"/>
                <dgm:param type="parTxRTLAlign" val="l"/>
                <dgm:param type="shpTxRTLAlignCh" val="l"/>
              </dgm:alg>
            </dgm:if>
            <dgm:else name="Name3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2">
          <dgm:alg type="sp"/>
          <dgm:shape xmlns:r="http://schemas.openxmlformats.org/officeDocument/2006/relationships" r:blip="">
            <dgm:adjLst/>
          </dgm:shape>
          <dgm:presOf/>
          <dgm:constrLst/>
          <dgm:forEach name="Name33" ref="accentRepeat"/>
        </dgm:layoutNode>
      </dgm:forEach>
      <dgm:forEach name="Name34" axis="ch" ptType="node" st="3" cnt="1">
        <dgm:layoutNode name="text_3" styleLbl="node1">
          <dgm:varLst>
            <dgm:bulletEnabled val="1"/>
          </dgm:varLst>
          <dgm:choose name="Name35">
            <dgm:if name="Name36" func="var" arg="dir" op="equ" val="norm">
              <dgm:alg type="tx">
                <dgm:param type="parTxLTRAlign" val="l"/>
                <dgm:param type="shpTxLTRAlignCh" val="l"/>
                <dgm:param type="parTxRTLAlign" val="l"/>
                <dgm:param type="shpTxRTLAlignCh" val="l"/>
              </dgm:alg>
            </dgm:if>
            <dgm:else name="Name3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3">
          <dgm:alg type="sp"/>
          <dgm:shape xmlns:r="http://schemas.openxmlformats.org/officeDocument/2006/relationships" r:blip="">
            <dgm:adjLst/>
          </dgm:shape>
          <dgm:presOf/>
          <dgm:constrLst/>
          <dgm:forEach name="Name38" ref="accentRepeat"/>
        </dgm:layoutNode>
      </dgm:forEach>
      <dgm:forEach name="Name39" axis="ch" ptType="node" st="4" cnt="1">
        <dgm:layoutNode name="text_4" styleLbl="node1">
          <dgm:varLst>
            <dgm:bulletEnabled val="1"/>
          </dgm:varLst>
          <dgm:choose name="Name40">
            <dgm:if name="Name41" func="var" arg="dir" op="equ" val="norm">
              <dgm:alg type="tx">
                <dgm:param type="parTxLTRAlign" val="l"/>
                <dgm:param type="shpTxLTRAlignCh" val="l"/>
                <dgm:param type="parTxRTLAlign" val="l"/>
                <dgm:param type="shpTxRTLAlignCh" val="l"/>
              </dgm:alg>
            </dgm:if>
            <dgm:else name="Name4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4">
          <dgm:alg type="sp"/>
          <dgm:shape xmlns:r="http://schemas.openxmlformats.org/officeDocument/2006/relationships" r:blip="">
            <dgm:adjLst/>
          </dgm:shape>
          <dgm:presOf/>
          <dgm:constrLst/>
          <dgm:forEach name="Name43" ref="accentRepeat"/>
        </dgm:layoutNode>
      </dgm:forEach>
      <dgm:forEach name="Name44" axis="ch" ptType="node" st="5" cnt="1">
        <dgm:layoutNode name="text_5" styleLbl="node1">
          <dgm:varLst>
            <dgm:bulletEnabled val="1"/>
          </dgm:varLst>
          <dgm:choose name="Name45">
            <dgm:if name="Name46" func="var" arg="dir" op="equ" val="norm">
              <dgm:alg type="tx">
                <dgm:param type="parTxLTRAlign" val="l"/>
                <dgm:param type="shpTxLTRAlignCh" val="l"/>
                <dgm:param type="parTxRTLAlign" val="l"/>
                <dgm:param type="shpTxRTLAlignCh" val="l"/>
              </dgm:alg>
            </dgm:if>
            <dgm:else name="Name4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5">
          <dgm:alg type="sp"/>
          <dgm:shape xmlns:r="http://schemas.openxmlformats.org/officeDocument/2006/relationships" r:blip="">
            <dgm:adjLst/>
          </dgm:shape>
          <dgm:presOf/>
          <dgm:constrLst/>
          <dgm:forEach name="Name48" ref="accentRepeat"/>
        </dgm:layoutNode>
      </dgm:forEach>
      <dgm:forEach name="Name49" axis="ch" ptType="node" st="6" cnt="1">
        <dgm:layoutNode name="text_6" styleLbl="node1">
          <dgm:varLst>
            <dgm:bulletEnabled val="1"/>
          </dgm:varLst>
          <dgm:choose name="Name50">
            <dgm:if name="Name51" func="var" arg="dir" op="equ" val="norm">
              <dgm:alg type="tx">
                <dgm:param type="parTxLTRAlign" val="l"/>
                <dgm:param type="shpTxLTRAlignCh" val="l"/>
                <dgm:param type="parTxRTLAlign" val="l"/>
                <dgm:param type="shpTxRTLAlignCh" val="l"/>
              </dgm:alg>
            </dgm:if>
            <dgm:else name="Name52">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6">
          <dgm:alg type="sp"/>
          <dgm:shape xmlns:r="http://schemas.openxmlformats.org/officeDocument/2006/relationships" r:blip="">
            <dgm:adjLst/>
          </dgm:shape>
          <dgm:presOf/>
          <dgm:constrLst/>
          <dgm:forEach name="Name53" ref="accentRepeat"/>
        </dgm:layoutNode>
      </dgm:forEach>
      <dgm:forEach name="Name54" axis="ch" ptType="node" st="7" cnt="1">
        <dgm:layoutNode name="text_7" styleLbl="node1">
          <dgm:varLst>
            <dgm:bulletEnabled val="1"/>
          </dgm:varLst>
          <dgm:choose name="Name55">
            <dgm:if name="Name56" func="var" arg="dir" op="equ" val="norm">
              <dgm:alg type="tx">
                <dgm:param type="parTxLTRAlign" val="l"/>
                <dgm:param type="shpTxLTRAlignCh" val="l"/>
                <dgm:param type="parTxRTLAlign" val="l"/>
                <dgm:param type="shpTxRTLAlignCh" val="l"/>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primFontSz" val="65"/>
            <dgm:constr type="lMarg" refType="primFontSz" fact="0.2"/>
            <dgm:constr type="rMarg" refType="primFontSz" fact="0.2"/>
            <dgm:constr type="tMarg" refType="primFontSz" fact="0.2"/>
            <dgm:constr type="bMarg" refType="primFontSz" fact="0.2"/>
          </dgm:constrLst>
          <dgm:ruleLst>
            <dgm:rule type="primFontSz" val="5" fact="NaN" max="NaN"/>
          </dgm:ruleLst>
        </dgm:layoutNode>
        <dgm:layoutNode name="accent_7">
          <dgm:alg type="sp"/>
          <dgm:shape xmlns:r="http://schemas.openxmlformats.org/officeDocument/2006/relationships" r:blip="">
            <dgm:adjLst/>
          </dgm:shape>
          <dgm:presOf/>
          <dgm:constrLst/>
          <dgm:forEach name="Name58" ref="accentRepeat"/>
        </dgm:layoutNode>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5.png"/><Relationship Id="rId18" Type="http://schemas.openxmlformats.org/officeDocument/2006/relationships/image" Target="../media/image9.png"/><Relationship Id="rId3" Type="http://schemas.openxmlformats.org/officeDocument/2006/relationships/diagramQuickStyle" Target="../diagrams/quickStyle1.xml"/><Relationship Id="rId7" Type="http://schemas.openxmlformats.org/officeDocument/2006/relationships/image" Target="../media/image1.png"/><Relationship Id="rId12" Type="http://schemas.openxmlformats.org/officeDocument/2006/relationships/hyperlink" Target="#Probabilidades!A1"/><Relationship Id="rId17" Type="http://schemas.openxmlformats.org/officeDocument/2006/relationships/image" Target="../media/image8.svg"/><Relationship Id="rId2" Type="http://schemas.openxmlformats.org/officeDocument/2006/relationships/diagramLayout" Target="../diagrams/layout1.xml"/><Relationship Id="rId16" Type="http://schemas.openxmlformats.org/officeDocument/2006/relationships/image" Target="../media/image7.png"/><Relationship Id="rId20" Type="http://schemas.openxmlformats.org/officeDocument/2006/relationships/image" Target="../media/image11.svg"/><Relationship Id="rId1" Type="http://schemas.openxmlformats.org/officeDocument/2006/relationships/diagramData" Target="../diagrams/data1.xml"/><Relationship Id="rId6" Type="http://schemas.openxmlformats.org/officeDocument/2006/relationships/hyperlink" Target="#'Organizaci&#243;n del estudio'!A1"/><Relationship Id="rId11" Type="http://schemas.openxmlformats.org/officeDocument/2006/relationships/image" Target="../media/image4.svg"/><Relationship Id="rId5" Type="http://schemas.microsoft.com/office/2007/relationships/diagramDrawing" Target="../diagrams/drawing1.xml"/><Relationship Id="rId15" Type="http://schemas.openxmlformats.org/officeDocument/2006/relationships/hyperlink" Target="#Sorteos!A1"/><Relationship Id="rId10" Type="http://schemas.openxmlformats.org/officeDocument/2006/relationships/image" Target="../media/image3.png"/><Relationship Id="rId19" Type="http://schemas.openxmlformats.org/officeDocument/2006/relationships/image" Target="../media/image10.png"/><Relationship Id="rId4" Type="http://schemas.openxmlformats.org/officeDocument/2006/relationships/diagramColors" Target="../diagrams/colors1.xml"/><Relationship Id="rId9" Type="http://schemas.openxmlformats.org/officeDocument/2006/relationships/hyperlink" Target="#Temario!A1"/><Relationship Id="rId14"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hyperlink" Target="#'Ej. 5'!A1"/><Relationship Id="rId7" Type="http://schemas.openxmlformats.org/officeDocument/2006/relationships/diagramLayout" Target="../diagrams/layout2.xml"/><Relationship Id="rId2" Type="http://schemas.openxmlformats.org/officeDocument/2006/relationships/hyperlink" Target="#'Ej. 4'!A1"/><Relationship Id="rId1" Type="http://schemas.openxmlformats.org/officeDocument/2006/relationships/hyperlink" Target="#'Ej. 3'!A1"/><Relationship Id="rId6" Type="http://schemas.openxmlformats.org/officeDocument/2006/relationships/diagramData" Target="../diagrams/data2.xml"/><Relationship Id="rId11" Type="http://schemas.openxmlformats.org/officeDocument/2006/relationships/hyperlink" Target="#Men&#250;!A1"/><Relationship Id="rId5" Type="http://schemas.openxmlformats.org/officeDocument/2006/relationships/hyperlink" Target="#Probabilidades!A1"/><Relationship Id="rId10" Type="http://schemas.microsoft.com/office/2007/relationships/diagramDrawing" Target="../diagrams/drawing2.xml"/><Relationship Id="rId4" Type="http://schemas.openxmlformats.org/officeDocument/2006/relationships/hyperlink" Target="#'Probabilidad de aprobar'!A1"/><Relationship Id="rId9" Type="http://schemas.openxmlformats.org/officeDocument/2006/relationships/diagramColors" Target="../diagrams/colors2.xml"/></Relationships>
</file>

<file path=xl/drawings/_rels/drawing3.xml.rels><?xml version="1.0" encoding="UTF-8" standalone="yes"?>
<Relationships xmlns="http://schemas.openxmlformats.org/package/2006/relationships"><Relationship Id="rId8" Type="http://schemas.openxmlformats.org/officeDocument/2006/relationships/hyperlink" Target="#'Ej. 4'!A1"/><Relationship Id="rId13" Type="http://schemas.openxmlformats.org/officeDocument/2006/relationships/image" Target="../media/image14.svg"/><Relationship Id="rId3" Type="http://schemas.openxmlformats.org/officeDocument/2006/relationships/chart" Target="../charts/chart3.xml"/><Relationship Id="rId7" Type="http://schemas.openxmlformats.org/officeDocument/2006/relationships/hyperlink" Target="#Men&#250;!A1"/><Relationship Id="rId12" Type="http://schemas.openxmlformats.org/officeDocument/2006/relationships/image" Target="../media/image1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Probabilidades!A1"/><Relationship Id="rId5" Type="http://schemas.openxmlformats.org/officeDocument/2006/relationships/chart" Target="../charts/chart5.xml"/><Relationship Id="rId10" Type="http://schemas.openxmlformats.org/officeDocument/2006/relationships/hyperlink" Target="#'Probabilidad de aprobar'!A1"/><Relationship Id="rId4" Type="http://schemas.openxmlformats.org/officeDocument/2006/relationships/chart" Target="../charts/chart4.xml"/><Relationship Id="rId9" Type="http://schemas.openxmlformats.org/officeDocument/2006/relationships/hyperlink" Target="#'Ej. 5'!A1"/><Relationship Id="rId14" Type="http://schemas.openxmlformats.org/officeDocument/2006/relationships/hyperlink" Target="#'Ej. 3'!A1"/></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8" Type="http://schemas.openxmlformats.org/officeDocument/2006/relationships/hyperlink" Target="#'Ej. 3'!A1"/><Relationship Id="rId13" Type="http://schemas.openxmlformats.org/officeDocument/2006/relationships/image" Target="../media/image14.svg"/><Relationship Id="rId3" Type="http://schemas.openxmlformats.org/officeDocument/2006/relationships/chart" Target="../charts/chart9.xml"/><Relationship Id="rId7" Type="http://schemas.openxmlformats.org/officeDocument/2006/relationships/hyperlink" Target="#Men&#250;!A1"/><Relationship Id="rId12" Type="http://schemas.openxmlformats.org/officeDocument/2006/relationships/image" Target="../media/image13.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hyperlink" Target="#Probabilidades!A1"/><Relationship Id="rId5" Type="http://schemas.openxmlformats.org/officeDocument/2006/relationships/chart" Target="../charts/chart11.xml"/><Relationship Id="rId10" Type="http://schemas.openxmlformats.org/officeDocument/2006/relationships/hyperlink" Target="#'Probabilidad de aprobar'!A1"/><Relationship Id="rId4" Type="http://schemas.openxmlformats.org/officeDocument/2006/relationships/chart" Target="../charts/chart10.xml"/><Relationship Id="rId9" Type="http://schemas.openxmlformats.org/officeDocument/2006/relationships/hyperlink" Target="#'Ej. 5'!A1"/><Relationship Id="rId14" Type="http://schemas.openxmlformats.org/officeDocument/2006/relationships/hyperlink" Target="#'Ej. 4'!A1"/></Relationships>
</file>

<file path=xl/drawings/_rels/drawing9.xml.rels><?xml version="1.0" encoding="UTF-8" standalone="yes"?>
<Relationships xmlns="http://schemas.openxmlformats.org/package/2006/relationships"><Relationship Id="rId8" Type="http://schemas.openxmlformats.org/officeDocument/2006/relationships/hyperlink" Target="#'Ej. 5'!A1"/><Relationship Id="rId3" Type="http://schemas.openxmlformats.org/officeDocument/2006/relationships/hyperlink" Target="#'Ej. 4'!A1"/><Relationship Id="rId7" Type="http://schemas.openxmlformats.org/officeDocument/2006/relationships/image" Target="../media/image14.svg"/><Relationship Id="rId2" Type="http://schemas.openxmlformats.org/officeDocument/2006/relationships/hyperlink" Target="#'Ej. 3'!A1"/><Relationship Id="rId1" Type="http://schemas.openxmlformats.org/officeDocument/2006/relationships/hyperlink" Target="#Men&#250;!A1"/><Relationship Id="rId6" Type="http://schemas.openxmlformats.org/officeDocument/2006/relationships/image" Target="../media/image13.png"/><Relationship Id="rId5" Type="http://schemas.openxmlformats.org/officeDocument/2006/relationships/hyperlink" Target="#Probabilidades!A1"/><Relationship Id="rId4" Type="http://schemas.openxmlformats.org/officeDocument/2006/relationships/hyperlink" Target="#'Probabilidad de aprobar'!A1"/></Relationships>
</file>

<file path=xl/drawings/_rels/drawing10.xml.rels><?xml version="1.0" encoding="UTF-8" standalone="yes"?>
<Relationships xmlns="http://schemas.openxmlformats.org/package/2006/relationships"><Relationship Id="rId8" Type="http://schemas.openxmlformats.org/officeDocument/2006/relationships/image" Target="../media/image14.svg"/><Relationship Id="rId3" Type="http://schemas.openxmlformats.org/officeDocument/2006/relationships/hyperlink" Target="#'Ej. 4'!A1"/><Relationship Id="rId7" Type="http://schemas.openxmlformats.org/officeDocument/2006/relationships/image" Target="../media/image13.png"/><Relationship Id="rId2" Type="http://schemas.openxmlformats.org/officeDocument/2006/relationships/hyperlink" Target="#'Ej. 3'!A1"/><Relationship Id="rId1" Type="http://schemas.openxmlformats.org/officeDocument/2006/relationships/hyperlink" Target="#Men&#250;!A1"/><Relationship Id="rId6" Type="http://schemas.openxmlformats.org/officeDocument/2006/relationships/hyperlink" Target="#Probabilidades!A1"/><Relationship Id="rId5" Type="http://schemas.openxmlformats.org/officeDocument/2006/relationships/hyperlink" Target="#'Probabilidad de aprobar'!A1"/><Relationship Id="rId4" Type="http://schemas.openxmlformats.org/officeDocument/2006/relationships/hyperlink" Target="#'Ej. 5'!A1"/></Relationships>
</file>

<file path=xl/drawings/_rels/drawing11.xml.rels><?xml version="1.0" encoding="UTF-8" standalone="yes"?>
<Relationships xmlns="http://schemas.openxmlformats.org/package/2006/relationships"><Relationship Id="rId8" Type="http://schemas.microsoft.com/office/2007/relationships/diagramDrawing" Target="../diagrams/drawing3.xml"/><Relationship Id="rId3" Type="http://schemas.openxmlformats.org/officeDocument/2006/relationships/hyperlink" Target="#Probabilidades!A1"/><Relationship Id="rId7" Type="http://schemas.openxmlformats.org/officeDocument/2006/relationships/diagramColors" Target="../diagrams/colors3.xml"/><Relationship Id="rId2" Type="http://schemas.openxmlformats.org/officeDocument/2006/relationships/hyperlink" Target="#'Simulador de sorteos'!A1"/><Relationship Id="rId1" Type="http://schemas.openxmlformats.org/officeDocument/2006/relationships/hyperlink" Target="#'Sorteo de temas predefinidos'!A1"/><Relationship Id="rId6" Type="http://schemas.openxmlformats.org/officeDocument/2006/relationships/diagramQuickStyle" Target="../diagrams/quickStyle3.xml"/><Relationship Id="rId5" Type="http://schemas.openxmlformats.org/officeDocument/2006/relationships/diagramLayout" Target="../diagrams/layout3.xml"/><Relationship Id="rId4" Type="http://schemas.openxmlformats.org/officeDocument/2006/relationships/diagramData" Target="../diagrams/data3.xml"/><Relationship Id="rId9" Type="http://schemas.openxmlformats.org/officeDocument/2006/relationships/hyperlink" Target="#Men&#250;!A1"/></Relationships>
</file>

<file path=xl/drawings/_rels/drawing12.xml.rels><?xml version="1.0" encoding="UTF-8" standalone="yes"?>
<Relationships xmlns="http://schemas.openxmlformats.org/package/2006/relationships"><Relationship Id="rId3" Type="http://schemas.openxmlformats.org/officeDocument/2006/relationships/hyperlink" Target="#'Simulador de sorteos'!A1"/><Relationship Id="rId2" Type="http://schemas.openxmlformats.org/officeDocument/2006/relationships/hyperlink" Target="#Men&#250;!A1"/><Relationship Id="rId1" Type="http://schemas.openxmlformats.org/officeDocument/2006/relationships/hyperlink" Target="#'Sorteo de temas predefinidos'!A1"/><Relationship Id="rId6" Type="http://schemas.openxmlformats.org/officeDocument/2006/relationships/image" Target="../media/image16.svg"/><Relationship Id="rId5" Type="http://schemas.openxmlformats.org/officeDocument/2006/relationships/image" Target="../media/image15.png"/><Relationship Id="rId4" Type="http://schemas.openxmlformats.org/officeDocument/2006/relationships/hyperlink" Target="#Sorteos!A1"/></Relationships>
</file>

<file path=xl/drawings/_rels/drawing13.xml.rels><?xml version="1.0" encoding="UTF-8" standalone="yes"?>
<Relationships xmlns="http://schemas.openxmlformats.org/package/2006/relationships"><Relationship Id="rId3" Type="http://schemas.openxmlformats.org/officeDocument/2006/relationships/hyperlink" Target="#'Sorteo de temas predefinidos'!A1"/><Relationship Id="rId2" Type="http://schemas.openxmlformats.org/officeDocument/2006/relationships/hyperlink" Target="#'Simulador de sorteos'!A1"/><Relationship Id="rId1" Type="http://schemas.openxmlformats.org/officeDocument/2006/relationships/hyperlink" Target="#Men&#250;!A1"/><Relationship Id="rId6" Type="http://schemas.openxmlformats.org/officeDocument/2006/relationships/image" Target="../media/image17.svg"/><Relationship Id="rId5" Type="http://schemas.openxmlformats.org/officeDocument/2006/relationships/image" Target="../media/image15.png"/><Relationship Id="rId4" Type="http://schemas.openxmlformats.org/officeDocument/2006/relationships/hyperlink" Target="#Sorteos!A1"/></Relationships>
</file>

<file path=xl/drawings/_rels/drawing14.xml.rels><?xml version="1.0" encoding="UTF-8" standalone="yes"?>
<Relationships xmlns="http://schemas.openxmlformats.org/package/2006/relationships"><Relationship Id="rId8" Type="http://schemas.openxmlformats.org/officeDocument/2006/relationships/hyperlink" Target="#Men&#250;!A1"/><Relationship Id="rId3" Type="http://schemas.openxmlformats.org/officeDocument/2006/relationships/diagramData" Target="../diagrams/data4.xml"/><Relationship Id="rId7" Type="http://schemas.microsoft.com/office/2007/relationships/diagramDrawing" Target="../diagrams/drawing4.xml"/><Relationship Id="rId2" Type="http://schemas.openxmlformats.org/officeDocument/2006/relationships/hyperlink" Target="#'Tabla din&#225;mica temas'!A1"/><Relationship Id="rId1" Type="http://schemas.openxmlformats.org/officeDocument/2006/relationships/hyperlink" Target="#'Listado de temas'!A1"/><Relationship Id="rId6" Type="http://schemas.openxmlformats.org/officeDocument/2006/relationships/diagramColors" Target="../diagrams/colors4.xml"/><Relationship Id="rId5" Type="http://schemas.openxmlformats.org/officeDocument/2006/relationships/diagramQuickStyle" Target="../diagrams/quickStyle4.xml"/><Relationship Id="rId4" Type="http://schemas.openxmlformats.org/officeDocument/2006/relationships/diagramLayout" Target="../diagrams/layout4.xml"/></Relationships>
</file>

<file path=xl/drawings/_rels/drawing15.xml.rels><?xml version="1.0" encoding="UTF-8" standalone="yes"?>
<Relationships xmlns="http://schemas.openxmlformats.org/package/2006/relationships"><Relationship Id="rId3" Type="http://schemas.openxmlformats.org/officeDocument/2006/relationships/hyperlink" Target="#'Listado de temas'!A1"/><Relationship Id="rId2" Type="http://schemas.openxmlformats.org/officeDocument/2006/relationships/hyperlink" Target="#'Tabla din&#225;mica temas'!A1"/><Relationship Id="rId1" Type="http://schemas.openxmlformats.org/officeDocument/2006/relationships/hyperlink" Target="#Men&#250;!A1"/><Relationship Id="rId6" Type="http://schemas.openxmlformats.org/officeDocument/2006/relationships/image" Target="../media/image19.svg"/><Relationship Id="rId5" Type="http://schemas.openxmlformats.org/officeDocument/2006/relationships/image" Target="../media/image18.png"/><Relationship Id="rId4" Type="http://schemas.openxmlformats.org/officeDocument/2006/relationships/hyperlink" Target="#Temario!A1"/></Relationships>
</file>

<file path=xl/drawings/_rels/drawing16.xml.rels><?xml version="1.0" encoding="UTF-8" standalone="yes"?>
<Relationships xmlns="http://schemas.openxmlformats.org/package/2006/relationships"><Relationship Id="rId3" Type="http://schemas.openxmlformats.org/officeDocument/2006/relationships/hyperlink" Target="#'Tabla din&#225;mica temas'!A1"/><Relationship Id="rId2" Type="http://schemas.openxmlformats.org/officeDocument/2006/relationships/hyperlink" Target="#'Listado de temas'!A1"/><Relationship Id="rId1" Type="http://schemas.openxmlformats.org/officeDocument/2006/relationships/hyperlink" Target="#Men&#250;!A1"/><Relationship Id="rId6" Type="http://schemas.openxmlformats.org/officeDocument/2006/relationships/image" Target="../media/image20.svg"/><Relationship Id="rId5" Type="http://schemas.openxmlformats.org/officeDocument/2006/relationships/image" Target="../media/image18.png"/><Relationship Id="rId4" Type="http://schemas.openxmlformats.org/officeDocument/2006/relationships/hyperlink" Target="#Temario!A1"/></Relationships>
</file>

<file path=xl/drawings/_rels/drawing17.xml.rels><?xml version="1.0" encoding="UTF-8" standalone="yes"?>
<Relationships xmlns="http://schemas.openxmlformats.org/package/2006/relationships"><Relationship Id="rId8" Type="http://schemas.openxmlformats.org/officeDocument/2006/relationships/hyperlink" Target="#Men&#250;!A1"/><Relationship Id="rId3" Type="http://schemas.openxmlformats.org/officeDocument/2006/relationships/diagramData" Target="../diagrams/data5.xml"/><Relationship Id="rId7" Type="http://schemas.microsoft.com/office/2007/relationships/diagramDrawing" Target="../diagrams/drawing5.xml"/><Relationship Id="rId2" Type="http://schemas.openxmlformats.org/officeDocument/2006/relationships/hyperlink" Target="#'Horario de estudio'!A1"/><Relationship Id="rId1" Type="http://schemas.openxmlformats.org/officeDocument/2006/relationships/hyperlink" Target="#Cronograma!A1"/><Relationship Id="rId6" Type="http://schemas.openxmlformats.org/officeDocument/2006/relationships/diagramColors" Target="../diagrams/colors5.xml"/><Relationship Id="rId5" Type="http://schemas.openxmlformats.org/officeDocument/2006/relationships/diagramQuickStyle" Target="../diagrams/quickStyle5.xml"/><Relationship Id="rId4" Type="http://schemas.openxmlformats.org/officeDocument/2006/relationships/diagramLayout" Target="../diagrams/layout5.xml"/></Relationships>
</file>

<file path=xl/drawings/_rels/drawing18.xml.rels><?xml version="1.0" encoding="UTF-8" standalone="yes"?>
<Relationships xmlns="http://schemas.openxmlformats.org/package/2006/relationships"><Relationship Id="rId3" Type="http://schemas.openxmlformats.org/officeDocument/2006/relationships/hyperlink" Target="#'Organizaci&#243;n del estudio'!A1"/><Relationship Id="rId2" Type="http://schemas.openxmlformats.org/officeDocument/2006/relationships/hyperlink" Target="#'Horario de estudio'!A1"/><Relationship Id="rId1" Type="http://schemas.openxmlformats.org/officeDocument/2006/relationships/hyperlink" Target="#Men&#250;!A1"/><Relationship Id="rId6" Type="http://schemas.openxmlformats.org/officeDocument/2006/relationships/hyperlink" Target="#'Calendario-Cronograma'!A1"/><Relationship Id="rId5" Type="http://schemas.openxmlformats.org/officeDocument/2006/relationships/image" Target="../media/image22.svg"/><Relationship Id="rId4"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3" Type="http://schemas.openxmlformats.org/officeDocument/2006/relationships/hyperlink" Target="#'Horario de estudio'!A1"/><Relationship Id="rId2" Type="http://schemas.openxmlformats.org/officeDocument/2006/relationships/hyperlink" Target="#Cronograma!A1"/><Relationship Id="rId1" Type="http://schemas.openxmlformats.org/officeDocument/2006/relationships/hyperlink" Target="#Men&#250;!A1"/><Relationship Id="rId6" Type="http://schemas.openxmlformats.org/officeDocument/2006/relationships/image" Target="../media/image22.svg"/><Relationship Id="rId5" Type="http://schemas.openxmlformats.org/officeDocument/2006/relationships/image" Target="../media/image21.png"/><Relationship Id="rId4" Type="http://schemas.openxmlformats.org/officeDocument/2006/relationships/hyperlink" Target="#'Organizaci&#243;n del estudio'!A1"/></Relationships>
</file>

<file path=xl/drawings/drawing1.xml><?xml version="1.0" encoding="utf-8"?>
<xdr:wsDr xmlns:xdr="http://schemas.openxmlformats.org/drawingml/2006/spreadsheetDrawing" xmlns:a="http://schemas.openxmlformats.org/drawingml/2006/main">
  <xdr:twoCellAnchor>
    <xdr:from>
      <xdr:col>1</xdr:col>
      <xdr:colOff>358140</xdr:colOff>
      <xdr:row>3</xdr:row>
      <xdr:rowOff>129540</xdr:rowOff>
    </xdr:from>
    <xdr:to>
      <xdr:col>9</xdr:col>
      <xdr:colOff>213360</xdr:colOff>
      <xdr:row>38</xdr:row>
      <xdr:rowOff>7620</xdr:rowOff>
    </xdr:to>
    <xdr:graphicFrame macro="">
      <xdr:nvGraphicFramePr>
        <xdr:cNvPr id="2" name="Diagrama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oneCell">
    <xdr:from>
      <xdr:col>9</xdr:col>
      <xdr:colOff>533400</xdr:colOff>
      <xdr:row>30</xdr:row>
      <xdr:rowOff>0</xdr:rowOff>
    </xdr:from>
    <xdr:to>
      <xdr:col>11</xdr:col>
      <xdr:colOff>0</xdr:colOff>
      <xdr:row>36</xdr:row>
      <xdr:rowOff>0</xdr:rowOff>
    </xdr:to>
    <xdr:pic>
      <xdr:nvPicPr>
        <xdr:cNvPr id="6" name="Gráfico 5" descr="Portapapeles mezclado contorno">
          <a:hlinkClick xmlns:r="http://schemas.openxmlformats.org/officeDocument/2006/relationships" r:id="rId6" tooltip="Organización del estudio"/>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665720" y="5257800"/>
          <a:ext cx="1051560" cy="1051560"/>
        </a:xfrm>
        <a:prstGeom prst="rect">
          <a:avLst/>
        </a:prstGeom>
      </xdr:spPr>
    </xdr:pic>
    <xdr:clientData/>
  </xdr:twoCellAnchor>
  <xdr:twoCellAnchor editAs="oneCell">
    <xdr:from>
      <xdr:col>9</xdr:col>
      <xdr:colOff>457200</xdr:colOff>
      <xdr:row>22</xdr:row>
      <xdr:rowOff>0</xdr:rowOff>
    </xdr:from>
    <xdr:to>
      <xdr:col>11</xdr:col>
      <xdr:colOff>0</xdr:colOff>
      <xdr:row>28</xdr:row>
      <xdr:rowOff>76200</xdr:rowOff>
    </xdr:to>
    <xdr:pic>
      <xdr:nvPicPr>
        <xdr:cNvPr id="10" name="Gráfico 9" descr="Diana contorno">
          <a:hlinkClick xmlns:r="http://schemas.openxmlformats.org/officeDocument/2006/relationships" r:id="rId9" tooltip="Temario"/>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589520" y="3855720"/>
          <a:ext cx="1127760" cy="1127760"/>
        </a:xfrm>
        <a:prstGeom prst="rect">
          <a:avLst/>
        </a:prstGeom>
      </xdr:spPr>
    </xdr:pic>
    <xdr:clientData/>
  </xdr:twoCellAnchor>
  <xdr:twoCellAnchor editAs="oneCell">
    <xdr:from>
      <xdr:col>9</xdr:col>
      <xdr:colOff>533400</xdr:colOff>
      <xdr:row>6</xdr:row>
      <xdr:rowOff>0</xdr:rowOff>
    </xdr:from>
    <xdr:to>
      <xdr:col>11</xdr:col>
      <xdr:colOff>0</xdr:colOff>
      <xdr:row>12</xdr:row>
      <xdr:rowOff>0</xdr:rowOff>
    </xdr:to>
    <xdr:pic>
      <xdr:nvPicPr>
        <xdr:cNvPr id="14" name="Gráfico 13" descr="Investigación contorno">
          <a:hlinkClick xmlns:r="http://schemas.openxmlformats.org/officeDocument/2006/relationships" r:id="rId12" tooltip="Probabilidades"/>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7665720" y="1051560"/>
          <a:ext cx="1051560" cy="1051560"/>
        </a:xfrm>
        <a:prstGeom prst="rect">
          <a:avLst/>
        </a:prstGeom>
      </xdr:spPr>
    </xdr:pic>
    <xdr:clientData/>
  </xdr:twoCellAnchor>
  <xdr:twoCellAnchor editAs="oneCell">
    <xdr:from>
      <xdr:col>9</xdr:col>
      <xdr:colOff>533400</xdr:colOff>
      <xdr:row>14</xdr:row>
      <xdr:rowOff>0</xdr:rowOff>
    </xdr:from>
    <xdr:to>
      <xdr:col>11</xdr:col>
      <xdr:colOff>0</xdr:colOff>
      <xdr:row>20</xdr:row>
      <xdr:rowOff>0</xdr:rowOff>
    </xdr:to>
    <xdr:pic>
      <xdr:nvPicPr>
        <xdr:cNvPr id="16" name="Gráfico 15" descr="Fracaso en máquina tragaperras contorno">
          <a:hlinkClick xmlns:r="http://schemas.openxmlformats.org/officeDocument/2006/relationships" r:id="rId15" tooltip="Simulador de sorteos"/>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665720" y="2453640"/>
          <a:ext cx="1051560" cy="1051560"/>
        </a:xfrm>
        <a:prstGeom prst="rect">
          <a:avLst/>
        </a:prstGeom>
      </xdr:spPr>
    </xdr:pic>
    <xdr:clientData/>
  </xdr:twoCellAnchor>
  <xdr:twoCellAnchor editAs="oneCell">
    <xdr:from>
      <xdr:col>16</xdr:col>
      <xdr:colOff>279276</xdr:colOff>
      <xdr:row>39</xdr:row>
      <xdr:rowOff>60961</xdr:rowOff>
    </xdr:from>
    <xdr:to>
      <xdr:col>17</xdr:col>
      <xdr:colOff>113207</xdr:colOff>
      <xdr:row>41</xdr:row>
      <xdr:rowOff>137160</xdr:rowOff>
    </xdr:to>
    <xdr:pic macro="[0]!Pantalla_completa">
      <xdr:nvPicPr>
        <xdr:cNvPr id="8" name="Imagen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2958956" y="6896101"/>
          <a:ext cx="626411" cy="426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236220</xdr:colOff>
      <xdr:row>38</xdr:row>
      <xdr:rowOff>137160</xdr:rowOff>
    </xdr:from>
    <xdr:to>
      <xdr:col>18</xdr:col>
      <xdr:colOff>91440</xdr:colOff>
      <xdr:row>42</xdr:row>
      <xdr:rowOff>83820</xdr:rowOff>
    </xdr:to>
    <xdr:pic macro="[0]!Editar">
      <xdr:nvPicPr>
        <xdr:cNvPr id="4" name="Gráfico 3" descr="Lápiz con relleno sólid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3708380" y="6797040"/>
          <a:ext cx="647700" cy="647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117732</xdr:rowOff>
    </xdr:from>
    <xdr:to>
      <xdr:col>0</xdr:col>
      <xdr:colOff>360000</xdr:colOff>
      <xdr:row>10</xdr:row>
      <xdr:rowOff>130692</xdr:rowOff>
    </xdr:to>
    <xdr:sp macro="" textlink="">
      <xdr:nvSpPr>
        <xdr:cNvPr id="4" name="Diagrama de flujo: operación manual 3">
          <a:hlinkClick xmlns:r="http://schemas.openxmlformats.org/officeDocument/2006/relationships" r:id="rId1" tooltip="Tercer Ejercicio"/>
          <a:extLst>
            <a:ext uri="{FF2B5EF4-FFF2-40B4-BE49-F238E27FC236}">
              <a16:creationId xmlns:a16="http://schemas.microsoft.com/office/drawing/2014/main" id="{00000000-0008-0000-0300-000004000000}"/>
            </a:ext>
          </a:extLst>
        </xdr:cNvPr>
        <xdr:cNvSpPr/>
      </xdr:nvSpPr>
      <xdr:spPr>
        <a:xfrm rot="16200000">
          <a:off x="-588480" y="1087212"/>
          <a:ext cx="153696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Tercer Ejercicio</a:t>
          </a:r>
        </a:p>
      </xdr:txBody>
    </xdr:sp>
    <xdr:clientData/>
  </xdr:twoCellAnchor>
  <xdr:twoCellAnchor>
    <xdr:from>
      <xdr:col>0</xdr:col>
      <xdr:colOff>0</xdr:colOff>
      <xdr:row>8</xdr:row>
      <xdr:rowOff>77728</xdr:rowOff>
    </xdr:from>
    <xdr:to>
      <xdr:col>0</xdr:col>
      <xdr:colOff>360000</xdr:colOff>
      <xdr:row>16</xdr:row>
      <xdr:rowOff>90688</xdr:rowOff>
    </xdr:to>
    <xdr:sp macro="" textlink="">
      <xdr:nvSpPr>
        <xdr:cNvPr id="5" name="Diagrama de flujo: operación manual 4">
          <a:hlinkClick xmlns:r="http://schemas.openxmlformats.org/officeDocument/2006/relationships" r:id="rId2" tooltip="Cuarto ejercicio"/>
          <a:extLst>
            <a:ext uri="{FF2B5EF4-FFF2-40B4-BE49-F238E27FC236}">
              <a16:creationId xmlns:a16="http://schemas.microsoft.com/office/drawing/2014/main" id="{00000000-0008-0000-0300-000005000000}"/>
            </a:ext>
          </a:extLst>
        </xdr:cNvPr>
        <xdr:cNvSpPr/>
      </xdr:nvSpPr>
      <xdr:spPr>
        <a:xfrm rot="16200000">
          <a:off x="-588480" y="2190208"/>
          <a:ext cx="153696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Cuarto Ejercicio</a:t>
          </a:r>
        </a:p>
      </xdr:txBody>
    </xdr:sp>
    <xdr:clientData/>
  </xdr:twoCellAnchor>
  <xdr:twoCellAnchor>
    <xdr:from>
      <xdr:col>0</xdr:col>
      <xdr:colOff>0</xdr:colOff>
      <xdr:row>13</xdr:row>
      <xdr:rowOff>147577</xdr:rowOff>
    </xdr:from>
    <xdr:to>
      <xdr:col>0</xdr:col>
      <xdr:colOff>360000</xdr:colOff>
      <xdr:row>21</xdr:row>
      <xdr:rowOff>168157</xdr:rowOff>
    </xdr:to>
    <xdr:sp macro="" textlink="">
      <xdr:nvSpPr>
        <xdr:cNvPr id="6" name="Diagrama de flujo: operación manual 5">
          <a:hlinkClick xmlns:r="http://schemas.openxmlformats.org/officeDocument/2006/relationships" r:id="rId3" tooltip="Quinto Ejercicio"/>
          <a:extLst>
            <a:ext uri="{FF2B5EF4-FFF2-40B4-BE49-F238E27FC236}">
              <a16:creationId xmlns:a16="http://schemas.microsoft.com/office/drawing/2014/main" id="{00000000-0008-0000-0300-000006000000}"/>
            </a:ext>
          </a:extLst>
        </xdr:cNvPr>
        <xdr:cNvSpPr/>
      </xdr:nvSpPr>
      <xdr:spPr>
        <a:xfrm rot="16200000">
          <a:off x="-592290" y="3216367"/>
          <a:ext cx="154458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Quinto Ejercicio</a:t>
          </a:r>
        </a:p>
      </xdr:txBody>
    </xdr:sp>
    <xdr:clientData/>
  </xdr:twoCellAnchor>
  <xdr:twoCellAnchor>
    <xdr:from>
      <xdr:col>0</xdr:col>
      <xdr:colOff>0</xdr:colOff>
      <xdr:row>19</xdr:row>
      <xdr:rowOff>71060</xdr:rowOff>
    </xdr:from>
    <xdr:to>
      <xdr:col>0</xdr:col>
      <xdr:colOff>360000</xdr:colOff>
      <xdr:row>27</xdr:row>
      <xdr:rowOff>84020</xdr:rowOff>
    </xdr:to>
    <xdr:sp macro="" textlink="">
      <xdr:nvSpPr>
        <xdr:cNvPr id="7" name="Diagrama de flujo: operación manual 6">
          <a:hlinkClick xmlns:r="http://schemas.openxmlformats.org/officeDocument/2006/relationships" r:id="rId4" tooltip="Probabilidad total"/>
          <a:extLst>
            <a:ext uri="{FF2B5EF4-FFF2-40B4-BE49-F238E27FC236}">
              <a16:creationId xmlns:a16="http://schemas.microsoft.com/office/drawing/2014/main" id="{00000000-0008-0000-0300-000007000000}"/>
            </a:ext>
          </a:extLst>
        </xdr:cNvPr>
        <xdr:cNvSpPr/>
      </xdr:nvSpPr>
      <xdr:spPr>
        <a:xfrm rot="16200000">
          <a:off x="-588480" y="4279040"/>
          <a:ext cx="153696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Probabilidad total</a:t>
          </a:r>
        </a:p>
      </xdr:txBody>
    </xdr:sp>
    <xdr:clientData/>
  </xdr:twoCellAnchor>
  <xdr:twoCellAnchor>
    <xdr:from>
      <xdr:col>1</xdr:col>
      <xdr:colOff>167640</xdr:colOff>
      <xdr:row>4</xdr:row>
      <xdr:rowOff>83820</xdr:rowOff>
    </xdr:from>
    <xdr:to>
      <xdr:col>11</xdr:col>
      <xdr:colOff>167640</xdr:colOff>
      <xdr:row>37</xdr:row>
      <xdr:rowOff>30480</xdr:rowOff>
    </xdr:to>
    <xdr:graphicFrame macro="">
      <xdr:nvGraphicFramePr>
        <xdr:cNvPr id="8" name="Diagrama 7">
          <a:hlinkClick xmlns:r="http://schemas.openxmlformats.org/officeDocument/2006/relationships" r:id="rId5" tooltip="Primer Ejercicio"/>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0</xdr:col>
      <xdr:colOff>1</xdr:colOff>
      <xdr:row>0</xdr:row>
      <xdr:rowOff>0</xdr:rowOff>
    </xdr:from>
    <xdr:to>
      <xdr:col>0</xdr:col>
      <xdr:colOff>360001</xdr:colOff>
      <xdr:row>4</xdr:row>
      <xdr:rowOff>24480</xdr:rowOff>
    </xdr:to>
    <xdr:sp macro="" textlink="">
      <xdr:nvSpPr>
        <xdr:cNvPr id="2" name="Diagrama de flujo: operación manual 1">
          <a:hlinkClick xmlns:r="http://schemas.openxmlformats.org/officeDocument/2006/relationships" r:id="rId11" tooltip="Menú"/>
          <a:extLst>
            <a:ext uri="{FF2B5EF4-FFF2-40B4-BE49-F238E27FC236}">
              <a16:creationId xmlns:a16="http://schemas.microsoft.com/office/drawing/2014/main" id="{00000000-0008-0000-0300-000002000000}"/>
            </a:ext>
          </a:extLst>
        </xdr:cNvPr>
        <xdr:cNvSpPr/>
      </xdr:nvSpPr>
      <xdr:spPr>
        <a:xfrm rot="16200000">
          <a:off x="-197999" y="198000"/>
          <a:ext cx="756000" cy="360000"/>
        </a:xfrm>
        <a:prstGeom prst="flowChartManualOperation">
          <a:avLst/>
        </a:prstGeom>
        <a:solidFill>
          <a:schemeClr val="accent6">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6</xdr:row>
      <xdr:rowOff>0</xdr:rowOff>
    </xdr:from>
    <xdr:to>
      <xdr:col>14</xdr:col>
      <xdr:colOff>0</xdr:colOff>
      <xdr:row>21</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22</xdr:row>
      <xdr:rowOff>0</xdr:rowOff>
    </xdr:from>
    <xdr:to>
      <xdr:col>14</xdr:col>
      <xdr:colOff>0</xdr:colOff>
      <xdr:row>38</xdr:row>
      <xdr:rowOff>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57</xdr:row>
      <xdr:rowOff>0</xdr:rowOff>
    </xdr:from>
    <xdr:to>
      <xdr:col>14</xdr:col>
      <xdr:colOff>0</xdr:colOff>
      <xdr:row>86</xdr:row>
      <xdr:rowOff>0</xdr:rowOff>
    </xdr:to>
    <xdr:graphicFrame macro="">
      <xdr:nvGraphicFramePr>
        <xdr:cNvPr id="6" name="Gráfico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xdr:colOff>
      <xdr:row>39</xdr:row>
      <xdr:rowOff>0</xdr:rowOff>
    </xdr:from>
    <xdr:to>
      <xdr:col>14</xdr:col>
      <xdr:colOff>1</xdr:colOff>
      <xdr:row>56</xdr:row>
      <xdr:rowOff>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228600</xdr:colOff>
      <xdr:row>0</xdr:row>
      <xdr:rowOff>60960</xdr:rowOff>
    </xdr:from>
    <xdr:to>
      <xdr:col>5</xdr:col>
      <xdr:colOff>588600</xdr:colOff>
      <xdr:row>2</xdr:row>
      <xdr:rowOff>17548</xdr:rowOff>
    </xdr:to>
    <xdr:sp macro="[0]!Actualizar" textlink="">
      <xdr:nvSpPr>
        <xdr:cNvPr id="7" name="Elipse 6">
          <a:extLst>
            <a:ext uri="{FF2B5EF4-FFF2-40B4-BE49-F238E27FC236}">
              <a16:creationId xmlns:a16="http://schemas.microsoft.com/office/drawing/2014/main" id="{00000000-0008-0000-0500-000007000000}"/>
            </a:ext>
          </a:extLst>
        </xdr:cNvPr>
        <xdr:cNvSpPr>
          <a:spLocks noChangeAspect="1"/>
        </xdr:cNvSpPr>
      </xdr:nvSpPr>
      <xdr:spPr>
        <a:xfrm>
          <a:off x="6716806" y="60960"/>
          <a:ext cx="360000" cy="360000"/>
        </a:xfrm>
        <a:prstGeom prst="ellipse">
          <a:avLst/>
        </a:prstGeom>
        <a:solidFill>
          <a:srgbClr val="5F2987"/>
        </a:solidFill>
        <a:ln>
          <a:noFill/>
        </a:ln>
        <a:scene3d>
          <a:camera prst="orthographicFront"/>
          <a:lightRig rig="balanced" dir="t"/>
        </a:scene3d>
        <a:sp3d extrusionH="76200" prstMaterial="plastic">
          <a:bevelT/>
          <a:extrusionClr>
            <a:schemeClr val="accent6">
              <a:lumMod val="20000"/>
              <a:lumOff val="80000"/>
            </a:schemeClr>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xdr:col>
      <xdr:colOff>15240</xdr:colOff>
      <xdr:row>87</xdr:row>
      <xdr:rowOff>0</xdr:rowOff>
    </xdr:from>
    <xdr:to>
      <xdr:col>14</xdr:col>
      <xdr:colOff>0</xdr:colOff>
      <xdr:row>106</xdr:row>
      <xdr:rowOff>0</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107</xdr:row>
      <xdr:rowOff>0</xdr:rowOff>
    </xdr:from>
    <xdr:to>
      <xdr:col>13</xdr:col>
      <xdr:colOff>609599</xdr:colOff>
      <xdr:row>136</xdr:row>
      <xdr:rowOff>7620</xdr:rowOff>
    </xdr:to>
    <xdr:graphicFrame macro="">
      <xdr:nvGraphicFramePr>
        <xdr:cNvPr id="9" name="Gráfico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twoCellAnchor>
    <xdr:from>
      <xdr:col>0</xdr:col>
      <xdr:colOff>1</xdr:colOff>
      <xdr:row>0</xdr:row>
      <xdr:rowOff>0</xdr:rowOff>
    </xdr:from>
    <xdr:to>
      <xdr:col>0</xdr:col>
      <xdr:colOff>360001</xdr:colOff>
      <xdr:row>4</xdr:row>
      <xdr:rowOff>22575</xdr:rowOff>
    </xdr:to>
    <xdr:sp macro="" textlink="">
      <xdr:nvSpPr>
        <xdr:cNvPr id="5" name="Diagrama de flujo: operación manual 4">
          <a:hlinkClick xmlns:r="http://schemas.openxmlformats.org/officeDocument/2006/relationships" r:id="rId7" tooltip="Menú"/>
          <a:extLst>
            <a:ext uri="{FF2B5EF4-FFF2-40B4-BE49-F238E27FC236}">
              <a16:creationId xmlns:a16="http://schemas.microsoft.com/office/drawing/2014/main" id="{2B00147D-6296-45EE-A8E7-A420353B2AE6}"/>
            </a:ext>
          </a:extLst>
        </xdr:cNvPr>
        <xdr:cNvSpPr/>
      </xdr:nvSpPr>
      <xdr:spPr>
        <a:xfrm rot="16200000">
          <a:off x="-231337" y="231338"/>
          <a:ext cx="822675"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1</xdr:colOff>
      <xdr:row>7</xdr:row>
      <xdr:rowOff>197743</xdr:rowOff>
    </xdr:from>
    <xdr:to>
      <xdr:col>0</xdr:col>
      <xdr:colOff>360001</xdr:colOff>
      <xdr:row>16</xdr:row>
      <xdr:rowOff>77353</xdr:rowOff>
    </xdr:to>
    <xdr:sp macro="" textlink="">
      <xdr:nvSpPr>
        <xdr:cNvPr id="18" name="Diagrama de flujo: operación manual 17">
          <a:hlinkClick xmlns:r="http://schemas.openxmlformats.org/officeDocument/2006/relationships" r:id="rId8" tooltip="Cuarto Ejercicio"/>
          <a:extLst>
            <a:ext uri="{FF2B5EF4-FFF2-40B4-BE49-F238E27FC236}">
              <a16:creationId xmlns:a16="http://schemas.microsoft.com/office/drawing/2014/main" id="{DC7A0B05-210C-41C2-B79E-43DAB2AFF827}"/>
            </a:ext>
          </a:extLst>
        </xdr:cNvPr>
        <xdr:cNvSpPr/>
      </xdr:nvSpPr>
      <xdr:spPr>
        <a:xfrm rot="16200000">
          <a:off x="-617054" y="2224498"/>
          <a:ext cx="159411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Cuarto Ejercicio</a:t>
          </a:r>
        </a:p>
      </xdr:txBody>
    </xdr:sp>
    <xdr:clientData/>
  </xdr:twoCellAnchor>
  <xdr:twoCellAnchor>
    <xdr:from>
      <xdr:col>0</xdr:col>
      <xdr:colOff>1</xdr:colOff>
      <xdr:row>13</xdr:row>
      <xdr:rowOff>92332</xdr:rowOff>
    </xdr:from>
    <xdr:to>
      <xdr:col>0</xdr:col>
      <xdr:colOff>360001</xdr:colOff>
      <xdr:row>21</xdr:row>
      <xdr:rowOff>185302</xdr:rowOff>
    </xdr:to>
    <xdr:sp macro="" textlink="">
      <xdr:nvSpPr>
        <xdr:cNvPr id="19" name="Diagrama de flujo: operación manual 18">
          <a:hlinkClick xmlns:r="http://schemas.openxmlformats.org/officeDocument/2006/relationships" r:id="rId9" tooltip="Quinto Ejercicio"/>
          <a:extLst>
            <a:ext uri="{FF2B5EF4-FFF2-40B4-BE49-F238E27FC236}">
              <a16:creationId xmlns:a16="http://schemas.microsoft.com/office/drawing/2014/main" id="{41231DA8-D286-4F47-B95D-4EE07B8AFF47}"/>
            </a:ext>
          </a:extLst>
        </xdr:cNvPr>
        <xdr:cNvSpPr/>
      </xdr:nvSpPr>
      <xdr:spPr>
        <a:xfrm rot="16200000">
          <a:off x="-618959" y="3283042"/>
          <a:ext cx="159792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Quinto Ejercicio</a:t>
          </a:r>
        </a:p>
      </xdr:txBody>
    </xdr:sp>
    <xdr:clientData/>
  </xdr:twoCellAnchor>
  <xdr:twoCellAnchor>
    <xdr:from>
      <xdr:col>0</xdr:col>
      <xdr:colOff>1</xdr:colOff>
      <xdr:row>19</xdr:row>
      <xdr:rowOff>80585</xdr:rowOff>
    </xdr:from>
    <xdr:to>
      <xdr:col>0</xdr:col>
      <xdr:colOff>360001</xdr:colOff>
      <xdr:row>27</xdr:row>
      <xdr:rowOff>154505</xdr:rowOff>
    </xdr:to>
    <xdr:sp macro="" textlink="">
      <xdr:nvSpPr>
        <xdr:cNvPr id="20" name="Diagrama de flujo: operación manual 19">
          <a:hlinkClick xmlns:r="http://schemas.openxmlformats.org/officeDocument/2006/relationships" r:id="rId10" tooltip="Probabilidad total"/>
          <a:extLst>
            <a:ext uri="{FF2B5EF4-FFF2-40B4-BE49-F238E27FC236}">
              <a16:creationId xmlns:a16="http://schemas.microsoft.com/office/drawing/2014/main" id="{C2B2CC7E-5366-432A-A7AC-065C84E900BA}"/>
            </a:ext>
          </a:extLst>
        </xdr:cNvPr>
        <xdr:cNvSpPr/>
      </xdr:nvSpPr>
      <xdr:spPr>
        <a:xfrm rot="16200000">
          <a:off x="-618959" y="4395245"/>
          <a:ext cx="159792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Probabilidad total</a:t>
          </a:r>
        </a:p>
      </xdr:txBody>
    </xdr:sp>
    <xdr:clientData/>
  </xdr:twoCellAnchor>
  <xdr:twoCellAnchor editAs="oneCell">
    <xdr:from>
      <xdr:col>0</xdr:col>
      <xdr:colOff>403860</xdr:colOff>
      <xdr:row>0</xdr:row>
      <xdr:rowOff>15240</xdr:rowOff>
    </xdr:from>
    <xdr:to>
      <xdr:col>1</xdr:col>
      <xdr:colOff>243840</xdr:colOff>
      <xdr:row>2</xdr:row>
      <xdr:rowOff>70485</xdr:rowOff>
    </xdr:to>
    <xdr:pic>
      <xdr:nvPicPr>
        <xdr:cNvPr id="21" name="Gráfico 20" descr="Atrás con relleno sólido">
          <a:hlinkClick xmlns:r="http://schemas.openxmlformats.org/officeDocument/2006/relationships" r:id="rId11" tooltip="Probabilidades"/>
          <a:extLst>
            <a:ext uri="{FF2B5EF4-FFF2-40B4-BE49-F238E27FC236}">
              <a16:creationId xmlns:a16="http://schemas.microsoft.com/office/drawing/2014/main" id="{1AFA9B9D-5E0F-405E-93C3-BC598FE6110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03860" y="15240"/>
          <a:ext cx="430530" cy="474345"/>
        </a:xfrm>
        <a:prstGeom prst="rect">
          <a:avLst/>
        </a:prstGeom>
      </xdr:spPr>
    </xdr:pic>
    <xdr:clientData/>
  </xdr:twoCellAnchor>
  <xdr:twoCellAnchor>
    <xdr:from>
      <xdr:col>0</xdr:col>
      <xdr:colOff>1</xdr:colOff>
      <xdr:row>2</xdr:row>
      <xdr:rowOff>79632</xdr:rowOff>
    </xdr:from>
    <xdr:to>
      <xdr:col>0</xdr:col>
      <xdr:colOff>360001</xdr:colOff>
      <xdr:row>10</xdr:row>
      <xdr:rowOff>71637</xdr:rowOff>
    </xdr:to>
    <xdr:sp macro="" textlink="">
      <xdr:nvSpPr>
        <xdr:cNvPr id="17" name="Diagrama de flujo: operación manual 16">
          <a:hlinkClick xmlns:r="http://schemas.openxmlformats.org/officeDocument/2006/relationships" r:id="rId14" tooltip="Tercer Ejercicio"/>
          <a:extLst>
            <a:ext uri="{FF2B5EF4-FFF2-40B4-BE49-F238E27FC236}">
              <a16:creationId xmlns:a16="http://schemas.microsoft.com/office/drawing/2014/main" id="{2DB6DE9F-90AC-480B-8AEC-BCBC501C7F03}"/>
            </a:ext>
          </a:extLst>
        </xdr:cNvPr>
        <xdr:cNvSpPr/>
      </xdr:nvSpPr>
      <xdr:spPr>
        <a:xfrm rot="16200000">
          <a:off x="-597052" y="1095785"/>
          <a:ext cx="1554105" cy="360000"/>
        </a:xfrm>
        <a:prstGeom prst="flowChartManualOperation">
          <a:avLst/>
        </a:prstGeom>
        <a:solidFill>
          <a:srgbClr val="F4B183"/>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Tercer Ejercicio</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0.42778</cdr:x>
      <cdr:y>0.0533</cdr:y>
    </cdr:from>
    <cdr:to>
      <cdr:x>0.58668</cdr:x>
      <cdr:y>0.10042</cdr:y>
    </cdr:to>
    <cdr:pic>
      <cdr:nvPicPr>
        <cdr:cNvPr id="4" name="chart">
          <a:extLst xmlns:a="http://schemas.openxmlformats.org/drawingml/2006/main">
            <a:ext uri="{FF2B5EF4-FFF2-40B4-BE49-F238E27FC236}">
              <a16:creationId xmlns:a16="http://schemas.microsoft.com/office/drawing/2014/main" id="{4F063DE7-B24F-409F-BAB9-30D1BD8A3EF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2174209" y="233940"/>
          <a:ext cx="807615" cy="206815"/>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0.42778</cdr:x>
      <cdr:y>0.0533</cdr:y>
    </cdr:from>
    <cdr:to>
      <cdr:x>0.58668</cdr:x>
      <cdr:y>0.10042</cdr:y>
    </cdr:to>
    <cdr:pic>
      <cdr:nvPicPr>
        <cdr:cNvPr id="4" name="chart">
          <a:extLst xmlns:a="http://schemas.openxmlformats.org/drawingml/2006/main">
            <a:ext uri="{FF2B5EF4-FFF2-40B4-BE49-F238E27FC236}">
              <a16:creationId xmlns:a16="http://schemas.microsoft.com/office/drawing/2014/main" id="{4F063DE7-B24F-409F-BAB9-30D1BD8A3EF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2174209" y="233940"/>
          <a:ext cx="807615" cy="206815"/>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xdr:from>
      <xdr:col>5</xdr:col>
      <xdr:colOff>0</xdr:colOff>
      <xdr:row>5</xdr:row>
      <xdr:rowOff>95247</xdr:rowOff>
    </xdr:from>
    <xdr:to>
      <xdr:col>14</xdr:col>
      <xdr:colOff>0</xdr:colOff>
      <xdr:row>18</xdr:row>
      <xdr:rowOff>95247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19</xdr:row>
      <xdr:rowOff>0</xdr:rowOff>
    </xdr:from>
    <xdr:to>
      <xdr:col>14</xdr:col>
      <xdr:colOff>0</xdr:colOff>
      <xdr:row>33</xdr:row>
      <xdr:rowOff>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34</xdr:row>
      <xdr:rowOff>0</xdr:rowOff>
    </xdr:from>
    <xdr:to>
      <xdr:col>14</xdr:col>
      <xdr:colOff>0</xdr:colOff>
      <xdr:row>52</xdr:row>
      <xdr:rowOff>0</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281940</xdr:colOff>
      <xdr:row>0</xdr:row>
      <xdr:rowOff>38100</xdr:rowOff>
    </xdr:from>
    <xdr:to>
      <xdr:col>5</xdr:col>
      <xdr:colOff>548640</xdr:colOff>
      <xdr:row>1</xdr:row>
      <xdr:rowOff>121920</xdr:rowOff>
    </xdr:to>
    <xdr:sp macro="[0]!Actualizar" textlink="">
      <xdr:nvSpPr>
        <xdr:cNvPr id="5" name="Elipse 4">
          <a:extLst>
            <a:ext uri="{FF2B5EF4-FFF2-40B4-BE49-F238E27FC236}">
              <a16:creationId xmlns:a16="http://schemas.microsoft.com/office/drawing/2014/main" id="{00000000-0008-0000-0600-000005000000}"/>
            </a:ext>
          </a:extLst>
        </xdr:cNvPr>
        <xdr:cNvSpPr>
          <a:spLocks noChangeAspect="1"/>
        </xdr:cNvSpPr>
      </xdr:nvSpPr>
      <xdr:spPr>
        <a:xfrm>
          <a:off x="6530340" y="38100"/>
          <a:ext cx="266700" cy="266700"/>
        </a:xfrm>
        <a:prstGeom prst="ellipse">
          <a:avLst/>
        </a:prstGeom>
        <a:solidFill>
          <a:srgbClr val="5F2987"/>
        </a:solidFill>
        <a:ln>
          <a:noFill/>
        </a:ln>
        <a:scene3d>
          <a:camera prst="orthographicFront"/>
          <a:lightRig rig="balanced" dir="t"/>
        </a:scene3d>
        <a:sp3d extrusionH="76200" prstMaterial="plastic">
          <a:bevelT/>
          <a:extrusionClr>
            <a:schemeClr val="accent6">
              <a:lumMod val="20000"/>
              <a:lumOff val="80000"/>
            </a:schemeClr>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xdr:col>
      <xdr:colOff>0</xdr:colOff>
      <xdr:row>53</xdr:row>
      <xdr:rowOff>0</xdr:rowOff>
    </xdr:from>
    <xdr:to>
      <xdr:col>14</xdr:col>
      <xdr:colOff>0</xdr:colOff>
      <xdr:row>73</xdr:row>
      <xdr:rowOff>0</xdr:rowOff>
    </xdr:to>
    <xdr:graphicFrame macro="">
      <xdr:nvGraphicFramePr>
        <xdr:cNvPr id="6" name="Gráfico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98</xdr:row>
      <xdr:rowOff>0</xdr:rowOff>
    </xdr:from>
    <xdr:to>
      <xdr:col>14</xdr:col>
      <xdr:colOff>0</xdr:colOff>
      <xdr:row>118</xdr:row>
      <xdr:rowOff>0</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74</xdr:row>
      <xdr:rowOff>0</xdr:rowOff>
    </xdr:from>
    <xdr:to>
      <xdr:col>14</xdr:col>
      <xdr:colOff>0</xdr:colOff>
      <xdr:row>97</xdr:row>
      <xdr:rowOff>0</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0</xdr:row>
      <xdr:rowOff>0</xdr:rowOff>
    </xdr:from>
    <xdr:to>
      <xdr:col>0</xdr:col>
      <xdr:colOff>360000</xdr:colOff>
      <xdr:row>4</xdr:row>
      <xdr:rowOff>100089</xdr:rowOff>
    </xdr:to>
    <xdr:sp macro="" textlink="">
      <xdr:nvSpPr>
        <xdr:cNvPr id="22" name="Diagrama de flujo: operación manual 21">
          <a:hlinkClick xmlns:r="http://schemas.openxmlformats.org/officeDocument/2006/relationships" r:id="rId7" tooltip="Menú"/>
          <a:extLst>
            <a:ext uri="{FF2B5EF4-FFF2-40B4-BE49-F238E27FC236}">
              <a16:creationId xmlns:a16="http://schemas.microsoft.com/office/drawing/2014/main" id="{BBFCFD6A-056B-4C80-B6FA-E859B562131B}"/>
            </a:ext>
          </a:extLst>
        </xdr:cNvPr>
        <xdr:cNvSpPr/>
      </xdr:nvSpPr>
      <xdr:spPr>
        <a:xfrm rot="16200000">
          <a:off x="-231338" y="231338"/>
          <a:ext cx="822675"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0</xdr:colOff>
      <xdr:row>2</xdr:row>
      <xdr:rowOff>137439</xdr:rowOff>
    </xdr:from>
    <xdr:to>
      <xdr:col>0</xdr:col>
      <xdr:colOff>360000</xdr:colOff>
      <xdr:row>11</xdr:row>
      <xdr:rowOff>65725</xdr:rowOff>
    </xdr:to>
    <xdr:sp macro="" textlink="">
      <xdr:nvSpPr>
        <xdr:cNvPr id="23" name="Diagrama de flujo: operación manual 22">
          <a:hlinkClick xmlns:r="http://schemas.openxmlformats.org/officeDocument/2006/relationships" r:id="rId8" tooltip="Tercer Ejercicio"/>
          <a:extLst>
            <a:ext uri="{FF2B5EF4-FFF2-40B4-BE49-F238E27FC236}">
              <a16:creationId xmlns:a16="http://schemas.microsoft.com/office/drawing/2014/main" id="{661090E8-E9D4-4457-B5FC-7C25A8BB821D}"/>
            </a:ext>
          </a:extLst>
        </xdr:cNvPr>
        <xdr:cNvSpPr/>
      </xdr:nvSpPr>
      <xdr:spPr>
        <a:xfrm rot="16200000">
          <a:off x="-597053" y="1095785"/>
          <a:ext cx="1554105"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Tercer Ejercicio</a:t>
          </a:r>
        </a:p>
      </xdr:txBody>
    </xdr:sp>
    <xdr:clientData/>
  </xdr:twoCellAnchor>
  <xdr:twoCellAnchor>
    <xdr:from>
      <xdr:col>0</xdr:col>
      <xdr:colOff>0</xdr:colOff>
      <xdr:row>14</xdr:row>
      <xdr:rowOff>118608</xdr:rowOff>
    </xdr:from>
    <xdr:to>
      <xdr:col>0</xdr:col>
      <xdr:colOff>360000</xdr:colOff>
      <xdr:row>22</xdr:row>
      <xdr:rowOff>189243</xdr:rowOff>
    </xdr:to>
    <xdr:sp macro="" textlink="">
      <xdr:nvSpPr>
        <xdr:cNvPr id="25" name="Diagrama de flujo: operación manual 24">
          <a:hlinkClick xmlns:r="http://schemas.openxmlformats.org/officeDocument/2006/relationships" r:id="rId9" tooltip="Quinto Ejercicio"/>
          <a:extLst>
            <a:ext uri="{FF2B5EF4-FFF2-40B4-BE49-F238E27FC236}">
              <a16:creationId xmlns:a16="http://schemas.microsoft.com/office/drawing/2014/main" id="{CECF8372-6197-4412-9270-9A29A844CFA6}"/>
            </a:ext>
          </a:extLst>
        </xdr:cNvPr>
        <xdr:cNvSpPr/>
      </xdr:nvSpPr>
      <xdr:spPr>
        <a:xfrm rot="16200000">
          <a:off x="-618960" y="3283042"/>
          <a:ext cx="159792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Quinto Ejercicio</a:t>
          </a:r>
        </a:p>
      </xdr:txBody>
    </xdr:sp>
    <xdr:clientData/>
  </xdr:twoCellAnchor>
  <xdr:twoCellAnchor>
    <xdr:from>
      <xdr:col>0</xdr:col>
      <xdr:colOff>0</xdr:colOff>
      <xdr:row>20</xdr:row>
      <xdr:rowOff>97664</xdr:rowOff>
    </xdr:from>
    <xdr:to>
      <xdr:col>0</xdr:col>
      <xdr:colOff>360000</xdr:colOff>
      <xdr:row>28</xdr:row>
      <xdr:rowOff>119033</xdr:rowOff>
    </xdr:to>
    <xdr:sp macro="" textlink="">
      <xdr:nvSpPr>
        <xdr:cNvPr id="26" name="Diagrama de flujo: operación manual 25">
          <a:hlinkClick xmlns:r="http://schemas.openxmlformats.org/officeDocument/2006/relationships" r:id="rId10" tooltip="Probabilidad total"/>
          <a:extLst>
            <a:ext uri="{FF2B5EF4-FFF2-40B4-BE49-F238E27FC236}">
              <a16:creationId xmlns:a16="http://schemas.microsoft.com/office/drawing/2014/main" id="{42DDC418-B491-483D-8087-E8B3172705AC}"/>
            </a:ext>
          </a:extLst>
        </xdr:cNvPr>
        <xdr:cNvSpPr/>
      </xdr:nvSpPr>
      <xdr:spPr>
        <a:xfrm rot="16200000">
          <a:off x="-618960" y="4395245"/>
          <a:ext cx="159792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Probabilidad total</a:t>
          </a:r>
        </a:p>
      </xdr:txBody>
    </xdr:sp>
    <xdr:clientData/>
  </xdr:twoCellAnchor>
  <xdr:twoCellAnchor editAs="oneCell">
    <xdr:from>
      <xdr:col>0</xdr:col>
      <xdr:colOff>403859</xdr:colOff>
      <xdr:row>0</xdr:row>
      <xdr:rowOff>15240</xdr:rowOff>
    </xdr:from>
    <xdr:to>
      <xdr:col>1</xdr:col>
      <xdr:colOff>243182</xdr:colOff>
      <xdr:row>2</xdr:row>
      <xdr:rowOff>128292</xdr:rowOff>
    </xdr:to>
    <xdr:pic>
      <xdr:nvPicPr>
        <xdr:cNvPr id="27" name="Gráfico 26" descr="Atrás con relleno sólido">
          <a:hlinkClick xmlns:r="http://schemas.openxmlformats.org/officeDocument/2006/relationships" r:id="rId11" tooltip="Probabilidades"/>
          <a:extLst>
            <a:ext uri="{FF2B5EF4-FFF2-40B4-BE49-F238E27FC236}">
              <a16:creationId xmlns:a16="http://schemas.microsoft.com/office/drawing/2014/main" id="{790B8094-A42E-463D-9534-000816050BF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03859" y="15240"/>
          <a:ext cx="430530" cy="474345"/>
        </a:xfrm>
        <a:prstGeom prst="rect">
          <a:avLst/>
        </a:prstGeom>
      </xdr:spPr>
    </xdr:pic>
    <xdr:clientData/>
  </xdr:twoCellAnchor>
  <xdr:twoCellAnchor>
    <xdr:from>
      <xdr:col>0</xdr:col>
      <xdr:colOff>0</xdr:colOff>
      <xdr:row>8</xdr:row>
      <xdr:rowOff>162271</xdr:rowOff>
    </xdr:from>
    <xdr:to>
      <xdr:col>0</xdr:col>
      <xdr:colOff>360000</xdr:colOff>
      <xdr:row>17</xdr:row>
      <xdr:rowOff>114139</xdr:rowOff>
    </xdr:to>
    <xdr:sp macro="" textlink="">
      <xdr:nvSpPr>
        <xdr:cNvPr id="24" name="Diagrama de flujo: operación manual 23">
          <a:hlinkClick xmlns:r="http://schemas.openxmlformats.org/officeDocument/2006/relationships" r:id="rId14" tooltip="Cuarto Ejercicio"/>
          <a:extLst>
            <a:ext uri="{FF2B5EF4-FFF2-40B4-BE49-F238E27FC236}">
              <a16:creationId xmlns:a16="http://schemas.microsoft.com/office/drawing/2014/main" id="{14DFC9F2-31AC-4EDB-92C8-BF34D8EE0EE5}"/>
            </a:ext>
          </a:extLst>
        </xdr:cNvPr>
        <xdr:cNvSpPr/>
      </xdr:nvSpPr>
      <xdr:spPr>
        <a:xfrm rot="16200000">
          <a:off x="-617055" y="2224498"/>
          <a:ext cx="1594110" cy="360000"/>
        </a:xfrm>
        <a:prstGeom prst="flowChartManualOperation">
          <a:avLst/>
        </a:prstGeom>
        <a:solidFill>
          <a:srgbClr val="F4B183"/>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Cuarto Ejercicio</a:t>
          </a:r>
        </a:p>
      </xdr:txBody>
    </xdr:sp>
    <xdr:clientData/>
  </xdr:twoCellAnchor>
</xdr:wsDr>
</file>

<file path=xl/drawings/drawing7.xml><?xml version="1.0" encoding="utf-8"?>
<c:userShapes xmlns:c="http://schemas.openxmlformats.org/drawingml/2006/chart">
  <cdr:relSizeAnchor xmlns:cdr="http://schemas.openxmlformats.org/drawingml/2006/chartDrawing">
    <cdr:from>
      <cdr:x>0.40847</cdr:x>
      <cdr:y>0.07609</cdr:y>
    </cdr:from>
    <cdr:to>
      <cdr:x>0.61573</cdr:x>
      <cdr:y>0.15435</cdr:y>
    </cdr:to>
    <cdr:sp macro="" textlink="">
      <cdr:nvSpPr>
        <cdr:cNvPr id="2" name="CuadroTexto 1">
          <a:extLst xmlns:a="http://schemas.openxmlformats.org/drawingml/2006/main">
            <a:ext uri="{FF2B5EF4-FFF2-40B4-BE49-F238E27FC236}">
              <a16:creationId xmlns:a16="http://schemas.microsoft.com/office/drawing/2014/main" id="{3365A357-12EE-41AA-AB41-68E10D248D88}"/>
            </a:ext>
          </a:extLst>
        </cdr:cNvPr>
        <cdr:cNvSpPr txBox="1"/>
      </cdr:nvSpPr>
      <cdr:spPr>
        <a:xfrm xmlns:a="http://schemas.openxmlformats.org/drawingml/2006/main">
          <a:off x="2057400" y="266700"/>
          <a:ext cx="1043940" cy="27432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s-ES" sz="1100">
              <a:latin typeface="Abadi Extra Light" panose="020B0204020104020204" pitchFamily="34" charset="0"/>
            </a:rPr>
            <a:t>Temas Parte B</a:t>
          </a:r>
        </a:p>
      </cdr:txBody>
    </cdr:sp>
  </cdr:relSizeAnchor>
</c:userShapes>
</file>

<file path=xl/drawings/drawing8.xml><?xml version="1.0" encoding="utf-8"?>
<c:userShapes xmlns:c="http://schemas.openxmlformats.org/drawingml/2006/chart">
  <cdr:relSizeAnchor xmlns:cdr="http://schemas.openxmlformats.org/drawingml/2006/chartDrawing">
    <cdr:from>
      <cdr:x>0.40847</cdr:x>
      <cdr:y>0.07609</cdr:y>
    </cdr:from>
    <cdr:to>
      <cdr:x>0.61573</cdr:x>
      <cdr:y>0.15435</cdr:y>
    </cdr:to>
    <cdr:sp macro="" textlink="">
      <cdr:nvSpPr>
        <cdr:cNvPr id="2" name="CuadroTexto 1">
          <a:extLst xmlns:a="http://schemas.openxmlformats.org/drawingml/2006/main">
            <a:ext uri="{FF2B5EF4-FFF2-40B4-BE49-F238E27FC236}">
              <a16:creationId xmlns:a16="http://schemas.microsoft.com/office/drawing/2014/main" id="{3365A357-12EE-41AA-AB41-68E10D248D88}"/>
            </a:ext>
          </a:extLst>
        </cdr:cNvPr>
        <cdr:cNvSpPr txBox="1"/>
      </cdr:nvSpPr>
      <cdr:spPr>
        <a:xfrm xmlns:a="http://schemas.openxmlformats.org/drawingml/2006/main">
          <a:off x="2057400" y="266700"/>
          <a:ext cx="1043940" cy="27432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s-ES" sz="1100">
              <a:latin typeface="Abadi Extra Light" panose="020B0204020104020204" pitchFamily="34" charset="0"/>
            </a:rPr>
            <a:t>Temas Parte B</a:t>
          </a:r>
        </a:p>
      </cdr:txBody>
    </cdr:sp>
  </cdr:relSizeAnchor>
</c:userShapes>
</file>

<file path=xl/drawings/drawing9.xml><?xml version="1.0" encoding="utf-8"?>
<xdr:wsDr xmlns:xdr="http://schemas.openxmlformats.org/drawingml/2006/spreadsheetDrawing" xmlns:a="http://schemas.openxmlformats.org/drawingml/2006/main">
  <xdr:twoCellAnchor>
    <xdr:from>
      <xdr:col>7</xdr:col>
      <xdr:colOff>297180</xdr:colOff>
      <xdr:row>0</xdr:row>
      <xdr:rowOff>53340</xdr:rowOff>
    </xdr:from>
    <xdr:to>
      <xdr:col>7</xdr:col>
      <xdr:colOff>563880</xdr:colOff>
      <xdr:row>1</xdr:row>
      <xdr:rowOff>144780</xdr:rowOff>
    </xdr:to>
    <xdr:sp macro="[0]!Actualizar" textlink="">
      <xdr:nvSpPr>
        <xdr:cNvPr id="2" name="Elipse 1">
          <a:extLst>
            <a:ext uri="{FF2B5EF4-FFF2-40B4-BE49-F238E27FC236}">
              <a16:creationId xmlns:a16="http://schemas.microsoft.com/office/drawing/2014/main" id="{00000000-0008-0000-0700-000002000000}"/>
            </a:ext>
          </a:extLst>
        </xdr:cNvPr>
        <xdr:cNvSpPr>
          <a:spLocks noChangeAspect="1"/>
        </xdr:cNvSpPr>
      </xdr:nvSpPr>
      <xdr:spPr>
        <a:xfrm>
          <a:off x="6789420" y="53340"/>
          <a:ext cx="266700" cy="266700"/>
        </a:xfrm>
        <a:prstGeom prst="ellipse">
          <a:avLst/>
        </a:prstGeom>
        <a:solidFill>
          <a:srgbClr val="5F2987"/>
        </a:solidFill>
        <a:ln>
          <a:noFill/>
        </a:ln>
        <a:scene3d>
          <a:camera prst="orthographicFront"/>
          <a:lightRig rig="balanced" dir="t"/>
        </a:scene3d>
        <a:sp3d extrusionH="76200" prstMaterial="plastic">
          <a:bevelT/>
          <a:extrusionClr>
            <a:schemeClr val="accent6">
              <a:lumMod val="20000"/>
              <a:lumOff val="80000"/>
            </a:schemeClr>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xdr:colOff>
      <xdr:row>0</xdr:row>
      <xdr:rowOff>0</xdr:rowOff>
    </xdr:from>
    <xdr:to>
      <xdr:col>0</xdr:col>
      <xdr:colOff>360001</xdr:colOff>
      <xdr:row>4</xdr:row>
      <xdr:rowOff>60675</xdr:rowOff>
    </xdr:to>
    <xdr:sp macro="" textlink="">
      <xdr:nvSpPr>
        <xdr:cNvPr id="10" name="Diagrama de flujo: operación manual 9">
          <a:hlinkClick xmlns:r="http://schemas.openxmlformats.org/officeDocument/2006/relationships" r:id="rId1" tooltip="Menú"/>
          <a:extLst>
            <a:ext uri="{FF2B5EF4-FFF2-40B4-BE49-F238E27FC236}">
              <a16:creationId xmlns:a16="http://schemas.microsoft.com/office/drawing/2014/main" id="{4D28DD14-4EB6-4A78-83F3-EFB2F4B4D411}"/>
            </a:ext>
          </a:extLst>
        </xdr:cNvPr>
        <xdr:cNvSpPr/>
      </xdr:nvSpPr>
      <xdr:spPr>
        <a:xfrm rot="16200000">
          <a:off x="-231337" y="231338"/>
          <a:ext cx="822675"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1</xdr:colOff>
      <xdr:row>2</xdr:row>
      <xdr:rowOff>117731</xdr:rowOff>
    </xdr:from>
    <xdr:to>
      <xdr:col>0</xdr:col>
      <xdr:colOff>360001</xdr:colOff>
      <xdr:row>10</xdr:row>
      <xdr:rowOff>147836</xdr:rowOff>
    </xdr:to>
    <xdr:sp macro="" textlink="">
      <xdr:nvSpPr>
        <xdr:cNvPr id="11" name="Diagrama de flujo: operación manual 10">
          <a:hlinkClick xmlns:r="http://schemas.openxmlformats.org/officeDocument/2006/relationships" r:id="rId2" tooltip="Tercer Ejercicio"/>
          <a:extLst>
            <a:ext uri="{FF2B5EF4-FFF2-40B4-BE49-F238E27FC236}">
              <a16:creationId xmlns:a16="http://schemas.microsoft.com/office/drawing/2014/main" id="{EE985492-BFF1-43B9-8F54-B05531B2AF55}"/>
            </a:ext>
          </a:extLst>
        </xdr:cNvPr>
        <xdr:cNvSpPr/>
      </xdr:nvSpPr>
      <xdr:spPr>
        <a:xfrm rot="16200000">
          <a:off x="-597052" y="1095784"/>
          <a:ext cx="1554105"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Tercer Ejercicio</a:t>
          </a:r>
        </a:p>
      </xdr:txBody>
    </xdr:sp>
    <xdr:clientData/>
  </xdr:twoCellAnchor>
  <xdr:twoCellAnchor>
    <xdr:from>
      <xdr:col>0</xdr:col>
      <xdr:colOff>1</xdr:colOff>
      <xdr:row>8</xdr:row>
      <xdr:rowOff>83442</xdr:rowOff>
    </xdr:from>
    <xdr:to>
      <xdr:col>0</xdr:col>
      <xdr:colOff>360001</xdr:colOff>
      <xdr:row>16</xdr:row>
      <xdr:rowOff>153552</xdr:rowOff>
    </xdr:to>
    <xdr:sp macro="" textlink="">
      <xdr:nvSpPr>
        <xdr:cNvPr id="12" name="Diagrama de flujo: operación manual 11">
          <a:hlinkClick xmlns:r="http://schemas.openxmlformats.org/officeDocument/2006/relationships" r:id="rId3" tooltip="Cuarto Ejercicio"/>
          <a:extLst>
            <a:ext uri="{FF2B5EF4-FFF2-40B4-BE49-F238E27FC236}">
              <a16:creationId xmlns:a16="http://schemas.microsoft.com/office/drawing/2014/main" id="{B51F3ECE-7A06-4D3C-B421-666732FE8B4A}"/>
            </a:ext>
          </a:extLst>
        </xdr:cNvPr>
        <xdr:cNvSpPr/>
      </xdr:nvSpPr>
      <xdr:spPr>
        <a:xfrm rot="16200000">
          <a:off x="-617054" y="2224497"/>
          <a:ext cx="159411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Cuarto Ejercicio</a:t>
          </a:r>
        </a:p>
      </xdr:txBody>
    </xdr:sp>
    <xdr:clientData/>
  </xdr:twoCellAnchor>
  <xdr:twoCellAnchor>
    <xdr:from>
      <xdr:col>0</xdr:col>
      <xdr:colOff>1</xdr:colOff>
      <xdr:row>19</xdr:row>
      <xdr:rowOff>156784</xdr:rowOff>
    </xdr:from>
    <xdr:to>
      <xdr:col>0</xdr:col>
      <xdr:colOff>360001</xdr:colOff>
      <xdr:row>28</xdr:row>
      <xdr:rowOff>12990</xdr:rowOff>
    </xdr:to>
    <xdr:sp macro="" textlink="">
      <xdr:nvSpPr>
        <xdr:cNvPr id="14" name="Diagrama de flujo: operación manual 13">
          <a:hlinkClick xmlns:r="http://schemas.openxmlformats.org/officeDocument/2006/relationships" r:id="rId4" tooltip="Probabilidad total"/>
          <a:extLst>
            <a:ext uri="{FF2B5EF4-FFF2-40B4-BE49-F238E27FC236}">
              <a16:creationId xmlns:a16="http://schemas.microsoft.com/office/drawing/2014/main" id="{DD4C5F87-02A5-4EBE-A6F0-2B4B2E721861}"/>
            </a:ext>
          </a:extLst>
        </xdr:cNvPr>
        <xdr:cNvSpPr/>
      </xdr:nvSpPr>
      <xdr:spPr>
        <a:xfrm rot="16200000">
          <a:off x="-618959" y="4395244"/>
          <a:ext cx="159792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Probabilidad total</a:t>
          </a:r>
        </a:p>
      </xdr:txBody>
    </xdr:sp>
    <xdr:clientData/>
  </xdr:twoCellAnchor>
  <xdr:twoCellAnchor editAs="oneCell">
    <xdr:from>
      <xdr:col>0</xdr:col>
      <xdr:colOff>403860</xdr:colOff>
      <xdr:row>0</xdr:row>
      <xdr:rowOff>15239</xdr:rowOff>
    </xdr:from>
    <xdr:to>
      <xdr:col>1</xdr:col>
      <xdr:colOff>249283</xdr:colOff>
      <xdr:row>2</xdr:row>
      <xdr:rowOff>108584</xdr:rowOff>
    </xdr:to>
    <xdr:pic>
      <xdr:nvPicPr>
        <xdr:cNvPr id="15" name="Gráfico 14" descr="Atrás con relleno sólido">
          <a:hlinkClick xmlns:r="http://schemas.openxmlformats.org/officeDocument/2006/relationships" r:id="rId5" tooltip="Probabilidades"/>
          <a:extLst>
            <a:ext uri="{FF2B5EF4-FFF2-40B4-BE49-F238E27FC236}">
              <a16:creationId xmlns:a16="http://schemas.microsoft.com/office/drawing/2014/main" id="{2C609C0F-AB91-4889-9F03-84D872ECA1E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3860" y="15239"/>
          <a:ext cx="430530" cy="474345"/>
        </a:xfrm>
        <a:prstGeom prst="rect">
          <a:avLst/>
        </a:prstGeom>
      </xdr:spPr>
    </xdr:pic>
    <xdr:clientData/>
  </xdr:twoCellAnchor>
  <xdr:twoCellAnchor>
    <xdr:from>
      <xdr:col>0</xdr:col>
      <xdr:colOff>1</xdr:colOff>
      <xdr:row>13</xdr:row>
      <xdr:rowOff>187581</xdr:rowOff>
    </xdr:from>
    <xdr:to>
      <xdr:col>0</xdr:col>
      <xdr:colOff>360001</xdr:colOff>
      <xdr:row>22</xdr:row>
      <xdr:rowOff>71001</xdr:rowOff>
    </xdr:to>
    <xdr:sp macro="" textlink="">
      <xdr:nvSpPr>
        <xdr:cNvPr id="13" name="Diagrama de flujo: operación manual 12">
          <a:hlinkClick xmlns:r="http://schemas.openxmlformats.org/officeDocument/2006/relationships" r:id="rId8" tooltip="Quinto Ejercicio"/>
          <a:extLst>
            <a:ext uri="{FF2B5EF4-FFF2-40B4-BE49-F238E27FC236}">
              <a16:creationId xmlns:a16="http://schemas.microsoft.com/office/drawing/2014/main" id="{6B7C1ECB-E393-4581-B510-959F14CEA372}"/>
            </a:ext>
          </a:extLst>
        </xdr:cNvPr>
        <xdr:cNvSpPr/>
      </xdr:nvSpPr>
      <xdr:spPr>
        <a:xfrm rot="16200000">
          <a:off x="-618959" y="3283041"/>
          <a:ext cx="1597920" cy="360000"/>
        </a:xfrm>
        <a:prstGeom prst="flowChartManualOperation">
          <a:avLst/>
        </a:prstGeom>
        <a:solidFill>
          <a:srgbClr val="F4B183"/>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Quinto Ejercicio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360001</xdr:colOff>
      <xdr:row>4</xdr:row>
      <xdr:rowOff>32100</xdr:rowOff>
    </xdr:to>
    <xdr:sp macro="" textlink="">
      <xdr:nvSpPr>
        <xdr:cNvPr id="2" name="Diagrama de flujo: operación manual 1">
          <a:hlinkClick xmlns:r="http://schemas.openxmlformats.org/officeDocument/2006/relationships" r:id="rId1" tooltip="Menú"/>
          <a:extLst>
            <a:ext uri="{FF2B5EF4-FFF2-40B4-BE49-F238E27FC236}">
              <a16:creationId xmlns:a16="http://schemas.microsoft.com/office/drawing/2014/main" id="{00000000-0008-0000-0800-000002000000}"/>
            </a:ext>
          </a:extLst>
        </xdr:cNvPr>
        <xdr:cNvSpPr/>
      </xdr:nvSpPr>
      <xdr:spPr>
        <a:xfrm rot="16200000">
          <a:off x="-197999" y="198000"/>
          <a:ext cx="756000"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1</xdr:colOff>
      <xdr:row>2</xdr:row>
      <xdr:rowOff>108207</xdr:rowOff>
    </xdr:from>
    <xdr:to>
      <xdr:col>0</xdr:col>
      <xdr:colOff>360001</xdr:colOff>
      <xdr:row>10</xdr:row>
      <xdr:rowOff>81162</xdr:rowOff>
    </xdr:to>
    <xdr:sp macro="" textlink="">
      <xdr:nvSpPr>
        <xdr:cNvPr id="4" name="Diagrama de flujo: operación manual 3">
          <a:hlinkClick xmlns:r="http://schemas.openxmlformats.org/officeDocument/2006/relationships" r:id="rId2" tooltip="Tercer Ejercicio"/>
          <a:extLst>
            <a:ext uri="{FF2B5EF4-FFF2-40B4-BE49-F238E27FC236}">
              <a16:creationId xmlns:a16="http://schemas.microsoft.com/office/drawing/2014/main" id="{00000000-0008-0000-0800-000004000000}"/>
            </a:ext>
          </a:extLst>
        </xdr:cNvPr>
        <xdr:cNvSpPr/>
      </xdr:nvSpPr>
      <xdr:spPr>
        <a:xfrm rot="16200000">
          <a:off x="-597052" y="1095785"/>
          <a:ext cx="1554105"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Tercer Ejercicio</a:t>
          </a:r>
        </a:p>
      </xdr:txBody>
    </xdr:sp>
    <xdr:clientData/>
  </xdr:twoCellAnchor>
  <xdr:twoCellAnchor>
    <xdr:from>
      <xdr:col>0</xdr:col>
      <xdr:colOff>1</xdr:colOff>
      <xdr:row>8</xdr:row>
      <xdr:rowOff>35818</xdr:rowOff>
    </xdr:from>
    <xdr:to>
      <xdr:col>0</xdr:col>
      <xdr:colOff>360001</xdr:colOff>
      <xdr:row>15</xdr:row>
      <xdr:rowOff>134503</xdr:rowOff>
    </xdr:to>
    <xdr:sp macro="" textlink="">
      <xdr:nvSpPr>
        <xdr:cNvPr id="5" name="Diagrama de flujo: operación manual 4">
          <a:hlinkClick xmlns:r="http://schemas.openxmlformats.org/officeDocument/2006/relationships" r:id="rId3" tooltip="Cuarto Ejercicio"/>
          <a:extLst>
            <a:ext uri="{FF2B5EF4-FFF2-40B4-BE49-F238E27FC236}">
              <a16:creationId xmlns:a16="http://schemas.microsoft.com/office/drawing/2014/main" id="{00000000-0008-0000-0800-000005000000}"/>
            </a:ext>
          </a:extLst>
        </xdr:cNvPr>
        <xdr:cNvSpPr/>
      </xdr:nvSpPr>
      <xdr:spPr>
        <a:xfrm rot="16200000">
          <a:off x="-617054" y="2224498"/>
          <a:ext cx="159411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Cuarto Ejercicio</a:t>
          </a:r>
        </a:p>
      </xdr:txBody>
    </xdr:sp>
    <xdr:clientData/>
  </xdr:twoCellAnchor>
  <xdr:twoCellAnchor>
    <xdr:from>
      <xdr:col>0</xdr:col>
      <xdr:colOff>1</xdr:colOff>
      <xdr:row>12</xdr:row>
      <xdr:rowOff>301882</xdr:rowOff>
    </xdr:from>
    <xdr:to>
      <xdr:col>0</xdr:col>
      <xdr:colOff>360001</xdr:colOff>
      <xdr:row>21</xdr:row>
      <xdr:rowOff>51952</xdr:rowOff>
    </xdr:to>
    <xdr:sp macro="" textlink="">
      <xdr:nvSpPr>
        <xdr:cNvPr id="6" name="Diagrama de flujo: operación manual 5">
          <a:hlinkClick xmlns:r="http://schemas.openxmlformats.org/officeDocument/2006/relationships" r:id="rId4" tooltip="Quinto Ejercicio"/>
          <a:extLst>
            <a:ext uri="{FF2B5EF4-FFF2-40B4-BE49-F238E27FC236}">
              <a16:creationId xmlns:a16="http://schemas.microsoft.com/office/drawing/2014/main" id="{00000000-0008-0000-0800-000006000000}"/>
            </a:ext>
          </a:extLst>
        </xdr:cNvPr>
        <xdr:cNvSpPr/>
      </xdr:nvSpPr>
      <xdr:spPr>
        <a:xfrm rot="16200000">
          <a:off x="-618959" y="3283042"/>
          <a:ext cx="1597920" cy="360000"/>
        </a:xfrm>
        <a:prstGeom prst="flowChartManualOperation">
          <a:avLst/>
        </a:prstGeom>
        <a:solidFill>
          <a:srgbClr val="FBE5D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Quinto Ejercicio</a:t>
          </a:r>
        </a:p>
      </xdr:txBody>
    </xdr:sp>
    <xdr:clientData/>
  </xdr:twoCellAnchor>
  <xdr:twoCellAnchor>
    <xdr:from>
      <xdr:col>0</xdr:col>
      <xdr:colOff>1</xdr:colOff>
      <xdr:row>18</xdr:row>
      <xdr:rowOff>137735</xdr:rowOff>
    </xdr:from>
    <xdr:to>
      <xdr:col>0</xdr:col>
      <xdr:colOff>360001</xdr:colOff>
      <xdr:row>27</xdr:row>
      <xdr:rowOff>21155</xdr:rowOff>
    </xdr:to>
    <xdr:sp macro="" textlink="">
      <xdr:nvSpPr>
        <xdr:cNvPr id="7" name="Diagrama de flujo: operación manual 6">
          <a:hlinkClick xmlns:r="http://schemas.openxmlformats.org/officeDocument/2006/relationships" r:id="rId5" tooltip="Probabilidad total"/>
          <a:extLst>
            <a:ext uri="{FF2B5EF4-FFF2-40B4-BE49-F238E27FC236}">
              <a16:creationId xmlns:a16="http://schemas.microsoft.com/office/drawing/2014/main" id="{00000000-0008-0000-0800-000007000000}"/>
            </a:ext>
          </a:extLst>
        </xdr:cNvPr>
        <xdr:cNvSpPr/>
      </xdr:nvSpPr>
      <xdr:spPr>
        <a:xfrm rot="16200000">
          <a:off x="-618959" y="4395245"/>
          <a:ext cx="1597920" cy="360000"/>
        </a:xfrm>
        <a:prstGeom prst="flowChartManualOperation">
          <a:avLst/>
        </a:prstGeom>
        <a:solidFill>
          <a:schemeClr val="accent2">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Probabilidad total</a:t>
          </a:r>
        </a:p>
      </xdr:txBody>
    </xdr:sp>
    <xdr:clientData/>
  </xdr:twoCellAnchor>
  <xdr:twoCellAnchor editAs="oneCell">
    <xdr:from>
      <xdr:col>0</xdr:col>
      <xdr:colOff>403860</xdr:colOff>
      <xdr:row>0</xdr:row>
      <xdr:rowOff>15240</xdr:rowOff>
    </xdr:from>
    <xdr:to>
      <xdr:col>1</xdr:col>
      <xdr:colOff>281940</xdr:colOff>
      <xdr:row>2</xdr:row>
      <xdr:rowOff>99060</xdr:rowOff>
    </xdr:to>
    <xdr:pic>
      <xdr:nvPicPr>
        <xdr:cNvPr id="8" name="Gráfico 7" descr="Atrás con relleno sólido">
          <a:hlinkClick xmlns:r="http://schemas.openxmlformats.org/officeDocument/2006/relationships" r:id="rId6" tooltip="Probabilidades"/>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03860" y="15240"/>
          <a:ext cx="441960" cy="4419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10026</xdr:colOff>
      <xdr:row>10</xdr:row>
      <xdr:rowOff>7358</xdr:rowOff>
    </xdr:from>
    <xdr:to>
      <xdr:col>0</xdr:col>
      <xdr:colOff>370026</xdr:colOff>
      <xdr:row>18</xdr:row>
      <xdr:rowOff>106492</xdr:rowOff>
    </xdr:to>
    <xdr:sp macro="" textlink="">
      <xdr:nvSpPr>
        <xdr:cNvPr id="9" name="Diagrama de flujo: operación manual 8">
          <a:hlinkClick xmlns:r="http://schemas.openxmlformats.org/officeDocument/2006/relationships" r:id="rId1" tooltip="Simulador de sorteos"/>
          <a:extLst>
            <a:ext uri="{FF2B5EF4-FFF2-40B4-BE49-F238E27FC236}">
              <a16:creationId xmlns:a16="http://schemas.microsoft.com/office/drawing/2014/main" id="{00000000-0008-0000-0900-000009000000}"/>
            </a:ext>
          </a:extLst>
        </xdr:cNvPr>
        <xdr:cNvSpPr/>
      </xdr:nvSpPr>
      <xdr:spPr>
        <a:xfrm rot="16200000">
          <a:off x="-541331" y="2263189"/>
          <a:ext cx="1462713" cy="360000"/>
        </a:xfrm>
        <a:prstGeom prst="flowChartManualOperation">
          <a:avLst/>
        </a:prstGeom>
        <a:solidFill>
          <a:srgbClr val="FFFFCC"/>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Sorteo de</a:t>
          </a:r>
          <a:r>
            <a:rPr lang="es-ES" sz="800" baseline="0">
              <a:solidFill>
                <a:srgbClr val="5F2987"/>
              </a:solidFill>
              <a:latin typeface="Abadi Extra Light" panose="020B0204020104020204" pitchFamily="34" charset="0"/>
            </a:rPr>
            <a:t> temas predefinidos</a:t>
          </a:r>
          <a:endParaRPr lang="es-ES" sz="800">
            <a:solidFill>
              <a:srgbClr val="5F2987"/>
            </a:solidFill>
            <a:latin typeface="Abadi Extra Light" panose="020B0204020104020204" pitchFamily="34" charset="0"/>
          </a:endParaRPr>
        </a:p>
      </xdr:txBody>
    </xdr:sp>
    <xdr:clientData/>
  </xdr:twoCellAnchor>
  <xdr:twoCellAnchor>
    <xdr:from>
      <xdr:col>0</xdr:col>
      <xdr:colOff>10027</xdr:colOff>
      <xdr:row>3</xdr:row>
      <xdr:rowOff>40556</xdr:rowOff>
    </xdr:from>
    <xdr:to>
      <xdr:col>0</xdr:col>
      <xdr:colOff>370027</xdr:colOff>
      <xdr:row>11</xdr:row>
      <xdr:rowOff>139690</xdr:rowOff>
    </xdr:to>
    <xdr:sp macro="" textlink="">
      <xdr:nvSpPr>
        <xdr:cNvPr id="11" name="Diagrama de flujo: operación manual 10">
          <a:hlinkClick xmlns:r="http://schemas.openxmlformats.org/officeDocument/2006/relationships" r:id="rId2" tooltip="Simulador de sorteos"/>
          <a:extLst>
            <a:ext uri="{FF2B5EF4-FFF2-40B4-BE49-F238E27FC236}">
              <a16:creationId xmlns:a16="http://schemas.microsoft.com/office/drawing/2014/main" id="{00000000-0008-0000-0900-00000B000000}"/>
            </a:ext>
          </a:extLst>
        </xdr:cNvPr>
        <xdr:cNvSpPr/>
      </xdr:nvSpPr>
      <xdr:spPr>
        <a:xfrm rot="16200000">
          <a:off x="-541330" y="1103255"/>
          <a:ext cx="1462713" cy="360000"/>
        </a:xfrm>
        <a:prstGeom prst="flowChartManualOperation">
          <a:avLst/>
        </a:prstGeom>
        <a:solidFill>
          <a:srgbClr val="FFFFCC"/>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Simulador de sorteos</a:t>
          </a:r>
        </a:p>
      </xdr:txBody>
    </xdr:sp>
    <xdr:clientData/>
  </xdr:twoCellAnchor>
  <xdr:twoCellAnchor>
    <xdr:from>
      <xdr:col>1</xdr:col>
      <xdr:colOff>167640</xdr:colOff>
      <xdr:row>4</xdr:row>
      <xdr:rowOff>83821</xdr:rowOff>
    </xdr:from>
    <xdr:to>
      <xdr:col>11</xdr:col>
      <xdr:colOff>167640</xdr:colOff>
      <xdr:row>26</xdr:row>
      <xdr:rowOff>121921</xdr:rowOff>
    </xdr:to>
    <xdr:graphicFrame macro="">
      <xdr:nvGraphicFramePr>
        <xdr:cNvPr id="7" name="Diagrama 6">
          <a:hlinkClick xmlns:r="http://schemas.openxmlformats.org/officeDocument/2006/relationships" r:id="rId3" tooltip="Primer Ejercicio"/>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4" r:lo="rId5" r:qs="rId6" r:cs="rId7"/>
        </a:graphicData>
      </a:graphic>
    </xdr:graphicFrame>
    <xdr:clientData/>
  </xdr:twoCellAnchor>
  <xdr:twoCellAnchor>
    <xdr:from>
      <xdr:col>0</xdr:col>
      <xdr:colOff>10026</xdr:colOff>
      <xdr:row>0</xdr:row>
      <xdr:rowOff>10030</xdr:rowOff>
    </xdr:from>
    <xdr:to>
      <xdr:col>0</xdr:col>
      <xdr:colOff>370026</xdr:colOff>
      <xdr:row>4</xdr:row>
      <xdr:rowOff>84241</xdr:rowOff>
    </xdr:to>
    <xdr:sp macro="" textlink="">
      <xdr:nvSpPr>
        <xdr:cNvPr id="10" name="Diagrama de flujo: operación manual 9">
          <a:hlinkClick xmlns:r="http://schemas.openxmlformats.org/officeDocument/2006/relationships" r:id="rId9" tooltip="Menú"/>
          <a:extLst>
            <a:ext uri="{FF2B5EF4-FFF2-40B4-BE49-F238E27FC236}">
              <a16:creationId xmlns:a16="http://schemas.microsoft.com/office/drawing/2014/main" id="{00000000-0008-0000-0900-00000A000000}"/>
            </a:ext>
          </a:extLst>
        </xdr:cNvPr>
        <xdr:cNvSpPr/>
      </xdr:nvSpPr>
      <xdr:spPr>
        <a:xfrm rot="16200000">
          <a:off x="-187974" y="208030"/>
          <a:ext cx="756000" cy="360000"/>
        </a:xfrm>
        <a:prstGeom prst="flowChartManualOperation">
          <a:avLst/>
        </a:prstGeom>
        <a:solidFill>
          <a:schemeClr val="accent6">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6</xdr:row>
      <xdr:rowOff>381001</xdr:rowOff>
    </xdr:from>
    <xdr:to>
      <xdr:col>0</xdr:col>
      <xdr:colOff>360000</xdr:colOff>
      <xdr:row>9</xdr:row>
      <xdr:rowOff>167314</xdr:rowOff>
    </xdr:to>
    <xdr:sp macro="" textlink="">
      <xdr:nvSpPr>
        <xdr:cNvPr id="5" name="Diagrama de flujo: operación manual 4">
          <a:hlinkClick xmlns:r="http://schemas.openxmlformats.org/officeDocument/2006/relationships" r:id="rId1" tooltip="Simulador de sorteos"/>
          <a:extLst>
            <a:ext uri="{FF2B5EF4-FFF2-40B4-BE49-F238E27FC236}">
              <a16:creationId xmlns:a16="http://schemas.microsoft.com/office/drawing/2014/main" id="{00000000-0008-0000-0A00-000005000000}"/>
            </a:ext>
          </a:extLst>
        </xdr:cNvPr>
        <xdr:cNvSpPr/>
      </xdr:nvSpPr>
      <xdr:spPr>
        <a:xfrm rot="16200000">
          <a:off x="-551357" y="2303958"/>
          <a:ext cx="1462713" cy="360000"/>
        </a:xfrm>
        <a:prstGeom prst="flowChartManualOperation">
          <a:avLst/>
        </a:prstGeom>
        <a:solidFill>
          <a:srgbClr val="FFFFCC"/>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Sorteo de</a:t>
          </a:r>
          <a:r>
            <a:rPr lang="es-ES" sz="800" baseline="0">
              <a:solidFill>
                <a:srgbClr val="5F2987"/>
              </a:solidFill>
              <a:latin typeface="Abadi Extra Light" panose="020B0204020104020204" pitchFamily="34" charset="0"/>
            </a:rPr>
            <a:t> temas predefinidos</a:t>
          </a:r>
          <a:endParaRPr lang="es-ES" sz="800">
            <a:solidFill>
              <a:srgbClr val="5F2987"/>
            </a:solidFill>
            <a:latin typeface="Abadi Extra Light" panose="020B0204020104020204" pitchFamily="34" charset="0"/>
          </a:endParaRPr>
        </a:p>
      </xdr:txBody>
    </xdr:sp>
    <xdr:clientData/>
  </xdr:twoCellAnchor>
  <xdr:twoCellAnchor>
    <xdr:from>
      <xdr:col>13</xdr:col>
      <xdr:colOff>205740</xdr:colOff>
      <xdr:row>1</xdr:row>
      <xdr:rowOff>144779</xdr:rowOff>
    </xdr:from>
    <xdr:to>
      <xdr:col>13</xdr:col>
      <xdr:colOff>565740</xdr:colOff>
      <xdr:row>3</xdr:row>
      <xdr:rowOff>113196</xdr:rowOff>
    </xdr:to>
    <xdr:sp macro="[0]!Actualizar" textlink="">
      <xdr:nvSpPr>
        <xdr:cNvPr id="2" name="Elipse 1">
          <a:extLst>
            <a:ext uri="{FF2B5EF4-FFF2-40B4-BE49-F238E27FC236}">
              <a16:creationId xmlns:a16="http://schemas.microsoft.com/office/drawing/2014/main" id="{00000000-0008-0000-0A00-000002000000}"/>
            </a:ext>
          </a:extLst>
        </xdr:cNvPr>
        <xdr:cNvSpPr>
          <a:spLocks noChangeAspect="1"/>
        </xdr:cNvSpPr>
      </xdr:nvSpPr>
      <xdr:spPr>
        <a:xfrm>
          <a:off x="13318490" y="673946"/>
          <a:ext cx="360000" cy="360000"/>
        </a:xfrm>
        <a:prstGeom prst="ellipse">
          <a:avLst/>
        </a:prstGeom>
        <a:solidFill>
          <a:srgbClr val="5F2987"/>
        </a:solidFill>
        <a:ln>
          <a:noFill/>
        </a:ln>
        <a:scene3d>
          <a:camera prst="orthographicFront"/>
          <a:lightRig rig="balanced" dir="t"/>
        </a:scene3d>
        <a:sp3d extrusionH="76200" prstMaterial="plastic">
          <a:bevelT/>
          <a:extrusionClr>
            <a:schemeClr val="accent6">
              <a:lumMod val="20000"/>
              <a:lumOff val="80000"/>
            </a:schemeClr>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50799</xdr:rowOff>
    </xdr:from>
    <xdr:to>
      <xdr:col>0</xdr:col>
      <xdr:colOff>360000</xdr:colOff>
      <xdr:row>2</xdr:row>
      <xdr:rowOff>95599</xdr:rowOff>
    </xdr:to>
    <xdr:sp macro="" textlink="">
      <xdr:nvSpPr>
        <xdr:cNvPr id="3" name="Diagrama de flujo: operación manual 2">
          <a:hlinkClick xmlns:r="http://schemas.openxmlformats.org/officeDocument/2006/relationships" r:id="rId2" tooltip="Menú"/>
          <a:extLst>
            <a:ext uri="{FF2B5EF4-FFF2-40B4-BE49-F238E27FC236}">
              <a16:creationId xmlns:a16="http://schemas.microsoft.com/office/drawing/2014/main" id="{00000000-0008-0000-0A00-000003000000}"/>
            </a:ext>
          </a:extLst>
        </xdr:cNvPr>
        <xdr:cNvSpPr/>
      </xdr:nvSpPr>
      <xdr:spPr>
        <a:xfrm rot="16200000">
          <a:off x="-198000" y="248799"/>
          <a:ext cx="756000"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1</xdr:colOff>
      <xdr:row>1</xdr:row>
      <xdr:rowOff>67734</xdr:rowOff>
    </xdr:from>
    <xdr:to>
      <xdr:col>0</xdr:col>
      <xdr:colOff>360001</xdr:colOff>
      <xdr:row>7</xdr:row>
      <xdr:rowOff>124980</xdr:rowOff>
    </xdr:to>
    <xdr:sp macro="" textlink="">
      <xdr:nvSpPr>
        <xdr:cNvPr id="4" name="Diagrama de flujo: operación manual 3">
          <a:hlinkClick xmlns:r="http://schemas.openxmlformats.org/officeDocument/2006/relationships" r:id="rId3" tooltip="Simulador de sorteos"/>
          <a:extLst>
            <a:ext uri="{FF2B5EF4-FFF2-40B4-BE49-F238E27FC236}">
              <a16:creationId xmlns:a16="http://schemas.microsoft.com/office/drawing/2014/main" id="{00000000-0008-0000-0A00-000004000000}"/>
            </a:ext>
          </a:extLst>
        </xdr:cNvPr>
        <xdr:cNvSpPr/>
      </xdr:nvSpPr>
      <xdr:spPr>
        <a:xfrm rot="16200000">
          <a:off x="-551356" y="1144024"/>
          <a:ext cx="1462713" cy="360000"/>
        </a:xfrm>
        <a:prstGeom prst="flowChartManualOperation">
          <a:avLst/>
        </a:prstGeom>
        <a:solidFill>
          <a:srgbClr val="FFFF6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Simulador de sorteos</a:t>
          </a:r>
        </a:p>
      </xdr:txBody>
    </xdr:sp>
    <xdr:clientData/>
  </xdr:twoCellAnchor>
  <xdr:twoCellAnchor editAs="oneCell">
    <xdr:from>
      <xdr:col>0</xdr:col>
      <xdr:colOff>482600</xdr:colOff>
      <xdr:row>0</xdr:row>
      <xdr:rowOff>33865</xdr:rowOff>
    </xdr:from>
    <xdr:to>
      <xdr:col>2</xdr:col>
      <xdr:colOff>14393</xdr:colOff>
      <xdr:row>0</xdr:row>
      <xdr:rowOff>469898</xdr:rowOff>
    </xdr:to>
    <xdr:pic>
      <xdr:nvPicPr>
        <xdr:cNvPr id="6" name="Gráfico 5" descr="Atrás con relleno sólido">
          <a:hlinkClick xmlns:r="http://schemas.openxmlformats.org/officeDocument/2006/relationships" r:id="rId4" tooltip="Probabilidades"/>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82600" y="33865"/>
          <a:ext cx="446193" cy="43603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163377</xdr:colOff>
      <xdr:row>4</xdr:row>
      <xdr:rowOff>93979</xdr:rowOff>
    </xdr:from>
    <xdr:to>
      <xdr:col>10</xdr:col>
      <xdr:colOff>430077</xdr:colOff>
      <xdr:row>4</xdr:row>
      <xdr:rowOff>375919</xdr:rowOff>
    </xdr:to>
    <xdr:sp macro="[0]!Actualizar" textlink="">
      <xdr:nvSpPr>
        <xdr:cNvPr id="2" name="Elipse 1">
          <a:extLst>
            <a:ext uri="{FF2B5EF4-FFF2-40B4-BE49-F238E27FC236}">
              <a16:creationId xmlns:a16="http://schemas.microsoft.com/office/drawing/2014/main" id="{00000000-0008-0000-0B00-000002000000}"/>
            </a:ext>
          </a:extLst>
        </xdr:cNvPr>
        <xdr:cNvSpPr>
          <a:spLocks noChangeAspect="1"/>
        </xdr:cNvSpPr>
      </xdr:nvSpPr>
      <xdr:spPr>
        <a:xfrm>
          <a:off x="15894444" y="813646"/>
          <a:ext cx="266700" cy="281940"/>
        </a:xfrm>
        <a:prstGeom prst="ellipse">
          <a:avLst/>
        </a:prstGeom>
        <a:solidFill>
          <a:srgbClr val="5F2987"/>
        </a:solidFill>
        <a:ln>
          <a:noFill/>
        </a:ln>
        <a:scene3d>
          <a:camera prst="orthographicFront"/>
          <a:lightRig rig="balanced" dir="t"/>
        </a:scene3d>
        <a:sp3d extrusionH="76200" prstMaterial="plastic">
          <a:bevelT/>
          <a:extrusionClr>
            <a:schemeClr val="accent6">
              <a:lumMod val="20000"/>
              <a:lumOff val="80000"/>
            </a:schemeClr>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8467</xdr:colOff>
      <xdr:row>0</xdr:row>
      <xdr:rowOff>84665</xdr:rowOff>
    </xdr:from>
    <xdr:to>
      <xdr:col>0</xdr:col>
      <xdr:colOff>368467</xdr:colOff>
      <xdr:row>4</xdr:row>
      <xdr:rowOff>95599</xdr:rowOff>
    </xdr:to>
    <xdr:sp macro="" textlink="">
      <xdr:nvSpPr>
        <xdr:cNvPr id="3" name="Diagrama de flujo: operación manual 2">
          <a:hlinkClick xmlns:r="http://schemas.openxmlformats.org/officeDocument/2006/relationships" r:id="rId1" tooltip="Menú"/>
          <a:extLst>
            <a:ext uri="{FF2B5EF4-FFF2-40B4-BE49-F238E27FC236}">
              <a16:creationId xmlns:a16="http://schemas.microsoft.com/office/drawing/2014/main" id="{00000000-0008-0000-0B00-000003000000}"/>
            </a:ext>
          </a:extLst>
        </xdr:cNvPr>
        <xdr:cNvSpPr/>
      </xdr:nvSpPr>
      <xdr:spPr>
        <a:xfrm rot="16200000">
          <a:off x="-193767" y="286899"/>
          <a:ext cx="764467"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8469</xdr:colOff>
      <xdr:row>3</xdr:row>
      <xdr:rowOff>93134</xdr:rowOff>
    </xdr:from>
    <xdr:to>
      <xdr:col>0</xdr:col>
      <xdr:colOff>368469</xdr:colOff>
      <xdr:row>11</xdr:row>
      <xdr:rowOff>57247</xdr:rowOff>
    </xdr:to>
    <xdr:sp macro="" textlink="">
      <xdr:nvSpPr>
        <xdr:cNvPr id="5" name="Diagrama de flujo: operación manual 4">
          <a:hlinkClick xmlns:r="http://schemas.openxmlformats.org/officeDocument/2006/relationships" r:id="rId2" tooltip="Simulador de sorteos"/>
          <a:extLst>
            <a:ext uri="{FF2B5EF4-FFF2-40B4-BE49-F238E27FC236}">
              <a16:creationId xmlns:a16="http://schemas.microsoft.com/office/drawing/2014/main" id="{00000000-0008-0000-0B00-000005000000}"/>
            </a:ext>
          </a:extLst>
        </xdr:cNvPr>
        <xdr:cNvSpPr/>
      </xdr:nvSpPr>
      <xdr:spPr>
        <a:xfrm rot="16200000">
          <a:off x="-716454" y="1376857"/>
          <a:ext cx="1809846" cy="360000"/>
        </a:xfrm>
        <a:prstGeom prst="flowChartManualOperation">
          <a:avLst/>
        </a:prstGeom>
        <a:solidFill>
          <a:srgbClr val="FFFFCC"/>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Simulador de sorteos</a:t>
          </a:r>
        </a:p>
      </xdr:txBody>
    </xdr:sp>
    <xdr:clientData/>
  </xdr:twoCellAnchor>
  <xdr:twoCellAnchor>
    <xdr:from>
      <xdr:col>0</xdr:col>
      <xdr:colOff>8469</xdr:colOff>
      <xdr:row>10</xdr:row>
      <xdr:rowOff>25399</xdr:rowOff>
    </xdr:from>
    <xdr:to>
      <xdr:col>0</xdr:col>
      <xdr:colOff>368469</xdr:colOff>
      <xdr:row>17</xdr:row>
      <xdr:rowOff>184248</xdr:rowOff>
    </xdr:to>
    <xdr:sp macro="" textlink="">
      <xdr:nvSpPr>
        <xdr:cNvPr id="6" name="Diagrama de flujo: operación manual 5">
          <a:hlinkClick xmlns:r="http://schemas.openxmlformats.org/officeDocument/2006/relationships" r:id="rId3" tooltip="Simulador de sorteos"/>
          <a:extLst>
            <a:ext uri="{FF2B5EF4-FFF2-40B4-BE49-F238E27FC236}">
              <a16:creationId xmlns:a16="http://schemas.microsoft.com/office/drawing/2014/main" id="{00000000-0008-0000-0B00-000006000000}"/>
            </a:ext>
          </a:extLst>
        </xdr:cNvPr>
        <xdr:cNvSpPr/>
      </xdr:nvSpPr>
      <xdr:spPr>
        <a:xfrm rot="16200000">
          <a:off x="-542889" y="2795024"/>
          <a:ext cx="1462715" cy="360000"/>
        </a:xfrm>
        <a:prstGeom prst="flowChartManualOperation">
          <a:avLst/>
        </a:prstGeom>
        <a:solidFill>
          <a:srgbClr val="FFFF6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rgbClr val="5F2987"/>
              </a:solidFill>
              <a:latin typeface="Abadi Extra Light" panose="020B0204020104020204" pitchFamily="34" charset="0"/>
            </a:rPr>
            <a:t>Sorteo de</a:t>
          </a:r>
          <a:r>
            <a:rPr lang="es-ES" sz="800" baseline="0">
              <a:solidFill>
                <a:srgbClr val="5F2987"/>
              </a:solidFill>
              <a:latin typeface="Abadi Extra Light" panose="020B0204020104020204" pitchFamily="34" charset="0"/>
            </a:rPr>
            <a:t> temas predefinidos</a:t>
          </a:r>
          <a:endParaRPr lang="es-ES" sz="800">
            <a:solidFill>
              <a:srgbClr val="5F2987"/>
            </a:solidFill>
            <a:latin typeface="Abadi Extra Light" panose="020B0204020104020204" pitchFamily="34" charset="0"/>
          </a:endParaRPr>
        </a:p>
      </xdr:txBody>
    </xdr:sp>
    <xdr:clientData/>
  </xdr:twoCellAnchor>
  <xdr:twoCellAnchor editAs="oneCell">
    <xdr:from>
      <xdr:col>0</xdr:col>
      <xdr:colOff>491066</xdr:colOff>
      <xdr:row>0</xdr:row>
      <xdr:rowOff>76199</xdr:rowOff>
    </xdr:from>
    <xdr:to>
      <xdr:col>2</xdr:col>
      <xdr:colOff>22859</xdr:colOff>
      <xdr:row>2</xdr:row>
      <xdr:rowOff>131232</xdr:rowOff>
    </xdr:to>
    <xdr:pic>
      <xdr:nvPicPr>
        <xdr:cNvPr id="7" name="Gráfico 6" descr="Atrás con relleno sólido">
          <a:hlinkClick xmlns:r="http://schemas.openxmlformats.org/officeDocument/2006/relationships" r:id="rId4" tooltip="Probabilidades"/>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1066" y="76199"/>
          <a:ext cx="446193" cy="43603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3</xdr:row>
      <xdr:rowOff>28262</xdr:rowOff>
    </xdr:from>
    <xdr:to>
      <xdr:col>0</xdr:col>
      <xdr:colOff>360000</xdr:colOff>
      <xdr:row>14</xdr:row>
      <xdr:rowOff>152402</xdr:rowOff>
    </xdr:to>
    <xdr:sp macro="" textlink="">
      <xdr:nvSpPr>
        <xdr:cNvPr id="2" name="Diagrama de flujo: operación manual 1">
          <a:hlinkClick xmlns:r="http://schemas.openxmlformats.org/officeDocument/2006/relationships" r:id="rId1" tooltip="Listado de temas"/>
          <a:extLst>
            <a:ext uri="{FF2B5EF4-FFF2-40B4-BE49-F238E27FC236}">
              <a16:creationId xmlns:a16="http://schemas.microsoft.com/office/drawing/2014/main" id="{00000000-0008-0000-0C00-000002000000}"/>
            </a:ext>
          </a:extLst>
        </xdr:cNvPr>
        <xdr:cNvSpPr/>
      </xdr:nvSpPr>
      <xdr:spPr>
        <a:xfrm rot="16200000">
          <a:off x="-846000" y="1400042"/>
          <a:ext cx="2052000" cy="360000"/>
        </a:xfrm>
        <a:prstGeom prst="flowChartManualOperation">
          <a:avLst/>
        </a:prstGeom>
        <a:solidFill>
          <a:schemeClr val="accent5">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Listado</a:t>
          </a:r>
          <a:r>
            <a:rPr lang="es-ES" sz="900" baseline="0">
              <a:solidFill>
                <a:srgbClr val="5F2987"/>
              </a:solidFill>
              <a:latin typeface="Abadi Extra Light" panose="020B0204020104020204" pitchFamily="34" charset="0"/>
            </a:rPr>
            <a:t> de tem</a:t>
          </a:r>
          <a:r>
            <a:rPr lang="es-ES" sz="900">
              <a:solidFill>
                <a:srgbClr val="5F2987"/>
              </a:solidFill>
              <a:latin typeface="Abadi Extra Light" panose="020B0204020104020204" pitchFamily="34" charset="0"/>
            </a:rPr>
            <a:t>as</a:t>
          </a:r>
        </a:p>
      </xdr:txBody>
    </xdr:sp>
    <xdr:clientData/>
  </xdr:twoCellAnchor>
  <xdr:twoCellAnchor>
    <xdr:from>
      <xdr:col>0</xdr:col>
      <xdr:colOff>0</xdr:colOff>
      <xdr:row>12</xdr:row>
      <xdr:rowOff>5399</xdr:rowOff>
    </xdr:from>
    <xdr:to>
      <xdr:col>0</xdr:col>
      <xdr:colOff>360000</xdr:colOff>
      <xdr:row>23</xdr:row>
      <xdr:rowOff>129539</xdr:rowOff>
    </xdr:to>
    <xdr:sp macro="" textlink="">
      <xdr:nvSpPr>
        <xdr:cNvPr id="3" name="Diagrama de flujo: operación manual 2">
          <a:hlinkClick xmlns:r="http://schemas.openxmlformats.org/officeDocument/2006/relationships" r:id="rId2" tooltip="Tabla dinámica temas"/>
          <a:extLst>
            <a:ext uri="{FF2B5EF4-FFF2-40B4-BE49-F238E27FC236}">
              <a16:creationId xmlns:a16="http://schemas.microsoft.com/office/drawing/2014/main" id="{00000000-0008-0000-0C00-000003000000}"/>
            </a:ext>
          </a:extLst>
        </xdr:cNvPr>
        <xdr:cNvSpPr/>
      </xdr:nvSpPr>
      <xdr:spPr>
        <a:xfrm rot="16200000">
          <a:off x="-846000" y="2954519"/>
          <a:ext cx="2052000" cy="360000"/>
        </a:xfrm>
        <a:prstGeom prst="flowChartManualOperation">
          <a:avLst/>
        </a:prstGeom>
        <a:solidFill>
          <a:schemeClr val="accent5">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Tabla dinámica temas</a:t>
          </a:r>
        </a:p>
      </xdr:txBody>
    </xdr:sp>
    <xdr:clientData/>
  </xdr:twoCellAnchor>
  <xdr:twoCellAnchor>
    <xdr:from>
      <xdr:col>1</xdr:col>
      <xdr:colOff>167640</xdr:colOff>
      <xdr:row>4</xdr:row>
      <xdr:rowOff>83820</xdr:rowOff>
    </xdr:from>
    <xdr:to>
      <xdr:col>10</xdr:col>
      <xdr:colOff>411480</xdr:colOff>
      <xdr:row>27</xdr:row>
      <xdr:rowOff>144780</xdr:rowOff>
    </xdr:to>
    <xdr:graphicFrame macro="">
      <xdr:nvGraphicFramePr>
        <xdr:cNvPr id="4" name="Diagrama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0</xdr:col>
      <xdr:colOff>1</xdr:colOff>
      <xdr:row>0</xdr:row>
      <xdr:rowOff>0</xdr:rowOff>
    </xdr:from>
    <xdr:to>
      <xdr:col>0</xdr:col>
      <xdr:colOff>360001</xdr:colOff>
      <xdr:row>4</xdr:row>
      <xdr:rowOff>24480</xdr:rowOff>
    </xdr:to>
    <xdr:sp macro="" textlink="">
      <xdr:nvSpPr>
        <xdr:cNvPr id="5" name="Diagrama de flujo: operación manual 4">
          <a:hlinkClick xmlns:r="http://schemas.openxmlformats.org/officeDocument/2006/relationships" r:id="rId8" tooltip="Menú"/>
          <a:extLst>
            <a:ext uri="{FF2B5EF4-FFF2-40B4-BE49-F238E27FC236}">
              <a16:creationId xmlns:a16="http://schemas.microsoft.com/office/drawing/2014/main" id="{00000000-0008-0000-0C00-000005000000}"/>
            </a:ext>
          </a:extLst>
        </xdr:cNvPr>
        <xdr:cNvSpPr/>
      </xdr:nvSpPr>
      <xdr:spPr>
        <a:xfrm rot="16200000">
          <a:off x="-182759" y="182760"/>
          <a:ext cx="725520" cy="360000"/>
        </a:xfrm>
        <a:prstGeom prst="flowChartManualOperation">
          <a:avLst/>
        </a:prstGeom>
        <a:solidFill>
          <a:schemeClr val="accent6">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360001</xdr:colOff>
      <xdr:row>1</xdr:row>
      <xdr:rowOff>428340</xdr:rowOff>
    </xdr:to>
    <xdr:sp macro="" textlink="">
      <xdr:nvSpPr>
        <xdr:cNvPr id="17" name="Diagrama de flujo: operación manual 16">
          <a:hlinkClick xmlns:r="http://schemas.openxmlformats.org/officeDocument/2006/relationships" r:id="rId1" tooltip="Menú"/>
          <a:extLst>
            <a:ext uri="{FF2B5EF4-FFF2-40B4-BE49-F238E27FC236}">
              <a16:creationId xmlns:a16="http://schemas.microsoft.com/office/drawing/2014/main" id="{00000000-0008-0000-0D00-000011000000}"/>
            </a:ext>
          </a:extLst>
        </xdr:cNvPr>
        <xdr:cNvSpPr/>
      </xdr:nvSpPr>
      <xdr:spPr>
        <a:xfrm rot="16200000">
          <a:off x="-182759" y="182760"/>
          <a:ext cx="725520"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0</xdr:colOff>
      <xdr:row>8</xdr:row>
      <xdr:rowOff>35879</xdr:rowOff>
    </xdr:from>
    <xdr:to>
      <xdr:col>0</xdr:col>
      <xdr:colOff>360000</xdr:colOff>
      <xdr:row>19</xdr:row>
      <xdr:rowOff>160019</xdr:rowOff>
    </xdr:to>
    <xdr:sp macro="" textlink="">
      <xdr:nvSpPr>
        <xdr:cNvPr id="16" name="Diagrama de flujo: operación manual 15">
          <a:hlinkClick xmlns:r="http://schemas.openxmlformats.org/officeDocument/2006/relationships" r:id="rId2" tooltip="Tabla dinámica temas"/>
          <a:extLst>
            <a:ext uri="{FF2B5EF4-FFF2-40B4-BE49-F238E27FC236}">
              <a16:creationId xmlns:a16="http://schemas.microsoft.com/office/drawing/2014/main" id="{00000000-0008-0000-0D00-000010000000}"/>
            </a:ext>
          </a:extLst>
        </xdr:cNvPr>
        <xdr:cNvSpPr/>
      </xdr:nvSpPr>
      <xdr:spPr>
        <a:xfrm rot="16200000">
          <a:off x="-846000" y="2954519"/>
          <a:ext cx="2052000" cy="360000"/>
        </a:xfrm>
        <a:prstGeom prst="flowChartManualOperation">
          <a:avLst/>
        </a:prstGeom>
        <a:solidFill>
          <a:schemeClr val="accent5">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Tabla dinámica temas</a:t>
          </a:r>
        </a:p>
      </xdr:txBody>
    </xdr:sp>
    <xdr:clientData/>
  </xdr:twoCellAnchor>
  <xdr:twoCellAnchor>
    <xdr:from>
      <xdr:col>0</xdr:col>
      <xdr:colOff>0</xdr:colOff>
      <xdr:row>1</xdr:row>
      <xdr:rowOff>256862</xdr:rowOff>
    </xdr:from>
    <xdr:to>
      <xdr:col>0</xdr:col>
      <xdr:colOff>360000</xdr:colOff>
      <xdr:row>11</xdr:row>
      <xdr:rowOff>7622</xdr:rowOff>
    </xdr:to>
    <xdr:sp macro="" textlink="">
      <xdr:nvSpPr>
        <xdr:cNvPr id="15" name="Diagrama de flujo: operación manual 14">
          <a:hlinkClick xmlns:r="http://schemas.openxmlformats.org/officeDocument/2006/relationships" r:id="rId3" tooltip="Listado de temas"/>
          <a:extLst>
            <a:ext uri="{FF2B5EF4-FFF2-40B4-BE49-F238E27FC236}">
              <a16:creationId xmlns:a16="http://schemas.microsoft.com/office/drawing/2014/main" id="{00000000-0008-0000-0D00-00000F000000}"/>
            </a:ext>
          </a:extLst>
        </xdr:cNvPr>
        <xdr:cNvSpPr/>
      </xdr:nvSpPr>
      <xdr:spPr>
        <a:xfrm rot="16200000">
          <a:off x="-846000" y="1400042"/>
          <a:ext cx="2052000" cy="360000"/>
        </a:xfrm>
        <a:prstGeom prst="flowChartManualOperation">
          <a:avLst/>
        </a:prstGeom>
        <a:solidFill>
          <a:schemeClr val="accent5">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Listado</a:t>
          </a:r>
          <a:r>
            <a:rPr lang="es-ES" sz="900" baseline="0">
              <a:solidFill>
                <a:srgbClr val="5F2987"/>
              </a:solidFill>
              <a:latin typeface="Abadi Extra Light" panose="020B0204020104020204" pitchFamily="34" charset="0"/>
            </a:rPr>
            <a:t> de tem</a:t>
          </a:r>
          <a:r>
            <a:rPr lang="es-ES" sz="900">
              <a:solidFill>
                <a:srgbClr val="5F2987"/>
              </a:solidFill>
              <a:latin typeface="Abadi Extra Light" panose="020B0204020104020204" pitchFamily="34" charset="0"/>
            </a:rPr>
            <a:t>as</a:t>
          </a:r>
        </a:p>
      </xdr:txBody>
    </xdr:sp>
    <xdr:clientData/>
  </xdr:twoCellAnchor>
  <xdr:twoCellAnchor editAs="oneCell">
    <xdr:from>
      <xdr:col>0</xdr:col>
      <xdr:colOff>419100</xdr:colOff>
      <xdr:row>0</xdr:row>
      <xdr:rowOff>22860</xdr:rowOff>
    </xdr:from>
    <xdr:to>
      <xdr:col>4</xdr:col>
      <xdr:colOff>441960</xdr:colOff>
      <xdr:row>1</xdr:row>
      <xdr:rowOff>167640</xdr:rowOff>
    </xdr:to>
    <xdr:pic>
      <xdr:nvPicPr>
        <xdr:cNvPr id="6" name="Gráfico 5" descr="Atrás con relleno sólido">
          <a:hlinkClick xmlns:r="http://schemas.openxmlformats.org/officeDocument/2006/relationships" r:id="rId4" tooltip="Temario"/>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19100" y="22860"/>
          <a:ext cx="441960" cy="44196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360001</xdr:colOff>
      <xdr:row>4</xdr:row>
      <xdr:rowOff>1620</xdr:rowOff>
    </xdr:to>
    <xdr:sp macro="" textlink="">
      <xdr:nvSpPr>
        <xdr:cNvPr id="8" name="Diagrama de flujo: operación manual 7">
          <a:hlinkClick xmlns:r="http://schemas.openxmlformats.org/officeDocument/2006/relationships" r:id="rId1" tooltip="Menú"/>
          <a:extLst>
            <a:ext uri="{FF2B5EF4-FFF2-40B4-BE49-F238E27FC236}">
              <a16:creationId xmlns:a16="http://schemas.microsoft.com/office/drawing/2014/main" id="{00000000-0008-0000-0E00-000008000000}"/>
            </a:ext>
          </a:extLst>
        </xdr:cNvPr>
        <xdr:cNvSpPr/>
      </xdr:nvSpPr>
      <xdr:spPr>
        <a:xfrm rot="16200000">
          <a:off x="-182759" y="182760"/>
          <a:ext cx="725520"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0</xdr:colOff>
      <xdr:row>3</xdr:row>
      <xdr:rowOff>13022</xdr:rowOff>
    </xdr:from>
    <xdr:to>
      <xdr:col>0</xdr:col>
      <xdr:colOff>360000</xdr:colOff>
      <xdr:row>14</xdr:row>
      <xdr:rowOff>53342</xdr:rowOff>
    </xdr:to>
    <xdr:sp macro="" textlink="">
      <xdr:nvSpPr>
        <xdr:cNvPr id="6" name="Diagrama de flujo: operación manual 5">
          <a:hlinkClick xmlns:r="http://schemas.openxmlformats.org/officeDocument/2006/relationships" r:id="rId2" tooltip="Listado de temas"/>
          <a:extLst>
            <a:ext uri="{FF2B5EF4-FFF2-40B4-BE49-F238E27FC236}">
              <a16:creationId xmlns:a16="http://schemas.microsoft.com/office/drawing/2014/main" id="{00000000-0008-0000-0E00-000006000000}"/>
            </a:ext>
          </a:extLst>
        </xdr:cNvPr>
        <xdr:cNvSpPr/>
      </xdr:nvSpPr>
      <xdr:spPr>
        <a:xfrm rot="16200000">
          <a:off x="-846000" y="1400042"/>
          <a:ext cx="2052000" cy="360000"/>
        </a:xfrm>
        <a:prstGeom prst="flowChartManualOperation">
          <a:avLst/>
        </a:prstGeom>
        <a:solidFill>
          <a:schemeClr val="accent5">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Listado</a:t>
          </a:r>
          <a:r>
            <a:rPr lang="es-ES" sz="900" baseline="0">
              <a:solidFill>
                <a:srgbClr val="5F2987"/>
              </a:solidFill>
              <a:latin typeface="Abadi Extra Light" panose="020B0204020104020204" pitchFamily="34" charset="0"/>
            </a:rPr>
            <a:t> de tem</a:t>
          </a:r>
          <a:r>
            <a:rPr lang="es-ES" sz="900">
              <a:solidFill>
                <a:srgbClr val="5F2987"/>
              </a:solidFill>
              <a:latin typeface="Abadi Extra Light" panose="020B0204020104020204" pitchFamily="34" charset="0"/>
            </a:rPr>
            <a:t>as</a:t>
          </a:r>
        </a:p>
      </xdr:txBody>
    </xdr:sp>
    <xdr:clientData/>
  </xdr:twoCellAnchor>
  <xdr:twoCellAnchor>
    <xdr:from>
      <xdr:col>0</xdr:col>
      <xdr:colOff>0</xdr:colOff>
      <xdr:row>11</xdr:row>
      <xdr:rowOff>104459</xdr:rowOff>
    </xdr:from>
    <xdr:to>
      <xdr:col>0</xdr:col>
      <xdr:colOff>360000</xdr:colOff>
      <xdr:row>22</xdr:row>
      <xdr:rowOff>144779</xdr:rowOff>
    </xdr:to>
    <xdr:sp macro="" textlink="">
      <xdr:nvSpPr>
        <xdr:cNvPr id="7" name="Diagrama de flujo: operación manual 6">
          <a:hlinkClick xmlns:r="http://schemas.openxmlformats.org/officeDocument/2006/relationships" r:id="rId3" tooltip="Tabla dinámica temas"/>
          <a:extLst>
            <a:ext uri="{FF2B5EF4-FFF2-40B4-BE49-F238E27FC236}">
              <a16:creationId xmlns:a16="http://schemas.microsoft.com/office/drawing/2014/main" id="{00000000-0008-0000-0E00-000007000000}"/>
            </a:ext>
          </a:extLst>
        </xdr:cNvPr>
        <xdr:cNvSpPr/>
      </xdr:nvSpPr>
      <xdr:spPr>
        <a:xfrm rot="16200000">
          <a:off x="-846000" y="2954519"/>
          <a:ext cx="2052000" cy="360000"/>
        </a:xfrm>
        <a:prstGeom prst="flowChartManualOperation">
          <a:avLst/>
        </a:prstGeom>
        <a:solidFill>
          <a:schemeClr val="accent5">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Tabla dinámica temas</a:t>
          </a:r>
        </a:p>
      </xdr:txBody>
    </xdr:sp>
    <xdr:clientData/>
  </xdr:twoCellAnchor>
  <xdr:twoCellAnchor editAs="oneCell">
    <xdr:from>
      <xdr:col>0</xdr:col>
      <xdr:colOff>403860</xdr:colOff>
      <xdr:row>0</xdr:row>
      <xdr:rowOff>22860</xdr:rowOff>
    </xdr:from>
    <xdr:to>
      <xdr:col>1</xdr:col>
      <xdr:colOff>53340</xdr:colOff>
      <xdr:row>2</xdr:row>
      <xdr:rowOff>106680</xdr:rowOff>
    </xdr:to>
    <xdr:pic>
      <xdr:nvPicPr>
        <xdr:cNvPr id="10" name="Gráfico 9" descr="Atrás con relleno sólido">
          <a:hlinkClick xmlns:r="http://schemas.openxmlformats.org/officeDocument/2006/relationships" r:id="rId4" tooltip="Temari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3860" y="22860"/>
          <a:ext cx="441960" cy="44196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3</xdr:row>
      <xdr:rowOff>28262</xdr:rowOff>
    </xdr:from>
    <xdr:to>
      <xdr:col>0</xdr:col>
      <xdr:colOff>360000</xdr:colOff>
      <xdr:row>14</xdr:row>
      <xdr:rowOff>152402</xdr:rowOff>
    </xdr:to>
    <xdr:sp macro="" textlink="">
      <xdr:nvSpPr>
        <xdr:cNvPr id="2" name="Diagrama de flujo: operación manual 1">
          <a:hlinkClick xmlns:r="http://schemas.openxmlformats.org/officeDocument/2006/relationships" r:id="rId1" tooltip="Calendario-cronograma"/>
          <a:extLst>
            <a:ext uri="{FF2B5EF4-FFF2-40B4-BE49-F238E27FC236}">
              <a16:creationId xmlns:a16="http://schemas.microsoft.com/office/drawing/2014/main" id="{00000000-0008-0000-1000-000002000000}"/>
            </a:ext>
          </a:extLst>
        </xdr:cNvPr>
        <xdr:cNvSpPr/>
      </xdr:nvSpPr>
      <xdr:spPr>
        <a:xfrm rot="16200000">
          <a:off x="-846000" y="1400042"/>
          <a:ext cx="2052000" cy="360000"/>
        </a:xfrm>
        <a:prstGeom prst="flowChartManualOperation">
          <a:avLst/>
        </a:prstGeom>
        <a:solidFill>
          <a:srgbClr val="FFCCCC"/>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Calendario-cronograma</a:t>
          </a:r>
        </a:p>
      </xdr:txBody>
    </xdr:sp>
    <xdr:clientData/>
  </xdr:twoCellAnchor>
  <xdr:twoCellAnchor>
    <xdr:from>
      <xdr:col>0</xdr:col>
      <xdr:colOff>0</xdr:colOff>
      <xdr:row>12</xdr:row>
      <xdr:rowOff>5399</xdr:rowOff>
    </xdr:from>
    <xdr:to>
      <xdr:col>0</xdr:col>
      <xdr:colOff>360000</xdr:colOff>
      <xdr:row>23</xdr:row>
      <xdr:rowOff>129539</xdr:rowOff>
    </xdr:to>
    <xdr:sp macro="" textlink="">
      <xdr:nvSpPr>
        <xdr:cNvPr id="6" name="Diagrama de flujo: operación manual 5">
          <a:hlinkClick xmlns:r="http://schemas.openxmlformats.org/officeDocument/2006/relationships" r:id="rId2" tooltip="Horario de estudio"/>
          <a:extLst>
            <a:ext uri="{FF2B5EF4-FFF2-40B4-BE49-F238E27FC236}">
              <a16:creationId xmlns:a16="http://schemas.microsoft.com/office/drawing/2014/main" id="{00000000-0008-0000-1000-000006000000}"/>
            </a:ext>
          </a:extLst>
        </xdr:cNvPr>
        <xdr:cNvSpPr/>
      </xdr:nvSpPr>
      <xdr:spPr>
        <a:xfrm rot="16200000">
          <a:off x="-846000" y="2954519"/>
          <a:ext cx="2052000" cy="360000"/>
        </a:xfrm>
        <a:prstGeom prst="flowChartManualOperation">
          <a:avLst/>
        </a:prstGeom>
        <a:solidFill>
          <a:srgbClr val="FFCCCC"/>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Horario de estudio</a:t>
          </a:r>
        </a:p>
      </xdr:txBody>
    </xdr:sp>
    <xdr:clientData/>
  </xdr:twoCellAnchor>
  <xdr:twoCellAnchor>
    <xdr:from>
      <xdr:col>1</xdr:col>
      <xdr:colOff>167640</xdr:colOff>
      <xdr:row>4</xdr:row>
      <xdr:rowOff>83820</xdr:rowOff>
    </xdr:from>
    <xdr:to>
      <xdr:col>9</xdr:col>
      <xdr:colOff>22860</xdr:colOff>
      <xdr:row>27</xdr:row>
      <xdr:rowOff>144780</xdr:rowOff>
    </xdr:to>
    <xdr:graphicFrame macro="">
      <xdr:nvGraphicFramePr>
        <xdr:cNvPr id="7" name="Diagrama 6">
          <a:extLst>
            <a:ext uri="{FF2B5EF4-FFF2-40B4-BE49-F238E27FC236}">
              <a16:creationId xmlns:a16="http://schemas.microsoft.com/office/drawing/2014/main" id="{00000000-0008-0000-1000-000007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0</xdr:col>
      <xdr:colOff>1</xdr:colOff>
      <xdr:row>0</xdr:row>
      <xdr:rowOff>0</xdr:rowOff>
    </xdr:from>
    <xdr:to>
      <xdr:col>0</xdr:col>
      <xdr:colOff>360001</xdr:colOff>
      <xdr:row>4</xdr:row>
      <xdr:rowOff>24480</xdr:rowOff>
    </xdr:to>
    <xdr:sp macro="" textlink="">
      <xdr:nvSpPr>
        <xdr:cNvPr id="8" name="Diagrama de flujo: operación manual 7">
          <a:hlinkClick xmlns:r="http://schemas.openxmlformats.org/officeDocument/2006/relationships" r:id="rId8" tooltip="Menú"/>
          <a:extLst>
            <a:ext uri="{FF2B5EF4-FFF2-40B4-BE49-F238E27FC236}">
              <a16:creationId xmlns:a16="http://schemas.microsoft.com/office/drawing/2014/main" id="{00000000-0008-0000-1000-000008000000}"/>
            </a:ext>
          </a:extLst>
        </xdr:cNvPr>
        <xdr:cNvSpPr/>
      </xdr:nvSpPr>
      <xdr:spPr>
        <a:xfrm rot="16200000">
          <a:off x="-182759" y="182760"/>
          <a:ext cx="725520" cy="360000"/>
        </a:xfrm>
        <a:prstGeom prst="flowChartManualOperation">
          <a:avLst/>
        </a:prstGeom>
        <a:solidFill>
          <a:schemeClr val="accent6">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351905</xdr:colOff>
      <xdr:row>4</xdr:row>
      <xdr:rowOff>24480</xdr:rowOff>
    </xdr:to>
    <xdr:sp macro="" textlink="">
      <xdr:nvSpPr>
        <xdr:cNvPr id="2" name="Diagrama de flujo: operación manual 1">
          <a:hlinkClick xmlns:r="http://schemas.openxmlformats.org/officeDocument/2006/relationships" r:id="rId1" tooltip="Menú"/>
          <a:extLst>
            <a:ext uri="{FF2B5EF4-FFF2-40B4-BE49-F238E27FC236}">
              <a16:creationId xmlns:a16="http://schemas.microsoft.com/office/drawing/2014/main" id="{00000000-0008-0000-1200-000002000000}"/>
            </a:ext>
          </a:extLst>
        </xdr:cNvPr>
        <xdr:cNvSpPr/>
      </xdr:nvSpPr>
      <xdr:spPr>
        <a:xfrm rot="16200000">
          <a:off x="-217287" y="217288"/>
          <a:ext cx="786480" cy="351904"/>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0</xdr:colOff>
      <xdr:row>11</xdr:row>
      <xdr:rowOff>176373</xdr:rowOff>
    </xdr:from>
    <xdr:to>
      <xdr:col>0</xdr:col>
      <xdr:colOff>351904</xdr:colOff>
      <xdr:row>23</xdr:row>
      <xdr:rowOff>110013</xdr:rowOff>
    </xdr:to>
    <xdr:sp macro="" textlink="">
      <xdr:nvSpPr>
        <xdr:cNvPr id="4" name="Diagrama de flujo: operación manual 3">
          <a:hlinkClick xmlns:r="http://schemas.openxmlformats.org/officeDocument/2006/relationships" r:id="rId2" tooltip="Horario de estudio"/>
          <a:extLst>
            <a:ext uri="{FF2B5EF4-FFF2-40B4-BE49-F238E27FC236}">
              <a16:creationId xmlns:a16="http://schemas.microsoft.com/office/drawing/2014/main" id="{00000000-0008-0000-1200-000004000000}"/>
            </a:ext>
          </a:extLst>
        </xdr:cNvPr>
        <xdr:cNvSpPr/>
      </xdr:nvSpPr>
      <xdr:spPr>
        <a:xfrm rot="16200000">
          <a:off x="-933868" y="3205741"/>
          <a:ext cx="2219640" cy="351904"/>
        </a:xfrm>
        <a:prstGeom prst="flowChartManualOperation">
          <a:avLst/>
        </a:prstGeom>
        <a:solidFill>
          <a:srgbClr val="FFCCCC"/>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Horario de estudio</a:t>
          </a:r>
        </a:p>
      </xdr:txBody>
    </xdr:sp>
    <xdr:clientData/>
  </xdr:twoCellAnchor>
  <xdr:twoCellAnchor editAs="oneCell">
    <xdr:from>
      <xdr:col>0</xdr:col>
      <xdr:colOff>380524</xdr:colOff>
      <xdr:row>0</xdr:row>
      <xdr:rowOff>0</xdr:rowOff>
    </xdr:from>
    <xdr:to>
      <xdr:col>1</xdr:col>
      <xdr:colOff>60484</xdr:colOff>
      <xdr:row>2</xdr:row>
      <xdr:rowOff>91440</xdr:rowOff>
    </xdr:to>
    <xdr:pic>
      <xdr:nvPicPr>
        <xdr:cNvPr id="5" name="Gráfico 4" descr="Atrás con relleno sólido">
          <a:hlinkClick xmlns:r="http://schemas.openxmlformats.org/officeDocument/2006/relationships" r:id="rId3" tooltip="Organización del estudio"/>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80524" y="0"/>
          <a:ext cx="441960" cy="472440"/>
        </a:xfrm>
        <a:prstGeom prst="rect">
          <a:avLst/>
        </a:prstGeom>
      </xdr:spPr>
    </xdr:pic>
    <xdr:clientData/>
  </xdr:twoCellAnchor>
  <xdr:twoCellAnchor>
    <xdr:from>
      <xdr:col>0</xdr:col>
      <xdr:colOff>0</xdr:colOff>
      <xdr:row>3</xdr:row>
      <xdr:rowOff>28262</xdr:rowOff>
    </xdr:from>
    <xdr:to>
      <xdr:col>0</xdr:col>
      <xdr:colOff>351904</xdr:colOff>
      <xdr:row>14</xdr:row>
      <xdr:rowOff>132876</xdr:rowOff>
    </xdr:to>
    <xdr:sp macro="" textlink="">
      <xdr:nvSpPr>
        <xdr:cNvPr id="3" name="Diagrama de flujo: operación manual 2">
          <a:hlinkClick xmlns:r="http://schemas.openxmlformats.org/officeDocument/2006/relationships" r:id="rId6" tooltip="Calendario-cronograma"/>
          <a:extLst>
            <a:ext uri="{FF2B5EF4-FFF2-40B4-BE49-F238E27FC236}">
              <a16:creationId xmlns:a16="http://schemas.microsoft.com/office/drawing/2014/main" id="{00000000-0008-0000-1200-000003000000}"/>
            </a:ext>
          </a:extLst>
        </xdr:cNvPr>
        <xdr:cNvSpPr/>
      </xdr:nvSpPr>
      <xdr:spPr>
        <a:xfrm rot="16200000">
          <a:off x="-924105" y="1523867"/>
          <a:ext cx="2200114" cy="351904"/>
        </a:xfrm>
        <a:prstGeom prst="flowChartManualOperation">
          <a:avLst/>
        </a:prstGeom>
        <a:solidFill>
          <a:srgbClr val="FF7C8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Calendario-cronograma</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7621</xdr:colOff>
      <xdr:row>0</xdr:row>
      <xdr:rowOff>7620</xdr:rowOff>
    </xdr:from>
    <xdr:to>
      <xdr:col>1</xdr:col>
      <xdr:colOff>85681</xdr:colOff>
      <xdr:row>4</xdr:row>
      <xdr:rowOff>32100</xdr:rowOff>
    </xdr:to>
    <xdr:sp macro="" textlink="">
      <xdr:nvSpPr>
        <xdr:cNvPr id="4" name="Diagrama de flujo: operación manual 3">
          <a:hlinkClick xmlns:r="http://schemas.openxmlformats.org/officeDocument/2006/relationships" r:id="rId1" tooltip="Menú"/>
          <a:extLst>
            <a:ext uri="{FF2B5EF4-FFF2-40B4-BE49-F238E27FC236}">
              <a16:creationId xmlns:a16="http://schemas.microsoft.com/office/drawing/2014/main" id="{00000000-0008-0000-1100-000004000000}"/>
            </a:ext>
          </a:extLst>
        </xdr:cNvPr>
        <xdr:cNvSpPr/>
      </xdr:nvSpPr>
      <xdr:spPr>
        <a:xfrm rot="16200000">
          <a:off x="-175139" y="190380"/>
          <a:ext cx="725520" cy="360000"/>
        </a:xfrm>
        <a:prstGeom prst="flowChartManualOperation">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Menú</a:t>
          </a:r>
        </a:p>
      </xdr:txBody>
    </xdr:sp>
    <xdr:clientData/>
  </xdr:twoCellAnchor>
  <xdr:twoCellAnchor>
    <xdr:from>
      <xdr:col>0</xdr:col>
      <xdr:colOff>7620</xdr:colOff>
      <xdr:row>3</xdr:row>
      <xdr:rowOff>35882</xdr:rowOff>
    </xdr:from>
    <xdr:to>
      <xdr:col>1</xdr:col>
      <xdr:colOff>85680</xdr:colOff>
      <xdr:row>14</xdr:row>
      <xdr:rowOff>152402</xdr:rowOff>
    </xdr:to>
    <xdr:sp macro="" textlink="">
      <xdr:nvSpPr>
        <xdr:cNvPr id="2" name="Diagrama de flujo: operación manual 1">
          <a:hlinkClick xmlns:r="http://schemas.openxmlformats.org/officeDocument/2006/relationships" r:id="rId2" tooltip="Calendario-cronograma"/>
          <a:extLst>
            <a:ext uri="{FF2B5EF4-FFF2-40B4-BE49-F238E27FC236}">
              <a16:creationId xmlns:a16="http://schemas.microsoft.com/office/drawing/2014/main" id="{00000000-0008-0000-1100-000002000000}"/>
            </a:ext>
          </a:extLst>
        </xdr:cNvPr>
        <xdr:cNvSpPr/>
      </xdr:nvSpPr>
      <xdr:spPr>
        <a:xfrm rot="16200000">
          <a:off x="-838380" y="1407662"/>
          <a:ext cx="2052000" cy="360000"/>
        </a:xfrm>
        <a:prstGeom prst="flowChartManualOperation">
          <a:avLst/>
        </a:prstGeom>
        <a:solidFill>
          <a:srgbClr val="FFCCCC"/>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Calendario-cronograma</a:t>
          </a:r>
        </a:p>
      </xdr:txBody>
    </xdr:sp>
    <xdr:clientData/>
  </xdr:twoCellAnchor>
  <xdr:twoCellAnchor>
    <xdr:from>
      <xdr:col>0</xdr:col>
      <xdr:colOff>7620</xdr:colOff>
      <xdr:row>12</xdr:row>
      <xdr:rowOff>5399</xdr:rowOff>
    </xdr:from>
    <xdr:to>
      <xdr:col>1</xdr:col>
      <xdr:colOff>85680</xdr:colOff>
      <xdr:row>23</xdr:row>
      <xdr:rowOff>129539</xdr:rowOff>
    </xdr:to>
    <xdr:sp macro="" textlink="">
      <xdr:nvSpPr>
        <xdr:cNvPr id="3" name="Diagrama de flujo: operación manual 2">
          <a:hlinkClick xmlns:r="http://schemas.openxmlformats.org/officeDocument/2006/relationships" r:id="rId3" tooltip="Horario de estudio"/>
          <a:extLst>
            <a:ext uri="{FF2B5EF4-FFF2-40B4-BE49-F238E27FC236}">
              <a16:creationId xmlns:a16="http://schemas.microsoft.com/office/drawing/2014/main" id="{00000000-0008-0000-1100-000003000000}"/>
            </a:ext>
          </a:extLst>
        </xdr:cNvPr>
        <xdr:cNvSpPr/>
      </xdr:nvSpPr>
      <xdr:spPr>
        <a:xfrm rot="16200000">
          <a:off x="-838380" y="2962139"/>
          <a:ext cx="2052000" cy="360000"/>
        </a:xfrm>
        <a:prstGeom prst="flowChartManualOperation">
          <a:avLst/>
        </a:prstGeom>
        <a:solidFill>
          <a:srgbClr val="FF7C8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900">
              <a:solidFill>
                <a:srgbClr val="5F2987"/>
              </a:solidFill>
              <a:latin typeface="Abadi Extra Light" panose="020B0204020104020204" pitchFamily="34" charset="0"/>
            </a:rPr>
            <a:t>Horario de estudio</a:t>
          </a:r>
        </a:p>
      </xdr:txBody>
    </xdr:sp>
    <xdr:clientData/>
  </xdr:twoCellAnchor>
  <xdr:twoCellAnchor editAs="oneCell">
    <xdr:from>
      <xdr:col>1</xdr:col>
      <xdr:colOff>114300</xdr:colOff>
      <xdr:row>0</xdr:row>
      <xdr:rowOff>7620</xdr:rowOff>
    </xdr:from>
    <xdr:to>
      <xdr:col>1</xdr:col>
      <xdr:colOff>556260</xdr:colOff>
      <xdr:row>2</xdr:row>
      <xdr:rowOff>99060</xdr:rowOff>
    </xdr:to>
    <xdr:pic>
      <xdr:nvPicPr>
        <xdr:cNvPr id="5" name="Gráfico 4" descr="Atrás con relleno sólido">
          <a:hlinkClick xmlns:r="http://schemas.openxmlformats.org/officeDocument/2006/relationships" r:id="rId4" tooltip="Organización del estudio"/>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6240" y="7620"/>
          <a:ext cx="441960" cy="44196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Víctor Gutiérrez Marcos" id="{3B30A4E7-B0BB-4E08-866A-55B96AC74E0E}" userId="S::100365641@alumnos.uc3m.es::537970f5-4a03-4d08-9e26-f8792ae4ce5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íctor Gutiérrez Marcos" refreshedDate="45512.909909374997" createdVersion="7" refreshedVersion="8" minRefreshableVersion="3" recordCount="177" xr:uid="{B9FE314A-0E52-44DE-90CE-7BB32C04F911}">
  <cacheSource type="worksheet">
    <worksheetSource name="ListadoDeTemas1"/>
  </cacheSource>
  <cacheFields count="7">
    <cacheField name="Ejercicio" numFmtId="0">
      <sharedItems containsSemiMixedTypes="0" containsString="0" containsNumber="1" containsInteger="1" minValue="3" maxValue="5" count="3">
        <n v="3"/>
        <n v="4"/>
        <n v="5"/>
      </sharedItems>
    </cacheField>
    <cacheField name="Parte" numFmtId="0">
      <sharedItems count="3">
        <s v="A"/>
        <s v="B"/>
        <s v="C"/>
      </sharedItems>
    </cacheField>
    <cacheField name="Número" numFmtId="0">
      <sharedItems containsSemiMixedTypes="0" containsString="0" containsNumber="1" containsInteger="1" minValue="1" maxValue="45"/>
    </cacheField>
    <cacheField name="Tema" numFmtId="0">
      <sharedItems count="177">
        <s v="3.A.1"/>
        <s v="3.A.2"/>
        <s v="3.A.3"/>
        <s v="3.A.4"/>
        <s v="3.A.5"/>
        <s v="3.A.6"/>
        <s v="3.A.7"/>
        <s v="3.A.8"/>
        <s v="3.A.9"/>
        <s v="3.A.10"/>
        <s v="3.A.11"/>
        <s v="3.A.12"/>
        <s v="3.A.13"/>
        <s v="3.A.14"/>
        <s v="3.A.15"/>
        <s v="3.A.16"/>
        <s v="3.A.17"/>
        <s v="3.A.18"/>
        <s v="3.A.19"/>
        <s v="3.A.20"/>
        <s v="3.A.21"/>
        <s v="3.A.22"/>
        <s v="3.A.23"/>
        <s v="3.A.24"/>
        <s v="3.A.25"/>
        <s v="3.A.26"/>
        <s v="3.A.27"/>
        <s v="3.A.28"/>
        <s v="3.A.29"/>
        <s v="3.A.30"/>
        <s v="3.A.31"/>
        <s v="3.A.32"/>
        <s v="3.A.33"/>
        <s v="3.A.34"/>
        <s v="3.A.35"/>
        <s v="3.A.36"/>
        <s v="3.A.37"/>
        <s v="3.A.38"/>
        <s v="3.A.39"/>
        <s v="3.A.40"/>
        <s v="3.A.41"/>
        <s v="3.A.42"/>
        <s v="3.A.43"/>
        <s v="3.A.44"/>
        <s v="3.A.45"/>
        <s v="3.B.1"/>
        <s v="3.B.2"/>
        <s v="3.B.3"/>
        <s v="3.B.4"/>
        <s v="3.B.5"/>
        <s v="3.B.6"/>
        <s v="3.B.7"/>
        <s v="3.B.8"/>
        <s v="3.B.9"/>
        <s v="3.B.10"/>
        <s v="3.B.11"/>
        <s v="3.B.12"/>
        <s v="3.B.13"/>
        <s v="3.B.14"/>
        <s v="3.B.15"/>
        <s v="3.B.16"/>
        <s v="3.B.17"/>
        <s v="3.B.18"/>
        <s v="3.B.19"/>
        <s v="3.B.20"/>
        <s v="3.B.21"/>
        <s v="3.B.22"/>
        <s v="3.B.23"/>
        <s v="3.B.24"/>
        <s v="3.B.25"/>
        <s v="3.B.26"/>
        <s v="3.B.27"/>
        <s v="3.B.28"/>
        <s v="3.B.29"/>
        <s v="3.B.30"/>
        <s v="3.B.31"/>
        <s v="3.B.32"/>
        <s v="3.B.33"/>
        <s v="3.B.34"/>
        <s v="3.B.35"/>
        <s v="3.B.36"/>
        <s v="3.B.37"/>
        <s v="3.B.38"/>
        <s v="3.B.39"/>
        <s v="3.B.40"/>
        <s v="3.B.41"/>
        <s v="3.B.42"/>
        <s v="3.B.43"/>
        <s v="3.B.44"/>
        <s v="3.B.45"/>
        <s v="4.A.1"/>
        <s v="4.A.2"/>
        <s v="4.A.3"/>
        <s v="4.A.4"/>
        <s v="4.A.5"/>
        <s v="4.A.6"/>
        <s v="4.A.7"/>
        <s v="4.A.8"/>
        <s v="4.A.9"/>
        <s v="4.A.10"/>
        <s v="4.A.11"/>
        <s v="4.A.12"/>
        <s v="4.A.13"/>
        <s v="4.A.14"/>
        <s v="4.A.15"/>
        <s v="4.A.16"/>
        <s v="4.A.17"/>
        <s v="4.A.18"/>
        <s v="4.A.19"/>
        <s v="4.A.20"/>
        <s v="4.A.21"/>
        <s v="4.A.22"/>
        <s v="4.A.23"/>
        <s v="4.A.24"/>
        <s v="4.A.25"/>
        <s v="4.A.26"/>
        <s v="4.A.27"/>
        <s v="4.A.28"/>
        <s v="4.A.29"/>
        <s v="4.A.30"/>
        <s v="4.B.1"/>
        <s v="4.B.2"/>
        <s v="4.B.3"/>
        <s v="4.B.4"/>
        <s v="4.B.5"/>
        <s v="4.B.6"/>
        <s v="4.B.7"/>
        <s v="4.B.8"/>
        <s v="4.B.9"/>
        <s v="4.B.10"/>
        <s v="4.B.11"/>
        <s v="4.B.12"/>
        <s v="4.B.13"/>
        <s v="4.B.14"/>
        <s v="4.B.15"/>
        <s v="4.B.16"/>
        <s v="4.B.17"/>
        <s v="4.B.18"/>
        <s v="4.B.19"/>
        <s v="4.B.20"/>
        <s v="4.B.21"/>
        <s v="4.B.22"/>
        <s v="4.B.23"/>
        <s v="4.B.24"/>
        <s v="4.B.25"/>
        <s v="4.B.26"/>
        <s v="5.A.1"/>
        <s v="5.A.2"/>
        <s v="5.A.3"/>
        <s v="5.A.4"/>
        <s v="5.A.5"/>
        <s v="5.A.6"/>
        <s v="5.A.7"/>
        <s v="5.A.8"/>
        <s v="5.A.9"/>
        <s v="5.A.10"/>
        <s v="5.B.1"/>
        <s v="5.B.2"/>
        <s v="5.B.3"/>
        <s v="5.B.4"/>
        <s v="5.B.5"/>
        <s v="5.B.6"/>
        <s v="5.C.1"/>
        <s v="5.C.2"/>
        <s v="5.C.3"/>
        <s v="5.C.4"/>
        <s v="5.C.5"/>
        <s v="5.C.6"/>
        <s v="5.C.7"/>
        <s v="5.C.8"/>
        <s v="5.C.9"/>
        <s v="5.C.10"/>
        <s v="5.C.11"/>
        <s v="5.C.12"/>
        <s v="5.C.13"/>
        <s v="5.C.14"/>
        <s v="5.C.15"/>
      </sharedItems>
    </cacheField>
    <cacheField name="Nombre del tema" numFmtId="0">
      <sharedItems longText="1"/>
    </cacheField>
    <cacheField name="Categoría" numFmtId="0">
      <sharedItems containsBlank="1" count="9">
        <s v="Mixto"/>
        <s v="Microeconomía"/>
        <s v="Macroeconomía"/>
        <s v="Economía española"/>
        <s v="Economía del sector público"/>
        <s v="Marketing internacional y técnicas comerciales"/>
        <s v="Econometría"/>
        <s v="Derecho administrativo y organización del Estado"/>
        <m u="1"/>
      </sharedItems>
    </cacheField>
    <cacheField name="Bloque" numFmtId="0">
      <sharedItems containsBlank="1" count="38">
        <s v="Pensamiento económico"/>
        <s v="Modelo neoclásico básico"/>
        <s v="Información y poder de mercado"/>
        <s v="Economía del Bienestar e Intervención del Sector Público"/>
        <s v="Demanda Agregada y Oferta Agregada"/>
        <s v="Crecimiento económico"/>
        <s v="Contabilidad Nacional"/>
        <s v="Ciclo económico y políticas de demanda"/>
        <s v="Economía financiera y corporativa"/>
        <s v="Comercio Internacional"/>
        <s v="Economía abierta"/>
        <s v="Historia económica"/>
        <s v="Organismos internacionales"/>
        <s v="Unión Europea"/>
        <s v="Fuentes estadísticas"/>
        <s v="Mercado de trabajo"/>
        <s v="Desigualdad"/>
        <s v="Sector primario"/>
        <s v="Sector extractivo y energía"/>
        <s v="Política medioambiental"/>
        <s v="Política de ciencia y tecnología"/>
        <s v="Empresa"/>
        <s v="Industria y política industrial"/>
        <s v="Construcción"/>
        <s v="Servicios"/>
        <s v="Políticas de liberalización"/>
        <s v="Política regional"/>
        <s v="Sector financiero y política monetaria"/>
        <s v="Sector exterior"/>
        <s v="Contabilidad pública y fuentes estadísticas"/>
        <s v="Economía política"/>
        <s v="Gastos y presupuestos"/>
        <s v="Política fiscal y estabilización"/>
        <s v="Inversión pública"/>
        <s v="Impuestos"/>
        <s v="Federalismo fiscal y haciendas territoriales"/>
        <s v="Empresas públicas"/>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7">
  <r>
    <x v="0"/>
    <x v="0"/>
    <n v="1"/>
    <x v="0"/>
    <s v="Objeto y métodos de la ciencia económica. Cuestiones y debates actuales, con especial referencia a la economía conductual."/>
    <x v="0"/>
    <x v="0"/>
  </r>
  <r>
    <x v="0"/>
    <x v="0"/>
    <n v="2"/>
    <x v="1"/>
    <s v="Los economistas clásicos y Marx."/>
    <x v="0"/>
    <x v="0"/>
  </r>
  <r>
    <x v="0"/>
    <x v="0"/>
    <n v="3"/>
    <x v="2"/>
    <s v="Los economistas neoclásicos."/>
    <x v="0"/>
    <x v="0"/>
  </r>
  <r>
    <x v="0"/>
    <x v="0"/>
    <n v="4"/>
    <x v="3"/>
    <s v="El pensamiento económico de Keynes. Referencia a la economía post-keynesiana y el desequilibrio."/>
    <x v="0"/>
    <x v="0"/>
  </r>
  <r>
    <x v="0"/>
    <x v="0"/>
    <n v="5"/>
    <x v="4"/>
    <s v="La síntesis neoclásica. El monetarismo."/>
    <x v="0"/>
    <x v="0"/>
  </r>
  <r>
    <x v="0"/>
    <x v="0"/>
    <n v="6"/>
    <x v="5"/>
    <s v="La nueva macroeconomía clásica. La hipótesis de las expectativas racionales; la crítica de Lucas; el surgimiento de los modelos dinámicos estocásticos de equilibrio general."/>
    <x v="0"/>
    <x v="0"/>
  </r>
  <r>
    <x v="0"/>
    <x v="0"/>
    <n v="7"/>
    <x v="6"/>
    <s v="La nueva economía keynesiana. Primera y segunda generación."/>
    <x v="0"/>
    <x v="0"/>
  </r>
  <r>
    <x v="0"/>
    <x v="0"/>
    <n v="8"/>
    <x v="7"/>
    <s v="Teoría de la demanda del consumidor (I). Axiomas sobre las preferencias, función de utilidad y función de demanda marshalliana. La teoría de la preferencia revelada. Precios hedónicos."/>
    <x v="1"/>
    <x v="1"/>
  </r>
  <r>
    <x v="0"/>
    <x v="0"/>
    <n v="9"/>
    <x v="8"/>
    <s v="Teoría de la demanda del consumidor (II). Dualidad e integrabilidad de las preferencias. Sistemas de demanda utilizados en estudios empíricos. Medidas de cambio en el bienestar."/>
    <x v="1"/>
    <x v="1"/>
  </r>
  <r>
    <x v="0"/>
    <x v="0"/>
    <n v="10"/>
    <x v="9"/>
    <s v="Teoría de la demanda del consumidor (III). Elección del consumidor en situaciones de riesgo e incertidumbre."/>
    <x v="1"/>
    <x v="2"/>
  </r>
  <r>
    <x v="0"/>
    <x v="0"/>
    <n v="11"/>
    <x v="10"/>
    <s v="Teoría de la producción. Caracterización de la tecnología de la empresa a corto y largo plazo. El conjunto de posibilidades de producción. La función de producción. Rendimientos locales y globales a escala. Elasticidad de sustitución. Producción conjunta. "/>
    <x v="1"/>
    <x v="1"/>
  </r>
  <r>
    <x v="0"/>
    <x v="0"/>
    <n v="12"/>
    <x v="11"/>
    <s v="Teoría de los costes. Análisis de dualidad en el ámbito de la empresa. Aplicaciones empíricas."/>
    <x v="1"/>
    <x v="1"/>
  </r>
  <r>
    <x v="0"/>
    <x v="0"/>
    <n v="13"/>
    <x v="12"/>
    <s v="Economía de la información y teoría de la agencia: selección adversa y riesgo moral."/>
    <x v="1"/>
    <x v="2"/>
  </r>
  <r>
    <x v="0"/>
    <x v="0"/>
    <n v="14"/>
    <x v="13"/>
    <s v="Teoría de juegos. Principales conceptos. Aplicaciones, con especial referencia a las subastas."/>
    <x v="1"/>
    <x v="2"/>
  </r>
  <r>
    <x v="0"/>
    <x v="0"/>
    <n v="15"/>
    <x v="14"/>
    <s v="La empresa: el tamaño eficiente y sus límites. Mención especial de la economía de los costes de transacción. La Teoría de la Organización Industrial: barreras a la entrada y mercados impugnables."/>
    <x v="1"/>
    <x v="2"/>
  </r>
  <r>
    <x v="0"/>
    <x v="0"/>
    <n v="16"/>
    <x v="15"/>
    <s v="Análisis de mercados (I). El modelo de competencia perfecta. Análisis de equilibrio parcial: corto y largo plazo; dinámicas de ajuste y estabilidad del equilibrio. Análisis de eficiencia y bienestar. "/>
    <x v="1"/>
    <x v="1"/>
  </r>
  <r>
    <x v="0"/>
    <x v="0"/>
    <n v="17"/>
    <x v="16"/>
    <s v="Análisis de mercados (II). Teoría del monopolio. Discriminación de precios. Monopolio natural. Producción conjunta. Análisis de eficiencia y bienestar. Monopsonio. Monopolio bilateral."/>
    <x v="1"/>
    <x v="2"/>
  </r>
  <r>
    <x v="0"/>
    <x v="0"/>
    <n v="18"/>
    <x v="17"/>
    <s v="Análisis de mercados (III). Diferenciación de productos: la teoría de la competencia monopolística y otros desarrollos."/>
    <x v="1"/>
    <x v="2"/>
  </r>
  <r>
    <x v="0"/>
    <x v="0"/>
    <n v="19"/>
    <x v="18"/>
    <s v="Análisis de mercados (IV). Teoría del oligopolio: soluciones no cooperativas y soluciones cooperativas."/>
    <x v="1"/>
    <x v="2"/>
  </r>
  <r>
    <x v="0"/>
    <x v="0"/>
    <n v="20"/>
    <x v="19"/>
    <s v="Poder de mercado y regulación óptima. Definición del mercado relevante. Desarrollos en presencia de información asimétrica. Aplicaciones prácticas."/>
    <x v="1"/>
    <x v="2"/>
  </r>
  <r>
    <x v="0"/>
    <x v="0"/>
    <n v="21"/>
    <x v="20"/>
    <s v="La teoría del equilibrio general."/>
    <x v="1"/>
    <x v="1"/>
  </r>
  <r>
    <x v="0"/>
    <x v="0"/>
    <n v="22"/>
    <x v="21"/>
    <s v="Economía del bienestar (I). Los teoremas fundamentales del bienestar. Óptimo económico y «second best»."/>
    <x v="1"/>
    <x v="3"/>
  </r>
  <r>
    <x v="0"/>
    <x v="0"/>
    <n v="23"/>
    <x v="22"/>
    <s v="Economía del bienestar (II). Fallos de mercado: externalidades y bienes públicos. Intervención y fallos del sector público."/>
    <x v="1"/>
    <x v="3"/>
  </r>
  <r>
    <x v="0"/>
    <x v="0"/>
    <n v="24"/>
    <x v="23"/>
    <s v="Economía del bienestar (III). Las funciones de bienestar social. Teoría de la elección colectiva. El teorema de la imposibilidad de Arrow y desarrollos posteriores."/>
    <x v="1"/>
    <x v="3"/>
  </r>
  <r>
    <x v="0"/>
    <x v="0"/>
    <n v="25"/>
    <x v="24"/>
    <s v="La teoría neoclásica del mercado de trabajo. Análisis intertemporal de la oferta de trabajo. Teoría del capital humano. Función de ingresos de capital humano y evidencia empírica."/>
    <x v="2"/>
    <x v="4"/>
  </r>
  <r>
    <x v="0"/>
    <x v="0"/>
    <n v="26"/>
    <x v="25"/>
    <s v="Desempleo friccional. La curva de Beveridge, el modelo de búsqueda y emparejamiento de Diamond, Mortensen y Pissarides. Costes de ajuste y dinámica de la demanda de trabajo."/>
    <x v="2"/>
    <x v="4"/>
  </r>
  <r>
    <x v="0"/>
    <x v="0"/>
    <n v="27"/>
    <x v="26"/>
    <s v="Determinación de salarios: modelos de negociación, salarios de eficiencia y contratos implícitos."/>
    <x v="2"/>
    <x v="4"/>
  </r>
  <r>
    <x v="0"/>
    <x v="0"/>
    <n v="28"/>
    <x v="27"/>
    <s v="La tasa natural de paro y la NAIRU. La persistencia del desempleo."/>
    <x v="2"/>
    <x v="4"/>
  </r>
  <r>
    <x v="0"/>
    <x v="0"/>
    <n v="29"/>
    <x v="28"/>
    <s v="Modelización dinámica de las tomas de decisiones. Modelos de horizonte infinito y modelos de generaciones solapadas."/>
    <x v="2"/>
    <x v="5"/>
  </r>
  <r>
    <x v="0"/>
    <x v="0"/>
    <n v="30"/>
    <x v="29"/>
    <s v="Magnitudes macroeconómicas y contabilidad nacional."/>
    <x v="2"/>
    <x v="6"/>
  </r>
  <r>
    <x v="0"/>
    <x v="0"/>
    <n v="31"/>
    <x v="30"/>
    <s v="Análisis de las tablas «input-output»."/>
    <x v="2"/>
    <x v="6"/>
  </r>
  <r>
    <x v="0"/>
    <x v="0"/>
    <n v="32"/>
    <x v="31"/>
    <s v="El modelo de oferta y demanda agregada: determinación de renta e inflación en una economía abierta. Análisis de las políticas monetaria y fiscal, y de los shocks y políticas de oferta."/>
    <x v="2"/>
    <x v="4"/>
  </r>
  <r>
    <x v="0"/>
    <x v="0"/>
    <n v="33"/>
    <x v="32"/>
    <s v="Teorías de la demanda de consumo corriente: ciclo vital y renta permanente. La demanda de bienes de consumo duradero. Evidencia empírica e implicaciones de política económica."/>
    <x v="2"/>
    <x v="4"/>
  </r>
  <r>
    <x v="0"/>
    <x v="0"/>
    <n v="34"/>
    <x v="33"/>
    <s v="Teorías de la inversión en bienes de equipo. Incertidumbre e irreversibilidad de la inversión. Implicaciones de política económica."/>
    <x v="2"/>
    <x v="4"/>
  </r>
  <r>
    <x v="0"/>
    <x v="0"/>
    <n v="35"/>
    <x v="34"/>
    <s v="Teorías de la demanda de dinero. Implicaciones de política económica."/>
    <x v="2"/>
    <x v="7"/>
  </r>
  <r>
    <x v="0"/>
    <x v="0"/>
    <n v="36"/>
    <x v="35"/>
    <s v="La política monetaria (I). El diseño y la instrumentación de la política monetaria."/>
    <x v="2"/>
    <x v="7"/>
  </r>
  <r>
    <x v="0"/>
    <x v="0"/>
    <n v="37"/>
    <x v="36"/>
    <s v="La política monetaria (II).  Los mecanismos de transmisión de la política monetaria convencional. Rigideces de precios, rigideces de salarios y fricciones financieras. Los mecanismos de transmisión de la política monetaria no convencional."/>
    <x v="2"/>
    <x v="7"/>
  </r>
  <r>
    <x v="0"/>
    <x v="0"/>
    <n v="38"/>
    <x v="37"/>
    <s v="La política fiscal: efectos sobre el crecimiento económico y el ahorro."/>
    <x v="2"/>
    <x v="7"/>
  </r>
  <r>
    <x v="0"/>
    <x v="0"/>
    <n v="39"/>
    <x v="38"/>
    <s v="Déficit público. Conceptos. Financiación y sus consecuencias macroeconómicas. Dominación monetaria y dominación fiscal. La dinámica de la deuda pública y su sostenibilidad."/>
    <x v="2"/>
    <x v="7"/>
  </r>
  <r>
    <x v="0"/>
    <x v="0"/>
    <n v="40"/>
    <x v="39"/>
    <s v="Efectividad e interrelación de las políticas monetaria y fiscal en las principales economías desarrolladas desde la Gran Recesión de 2008. El valor de los multiplicadores fiscales."/>
    <x v="2"/>
    <x v="7"/>
  </r>
  <r>
    <x v="0"/>
    <x v="0"/>
    <n v="41"/>
    <x v="40"/>
    <s v="La inflación: causas y sus efectos sobre la eficiencia económica y el bienestar. Hiperinflación y deflación."/>
    <x v="2"/>
    <x v="7"/>
  </r>
  <r>
    <x v="0"/>
    <x v="0"/>
    <n v="42"/>
    <x v="41"/>
    <s v="Teorías de los ciclos económicos: ciclos nominales y reales. Referencia al ciclo financiero y sus interrelaciones con el ciclo real."/>
    <x v="2"/>
    <x v="7"/>
  </r>
  <r>
    <x v="0"/>
    <x v="0"/>
    <n v="43"/>
    <x v="42"/>
    <s v="Crecimiento económico (I). Acumulación de capital y progreso técnico exógeno. El modelo de Solow. El modelo de Solow aumentado con acumulación de capital humano. El modelo de Ramsey-Cass-Koopmans."/>
    <x v="2"/>
    <x v="5"/>
  </r>
  <r>
    <x v="0"/>
    <x v="0"/>
    <n v="44"/>
    <x v="43"/>
    <s v="Crecimiento económico (II). Modelos de crecimiento endógeno: rendimientos crecientes, capital humano e innovación tecnológica."/>
    <x v="2"/>
    <x v="5"/>
  </r>
  <r>
    <x v="0"/>
    <x v="0"/>
    <n v="45"/>
    <x v="44"/>
    <s v="Evidencia empírica sobre el crecimiento económico y la distribución de la renta entre los factores de producción. Contabilidad del crecimiento, con especial referencia a la productividad total de los factores. Convergencia económica internacional."/>
    <x v="2"/>
    <x v="5"/>
  </r>
  <r>
    <x v="0"/>
    <x v="1"/>
    <n v="1"/>
    <x v="45"/>
    <s v="La información financiera de las empresas: estados de situación y de circulación. Métodos de análisis económico y financiero de la empresa."/>
    <x v="1"/>
    <x v="8"/>
  </r>
  <r>
    <x v="0"/>
    <x v="1"/>
    <n v="2"/>
    <x v="46"/>
    <s v="La empresa y las decisiones de inversión. Diferentes criterios de valoración de proyectos. Rentabilidad, riesgo y coste del capital."/>
    <x v="1"/>
    <x v="8"/>
  </r>
  <r>
    <x v="0"/>
    <x v="1"/>
    <n v="3"/>
    <x v="47"/>
    <s v="La empresa y las decisiones de financiación: Financiación propia frente a financiación ajena. Política de dividendos y estructura del capital."/>
    <x v="1"/>
    <x v="8"/>
  </r>
  <r>
    <x v="0"/>
    <x v="1"/>
    <n v="4"/>
    <x v="48"/>
    <s v="Análisis del crecimiento de la empresa. Métodos de valoración de empresas. Especial referencia a los procesos de fusión, adquisición y alianzas estratégicas."/>
    <x v="1"/>
    <x v="8"/>
  </r>
  <r>
    <x v="0"/>
    <x v="1"/>
    <n v="5"/>
    <x v="49"/>
    <s v="Teoría del comercio internacional (I). La teoría ricardiana de la ventaja comparativa. Determinación de la relación real de intercambio. El modelo de factores específicos. El Modelo Hecksher-Ohlin-Samuelson (H-O-S); teoremas derivados del modelo y extensiones."/>
    <x v="1"/>
    <x v="9"/>
  </r>
  <r>
    <x v="0"/>
    <x v="1"/>
    <n v="6"/>
    <x v="50"/>
    <s v="Teoría del comercio internacional (II). Desarrollos recientes. Nueva teoría del comercio internacional. Especial referencia a la competencia imperfecta, los rendimientos crecientes y la heterogeneidad empresarial."/>
    <x v="1"/>
    <x v="9"/>
  </r>
  <r>
    <x v="0"/>
    <x v="1"/>
    <n v="7"/>
    <x v="51"/>
    <s v="La política comercial (I). Instrumentos y efectos. Barreras arancelarias y no arancelarias. Otros instrumentos tradicionales."/>
    <x v="1"/>
    <x v="9"/>
  </r>
  <r>
    <x v="0"/>
    <x v="1"/>
    <n v="8"/>
    <x v="52"/>
    <s v="La política comercial (II). La política comercial estratégica. La política de promoción exterior: justificación, instrumentos y objetivos."/>
    <x v="1"/>
    <x v="9"/>
  </r>
  <r>
    <x v="0"/>
    <x v="1"/>
    <n v="9"/>
    <x v="53"/>
    <s v="Comercio internacional y crecimiento económico. Especial referencia a los efectos del comercio sobre el crecimiento."/>
    <x v="1"/>
    <x v="9"/>
  </r>
  <r>
    <x v="0"/>
    <x v="1"/>
    <n v="10"/>
    <x v="54"/>
    <s v="Teoría de la integración económica."/>
    <x v="1"/>
    <x v="9"/>
  </r>
  <r>
    <x v="0"/>
    <x v="1"/>
    <n v="11"/>
    <x v="55"/>
    <s v="Balanza de pagos: concepto, medición e interpretación."/>
    <x v="2"/>
    <x v="6"/>
  </r>
  <r>
    <x v="0"/>
    <x v="1"/>
    <n v="12"/>
    <x v="56"/>
    <s v="Mecanismos de ajuste de la balanza de pagos. Especial referencia al enfoque intertemporal de balanza de pagos. Análisis de sostenibilidad del déficit y de la deuda exterior."/>
    <x v="2"/>
    <x v="10"/>
  </r>
  <r>
    <x v="0"/>
    <x v="1"/>
    <n v="13"/>
    <x v="57"/>
    <s v="Mercado de divisas. Operaciones e instrumentos."/>
    <x v="1"/>
    <x v="8"/>
  </r>
  <r>
    <x v="0"/>
    <x v="1"/>
    <n v="14"/>
    <x v="58"/>
    <s v="Teorías de la determinación del tipo de cambio."/>
    <x v="2"/>
    <x v="10"/>
  </r>
  <r>
    <x v="0"/>
    <x v="1"/>
    <n v="15"/>
    <x v="59"/>
    <s v="Análisis comparado de los distintos regímenes cambiarios. Intervención y regulación en los mercados de cambio."/>
    <x v="2"/>
    <x v="10"/>
  </r>
  <r>
    <x v="0"/>
    <x v="1"/>
    <n v="16"/>
    <x v="60"/>
    <s v="Teoría de la integración monetaria."/>
    <x v="2"/>
    <x v="10"/>
  </r>
  <r>
    <x v="0"/>
    <x v="1"/>
    <n v="17"/>
    <x v="61"/>
    <s v="Teorías explicativas de las crisis de balanza de pagos."/>
    <x v="2"/>
    <x v="10"/>
  </r>
  <r>
    <x v="0"/>
    <x v="1"/>
    <n v="18"/>
    <x v="62"/>
    <s v="La nueva globalización económica y financiera. Determinantes y efectos de los movimientos internacionales de factores productivos: movilidad de trabajadores, inversión de cartera e inversión directa, con especial referencia a las cadenas globales de valor."/>
    <x v="2"/>
    <x v="10"/>
  </r>
  <r>
    <x v="0"/>
    <x v="1"/>
    <n v="19"/>
    <x v="63"/>
    <s v="La coordinación internacional de políticas económicas. Aspectos teóricos y prácticos. El G-20, la OCDE y otros foros internacionales."/>
    <x v="2"/>
    <x v="10"/>
  </r>
  <r>
    <x v="0"/>
    <x v="1"/>
    <n v="20"/>
    <x v="64"/>
    <s v="El sistema económico internacional desde el siglo XIX hasta la ruptura del sistema de Bretton-Woods."/>
    <x v="0"/>
    <x v="11"/>
  </r>
  <r>
    <x v="0"/>
    <x v="1"/>
    <n v="21"/>
    <x v="65"/>
    <s v="El sistema económico internacional desde la desaparición del sistema de Bretton-Woods."/>
    <x v="0"/>
    <x v="11"/>
  </r>
  <r>
    <x v="0"/>
    <x v="1"/>
    <n v="22"/>
    <x v="66"/>
    <s v="El Fondo Monetario Internacional. Estructura y políticas. La prevención y solución de crisis."/>
    <x v="0"/>
    <x v="12"/>
  </r>
  <r>
    <x v="0"/>
    <x v="1"/>
    <n v="23"/>
    <x v="67"/>
    <s v="Análisis de los instrumentos financieros de renta variable. Análisis fundamental. Teoría de la elección de cartera. El modelo de valoración de activos de capital (CAPM). La teoría de valoración de activos por arbitraje (APT). Análisis técnico."/>
    <x v="1"/>
    <x v="8"/>
  </r>
  <r>
    <x v="0"/>
    <x v="1"/>
    <n v="24"/>
    <x v="68"/>
    <s v="Análisis de los instrumentos financieros de renta fija. Determinación del precio y rendimiento de los bonos. La estructura temporal de los tipos de interés. Valoración del riesgo y del rendimiento de los bonos: duración y convexidad."/>
    <x v="1"/>
    <x v="8"/>
  </r>
  <r>
    <x v="0"/>
    <x v="1"/>
    <n v="25"/>
    <x v="69"/>
    <s v="Análisis de los instrumentos y de los mercados de derivados."/>
    <x v="1"/>
    <x v="8"/>
  </r>
  <r>
    <x v="0"/>
    <x v="1"/>
    <n v="26"/>
    <x v="70"/>
    <s v="Crisis financieras y pánicos bancarios; especial referencia a la crisis financiera internacional iniciada en 2007-2008. Gestión de riesgos de las instituciones financieras."/>
    <x v="1"/>
    <x v="8"/>
  </r>
  <r>
    <x v="0"/>
    <x v="1"/>
    <n v="27"/>
    <x v="71"/>
    <s v="Regulación financiera bancaria y no-bancaria. Fundamentos teóricos y evidencia empírica."/>
    <x v="1"/>
    <x v="8"/>
  </r>
  <r>
    <x v="0"/>
    <x v="1"/>
    <n v="28"/>
    <x v="72"/>
    <s v="Economía de los países en desarrollo. Teorías recientes del desarrollo económico. Evidencia empírica, con especial referencia a la aproximación experimental, e implicaciones para el diseño de políticas."/>
    <x v="2"/>
    <x v="5"/>
  </r>
  <r>
    <x v="0"/>
    <x v="1"/>
    <n v="29"/>
    <x v="73"/>
    <s v="La financiación exterior del desarrollo económico. El problema de la deuda externa. La ayuda al desarrollo."/>
    <x v="2"/>
    <x v="10"/>
  </r>
  <r>
    <x v="0"/>
    <x v="1"/>
    <n v="30"/>
    <x v="74"/>
    <s v="El Grupo del Banco Mundial, los Bancos Regionales de Desarrollo y otras instituciones multilaterales de desarrollo."/>
    <x v="0"/>
    <x v="12"/>
  </r>
  <r>
    <x v="0"/>
    <x v="1"/>
    <n v="31"/>
    <x v="75"/>
    <s v="El cambio climático y su impacto en la economía. Evidencia y modelos integrados de evaluación. Acuerdos internacionales y principales medidas adoptadas para hacer frente al cambio climático."/>
    <x v="2"/>
    <x v="5"/>
  </r>
  <r>
    <x v="0"/>
    <x v="1"/>
    <n v="32"/>
    <x v="76"/>
    <s v="Perspectivas económicas mundiales. Estructura sectorial y geográfica de los flujos comerciales y financieros internacionales. Las nuevas áreas emergentes."/>
    <x v="0"/>
    <x v="11"/>
  </r>
  <r>
    <x v="0"/>
    <x v="1"/>
    <n v="33"/>
    <x v="77"/>
    <s v="La OMC. Antecedentes y Organización actual. El GATT y los Acuerdos sobre el comercio de mercancías. Situación actual."/>
    <x v="0"/>
    <x v="12"/>
  </r>
  <r>
    <x v="0"/>
    <x v="1"/>
    <n v="34"/>
    <x v="78"/>
    <s v="La OMC. Los acuerdos distintos de los de mercancías."/>
    <x v="0"/>
    <x v="12"/>
  </r>
  <r>
    <x v="0"/>
    <x v="1"/>
    <n v="35"/>
    <x v="79"/>
    <s v="Procesos de integración no comunitarios."/>
    <x v="0"/>
    <x v="12"/>
  </r>
  <r>
    <x v="0"/>
    <x v="1"/>
    <n v="36"/>
    <x v="80"/>
    <s v="Tratados, orden jurídico e instituciones de la Unión Europea."/>
    <x v="0"/>
    <x v="13"/>
  </r>
  <r>
    <x v="0"/>
    <x v="1"/>
    <n v="37"/>
    <x v="81"/>
    <s v="Las finanzas de la Unión Europea y el presupuesto comunitario. El marco financiero plurianual actual."/>
    <x v="0"/>
    <x v="13"/>
  </r>
  <r>
    <x v="0"/>
    <x v="1"/>
    <n v="38"/>
    <x v="82"/>
    <s v="La política agrícola de la Unión Europea. Problemas económicos y procesos de reforma. La política pesquera común."/>
    <x v="0"/>
    <x v="13"/>
  </r>
  <r>
    <x v="0"/>
    <x v="1"/>
    <n v="39"/>
    <x v="83"/>
    <s v="El mercado único de la Unión Europea. El principio de libre circulación de mercancías, servicios, personas y capitales. La política de competencia."/>
    <x v="0"/>
    <x v="13"/>
  </r>
  <r>
    <x v="0"/>
    <x v="1"/>
    <n v="40"/>
    <x v="84"/>
    <s v="La Cohesión Económica y Social en la Unión Europea: política regional e instrumentos presupuestarios y financieros. Política social y de empleo. El proceso de convergencia real en la Unión Europea."/>
    <x v="0"/>
    <x v="13"/>
  </r>
  <r>
    <x v="0"/>
    <x v="1"/>
    <n v="41"/>
    <x v="85"/>
    <s v="La política comercial de la Unión Europea."/>
    <x v="0"/>
    <x v="13"/>
  </r>
  <r>
    <x v="0"/>
    <x v="1"/>
    <n v="42"/>
    <x v="86"/>
    <s v="Las relaciones económicas exteriores de la Unión Europea. La política de cooperación al desarrollo de la Unión Europea."/>
    <x v="0"/>
    <x v="13"/>
  </r>
  <r>
    <x v="0"/>
    <x v="1"/>
    <n v="43"/>
    <x v="87"/>
    <s v="El origen del euro: funcionamiento y evolución del Sistema Monetario Europeo. Los criterios de convergencia nominal. El Sistema Europeo de Bancos Centrales: objetivos e instrumentos. La política monetaria en la Eurozona desde 2009."/>
    <x v="0"/>
    <x v="13"/>
  </r>
  <r>
    <x v="0"/>
    <x v="1"/>
    <n v="44"/>
    <x v="88"/>
    <s v="La Unión Bancaria: Pilares y Código normativo único. La Unión de Mercados de Capitales."/>
    <x v="0"/>
    <x v="13"/>
  </r>
  <r>
    <x v="0"/>
    <x v="1"/>
    <n v="45"/>
    <x v="89"/>
    <s v="La gobernanza económica de la Unión Europea y de la zona euro. El Semestre Europeo. Las reglas fiscales y el Procedimiento de Desequilibrios Macroeconómicos. El Mecanismo Europeo de Estabilidad. La respuesta común de la política fiscal a partir de la covid-19."/>
    <x v="0"/>
    <x v="13"/>
  </r>
  <r>
    <x v="1"/>
    <x v="0"/>
    <n v="1"/>
    <x v="90"/>
    <s v="Fuentes estadísticas españolas. Metodologías y limitaciones."/>
    <x v="3"/>
    <x v="14"/>
  </r>
  <r>
    <x v="1"/>
    <x v="0"/>
    <n v="2"/>
    <x v="91"/>
    <s v="Los recursos humanos en España: estructura demográfica y capital humano. Proyecciones de población a medio y largo plazo: implicaciones para el crecimiento económico."/>
    <x v="3"/>
    <x v="15"/>
  </r>
  <r>
    <x v="1"/>
    <x v="0"/>
    <n v="3"/>
    <x v="92"/>
    <s v="La distribución personal y entre factores productivos de la renta en España. La desigualdad de la renta, la riqueza y el consumo. El efecto redistributivo del sector público español."/>
    <x v="3"/>
    <x v="16"/>
  </r>
  <r>
    <x v="1"/>
    <x v="0"/>
    <n v="4"/>
    <x v="93"/>
    <s v="Los sectores agrario y pesquero en España."/>
    <x v="3"/>
    <x v="17"/>
  </r>
  <r>
    <x v="1"/>
    <x v="0"/>
    <n v="5"/>
    <x v="94"/>
    <s v="Estructura del sector energético y sus subsectores: sistema eléctrico, sistema gasista y productos petrolíferos. Nuevas tecnologías y retos del sector."/>
    <x v="3"/>
    <x v="18"/>
  </r>
  <r>
    <x v="1"/>
    <x v="0"/>
    <n v="6"/>
    <x v="95"/>
    <s v="La política española de energía y clima: mitigación y adaptación al cambio climático. Vinculación con la política de energía y clima de la UE. Políticas sectoriales de medioambiente."/>
    <x v="3"/>
    <x v="19"/>
  </r>
  <r>
    <x v="1"/>
    <x v="0"/>
    <n v="7"/>
    <x v="96"/>
    <s v="El sistema y la política de ciencia y tecnología en España. Vinculación con la política de I+D de la Unión Europea. La actividad de investigación, desarrollo e innovación (I+D+i) en los sectores público y privado. Comparación con buenas prácticas internacionales."/>
    <x v="3"/>
    <x v="20"/>
  </r>
  <r>
    <x v="1"/>
    <x v="0"/>
    <n v="8"/>
    <x v="97"/>
    <s v="La empresa en España. Características principales: productividad, internacionalización, tamaño y financiación. Comparación entre la empresa industrial y la empresa de servicios. El clima de negocio en España. El sector público empresarial."/>
    <x v="3"/>
    <x v="21"/>
  </r>
  <r>
    <x v="1"/>
    <x v="0"/>
    <n v="9"/>
    <x v="98"/>
    <s v="Análisis de la industria en España. Características y situación actual. Los retos de la industria y la política industrial en España en el contexto de las economías desarrolladas. La estrategia de la UE."/>
    <x v="3"/>
    <x v="22"/>
  </r>
  <r>
    <x v="1"/>
    <x v="0"/>
    <n v="10"/>
    <x v="99"/>
    <s v="Estructura sectorial de la industria en España. Clasificación de sectores según nivel de contenido tecnológico y de demanda. Análisis de los principales sectores: industria agroalimentaria, industria automovilística, industria química y farmacéutica, e industria de fabricación de bienes de equipo y de alta tecnología."/>
    <x v="3"/>
    <x v="22"/>
  </r>
  <r>
    <x v="1"/>
    <x v="0"/>
    <n v="11"/>
    <x v="100"/>
    <s v="El sector de la construcción en España. El mercado de la vivienda. Problemas y política de vivienda y suelo."/>
    <x v="3"/>
    <x v="23"/>
  </r>
  <r>
    <x v="1"/>
    <x v="0"/>
    <n v="12"/>
    <x v="101"/>
    <s v="Estructura y política del sector de los transportes y telecomunicaciones en España."/>
    <x v="3"/>
    <x v="24"/>
  </r>
  <r>
    <x v="1"/>
    <x v="0"/>
    <n v="13"/>
    <x v="102"/>
    <s v="El turismo en España: evolución, retos y política turística."/>
    <x v="3"/>
    <x v="24"/>
  </r>
  <r>
    <x v="1"/>
    <x v="0"/>
    <n v="14"/>
    <x v="103"/>
    <s v="Estructura, políticas y retos de la distribución comercial, con especial referencia al comercio electrónico."/>
    <x v="3"/>
    <x v="24"/>
  </r>
  <r>
    <x v="1"/>
    <x v="0"/>
    <n v="15"/>
    <x v="104"/>
    <s v="La defensa y la promoción de la competencia en España. Principios de regulación económica eficiente. Garantía de unidad de mercado."/>
    <x v="3"/>
    <x v="25"/>
  </r>
  <r>
    <x v="1"/>
    <x v="0"/>
    <n v="16"/>
    <x v="105"/>
    <s v="Mercado de trabajo en España. Características, funcionamiento y problemas. Las políticas de empleo."/>
    <x v="3"/>
    <x v="15"/>
  </r>
  <r>
    <x v="1"/>
    <x v="0"/>
    <n v="17"/>
    <x v="106"/>
    <s v="Economía de las regiones españolas: especialización regional, convergencia real y política de desarrollo regional."/>
    <x v="3"/>
    <x v="26"/>
  </r>
  <r>
    <x v="1"/>
    <x v="0"/>
    <n v="18"/>
    <x v="107"/>
    <s v="El sistema financiero español (I).  Evolución reciente del sistema financiero. Génesis y desarrollo de la crisis del sistema financiero español iniciada en 2008. La reestructuración de las entidades de crédito. El Programa de Asistencia Financiera."/>
    <x v="3"/>
    <x v="27"/>
  </r>
  <r>
    <x v="1"/>
    <x v="0"/>
    <n v="19"/>
    <x v="108"/>
    <s v="El sistema financiero español (II). Las entidades de crédito en España: Configuración actual del sector bancario español y principales indicadores. El marco de regulación, supervisión y gestión de crisis."/>
    <x v="3"/>
    <x v="27"/>
  </r>
  <r>
    <x v="1"/>
    <x v="0"/>
    <n v="20"/>
    <x v="109"/>
    <s v="El sistema financiero español (III). Mercados de valores y otras formas de financiación no bancaria, agentes e instrumentos. Innovación financiera."/>
    <x v="3"/>
    <x v="27"/>
  </r>
  <r>
    <x v="1"/>
    <x v="0"/>
    <n v="21"/>
    <x v="110"/>
    <s v="Análisis de la evolución de la balanza de pagos y de la Posición de Inversión Internacional de España desde la adopción del euro. Posición neta del Banco de España frente al Eurosistema. La sostenibilidad externa."/>
    <x v="3"/>
    <x v="28"/>
  </r>
  <r>
    <x v="1"/>
    <x v="0"/>
    <n v="22"/>
    <x v="111"/>
    <s v="La internacionalización de la economía española (I). Estructura sectorial y geográfica de la balanza de bienes y de servicios en España en la actualidad. Indicadores de competitividad. La integración de España en las cadenas globales de valor."/>
    <x v="3"/>
    <x v="28"/>
  </r>
  <r>
    <x v="1"/>
    <x v="0"/>
    <n v="23"/>
    <x v="112"/>
    <s v="La internacionalización de la economía española (II). Estructura sectorial y geográfica de la inversión extranjera en España y de la inversión española en el exterior en la actualidad."/>
    <x v="3"/>
    <x v="28"/>
  </r>
  <r>
    <x v="1"/>
    <x v="0"/>
    <n v="24"/>
    <x v="113"/>
    <s v="La política española de internacionalización (I). Instrumentos financieros de ayuda a la exportación y a la inversión exterior. Evaluación y comparación con buenas prácticas internacionales."/>
    <x v="3"/>
    <x v="28"/>
  </r>
  <r>
    <x v="1"/>
    <x v="0"/>
    <n v="25"/>
    <x v="114"/>
    <s v="La política española de internacionalización (II). La promoción comercial. Organismos e instrumentos. Evaluación y comparación con buenas prácticas internacionales."/>
    <x v="3"/>
    <x v="28"/>
  </r>
  <r>
    <x v="1"/>
    <x v="0"/>
    <n v="26"/>
    <x v="115"/>
    <s v="La política de cooperación al desarrollo en España. Instrumentos de cooperación técnica y financiera. Evaluación del diseño de la política y análisis de impacto económico."/>
    <x v="3"/>
    <x v="28"/>
  </r>
  <r>
    <x v="1"/>
    <x v="0"/>
    <n v="27"/>
    <x v="116"/>
    <s v="La economía española en el período 1959-1999. El Plan de Estabilización de 1959. La economía española en la década de 1960. Las crisis energéticas de los años 70. La adhesión a las Comunidades Europeas. El proceso de ajuste macroeconómico para la entrada en la zona euro."/>
    <x v="3"/>
    <x v="11"/>
  </r>
  <r>
    <x v="1"/>
    <x v="0"/>
    <n v="28"/>
    <x v="117"/>
    <s v="Evolución de la economía y de la política económica en España desde la constitución de la zona euro hasta 2019. Especial referencia a la crisis económica y financiera iniciada en 2008."/>
    <x v="3"/>
    <x v="11"/>
  </r>
  <r>
    <x v="1"/>
    <x v="0"/>
    <n v="29"/>
    <x v="118"/>
    <s v="Evolución de la economía y de la política económica española desde la crisis de la Covid-19. Situación actual de la economía española y perspectivas. Los desequilibrios macroeconómicos de España, según el Procedimiento de Desequilibrios Macroeconómicos de la UE."/>
    <x v="3"/>
    <x v="11"/>
  </r>
  <r>
    <x v="1"/>
    <x v="0"/>
    <n v="30"/>
    <x v="119"/>
    <s v="Las relaciones financieras de España con la Unión Europea: flujos presupuestarios y extra-presupuestarios, y saldo financiero España-Unión Europea. Evolución reciente y situación actual. España en el Marco Financiero Plurianual 2021-2027. La convergencia real de España con la Unión Europea."/>
    <x v="3"/>
    <x v="11"/>
  </r>
  <r>
    <x v="1"/>
    <x v="1"/>
    <n v="1"/>
    <x v="120"/>
    <s v="El sector público: delimitación, operaciones y cuentas principales según el Sistema Europeo de Cuentas."/>
    <x v="4"/>
    <x v="29"/>
  </r>
  <r>
    <x v="1"/>
    <x v="1"/>
    <n v="2"/>
    <x v="121"/>
    <s v="Los mecanismos de decisión del sector público. Reglas de votación. La democracia representativa. La producción pública y la burocracia. Justificación de la existencia de límites normativos a la actividad del sector público."/>
    <x v="4"/>
    <x v="30"/>
  </r>
  <r>
    <x v="1"/>
    <x v="1"/>
    <n v="3"/>
    <x v="122"/>
    <s v="El presupuesto como elemento de redistribución. El Estado de Bienestar: instrumentos, problemas y reformas. Medición e indicadores del impacto redistributivo."/>
    <x v="4"/>
    <x v="31"/>
  </r>
  <r>
    <x v="1"/>
    <x v="1"/>
    <n v="4"/>
    <x v="123"/>
    <s v="El presupuesto como elemento compensador de la actividad económica. Componentes discrecionales y automáticos del presupuesto: saldo cíclico, saldo estructural y esfuerzo fiscal."/>
    <x v="4"/>
    <x v="32"/>
  </r>
  <r>
    <x v="1"/>
    <x v="1"/>
    <n v="5"/>
    <x v="124"/>
    <s v="El gasto público. Razones de su crecimiento. El debate sobre el tamaño del sector público, en lo referente al gasto. Comparaciones internacionales."/>
    <x v="4"/>
    <x v="31"/>
  </r>
  <r>
    <x v="1"/>
    <x v="1"/>
    <n v="6"/>
    <x v="125"/>
    <s v="Evaluación de las políticas públicas. Técnicas de evaluación de impacto. Análisis coste-beneficio, análisis coste-eficacia y otras técnicas de evaluación."/>
    <x v="4"/>
    <x v="33"/>
  </r>
  <r>
    <x v="1"/>
    <x v="1"/>
    <n v="7"/>
    <x v="126"/>
    <s v="Ingresos públicos. Elementos definidores y clases de impuestos. Principios impositivos."/>
    <x v="4"/>
    <x v="34"/>
  </r>
  <r>
    <x v="1"/>
    <x v="1"/>
    <n v="8"/>
    <x v="127"/>
    <s v="Traslación e incidencia de los impuestos en mercados competitivos y monopolistas. Enfoques de equilibrio parcial y general."/>
    <x v="4"/>
    <x v="34"/>
  </r>
  <r>
    <x v="1"/>
    <x v="1"/>
    <n v="9"/>
    <x v="128"/>
    <s v="Efecto renta y efecto sustitución de los impuestos. Concepto y medición del exceso de gravamen. Medidas de progresividad impositiva."/>
    <x v="4"/>
    <x v="34"/>
  </r>
  <r>
    <x v="1"/>
    <x v="1"/>
    <n v="10"/>
    <x v="129"/>
    <s v="Imposición y oferta. Efectos incentivo de los impuestos."/>
    <x v="4"/>
    <x v="34"/>
  </r>
  <r>
    <x v="1"/>
    <x v="1"/>
    <n v="11"/>
    <x v="130"/>
    <s v="La imposición óptima. Tipo impositivo óptimo. Regla de Ramsey. El compromiso entre eficiencia y equidad de la política tributaria."/>
    <x v="4"/>
    <x v="34"/>
  </r>
  <r>
    <x v="1"/>
    <x v="1"/>
    <n v="12"/>
    <x v="131"/>
    <s v="La imposición directa: teoría y comparaciones internacionales."/>
    <x v="4"/>
    <x v="34"/>
  </r>
  <r>
    <x v="1"/>
    <x v="1"/>
    <n v="13"/>
    <x v="132"/>
    <s v="La imposición indirecta: teoría y comparaciones internacionales."/>
    <x v="4"/>
    <x v="34"/>
  </r>
  <r>
    <x v="1"/>
    <x v="1"/>
    <n v="14"/>
    <x v="133"/>
    <s v="La teoría del federalismo fiscal: la asignación óptima de las funciones entre los distintos niveles de gobierno para alcanzar el bienestar máximo. La financiación de las haciendas territoriales: impuestos, transferencias y deuda."/>
    <x v="4"/>
    <x v="35"/>
  </r>
  <r>
    <x v="1"/>
    <x v="1"/>
    <n v="15"/>
    <x v="134"/>
    <s v="La empresa pública. Razones de su existencia. La política de privatizaciones. Comparaciones internacionales."/>
    <x v="4"/>
    <x v="36"/>
  </r>
  <r>
    <x v="1"/>
    <x v="1"/>
    <n v="16"/>
    <x v="135"/>
    <s v="El impuesto sobre la renta de las personas físicas en España."/>
    <x v="4"/>
    <x v="34"/>
  </r>
  <r>
    <x v="1"/>
    <x v="1"/>
    <n v="17"/>
    <x v="136"/>
    <s v="El impuesto sobre sociedades en España."/>
    <x v="4"/>
    <x v="34"/>
  </r>
  <r>
    <x v="1"/>
    <x v="1"/>
    <n v="18"/>
    <x v="137"/>
    <s v="Fiscalidad internacional. El Impuesto sobre la Renta de no Residentes en España. Convenios de doble imposición, con especial referencia al modelo de la OCDE. El problema de la erosión de bases imponibles y propuestas de solución."/>
    <x v="4"/>
    <x v="34"/>
  </r>
  <r>
    <x v="1"/>
    <x v="1"/>
    <n v="19"/>
    <x v="138"/>
    <s v="La imposición patrimonial en España: el impuesto sobre el patrimonio, el impuesto sobre sucesiones y donaciones, el impuesto sobre transmisiones patrimoniales y actos jurídicos documentados, y el impuesto sobre bienes inmuebles."/>
    <x v="4"/>
    <x v="34"/>
  </r>
  <r>
    <x v="1"/>
    <x v="1"/>
    <n v="20"/>
    <x v="139"/>
    <s v="La imposición indirecta en España: el IVA y los impuestos especiales."/>
    <x v="4"/>
    <x v="34"/>
  </r>
  <r>
    <x v="1"/>
    <x v="1"/>
    <n v="21"/>
    <x v="140"/>
    <s v="Marco legal e institucional de los presupuestos en España. Principios presupuestarios, con especial referencia a la estabilidad y la sostenibilidad. Los Presupuestos Generales del Estado: elaboración, aprobación, ejecución y control. Clasificaciones de ingresos y gastos. Modificaciones presupuestarias."/>
    <x v="4"/>
    <x v="31"/>
  </r>
  <r>
    <x v="1"/>
    <x v="1"/>
    <n v="22"/>
    <x v="141"/>
    <s v="Las grandes cifras de los Presupuestos Generales del Estado (PGE). Clasificación económica, orgánica y por políticas de gasto. Visión consolidada de los PGE."/>
    <x v="4"/>
    <x v="31"/>
  </r>
  <r>
    <x v="1"/>
    <x v="1"/>
    <n v="23"/>
    <x v="142"/>
    <s v="Las finanzas de las Administraciones Públicas en España en términos de contabilidad nacional. Situación actual y perspectivas según el Programa de Estabilidad. Estructura de ingresos y presión fiscal. Gasto por funciones según la clasificación COFOG. Distribución de gastos e ingresos públicos por subsectores de las Administraciones Públicas."/>
    <x v="4"/>
    <x v="31"/>
  </r>
  <r>
    <x v="1"/>
    <x v="1"/>
    <n v="24"/>
    <x v="143"/>
    <s v="El Sistema de la Seguridad Social en España. Prestaciones y su financiación. La sostenibilidad del sistema público de pensiones."/>
    <x v="4"/>
    <x v="31"/>
  </r>
  <r>
    <x v="1"/>
    <x v="1"/>
    <n v="25"/>
    <x v="144"/>
    <s v="Las Administraciones Territoriales en España. Competencias y sistemas de financiación. El endeudamiento de las Administraciones Territoriales."/>
    <x v="4"/>
    <x v="35"/>
  </r>
  <r>
    <x v="1"/>
    <x v="1"/>
    <n v="26"/>
    <x v="145"/>
    <s v="El saldo presupuestario y la deuda de las Administraciones Públicas en España: análisis de su evolución reciente y comparación internacional. Política de financiación del Tesoro en la actualidad."/>
    <x v="4"/>
    <x v="31"/>
  </r>
  <r>
    <x v="2"/>
    <x v="0"/>
    <n v="1"/>
    <x v="146"/>
    <s v="Los regímenes de comercio exterior."/>
    <x v="5"/>
    <x v="37"/>
  </r>
  <r>
    <x v="2"/>
    <x v="0"/>
    <n v="2"/>
    <x v="147"/>
    <s v="Los instrumentos de defensa comercial."/>
    <x v="5"/>
    <x v="37"/>
  </r>
  <r>
    <x v="2"/>
    <x v="0"/>
    <n v="3"/>
    <x v="148"/>
    <s v="Los instrumentos de atracción de inversiones exteriores."/>
    <x v="5"/>
    <x v="37"/>
  </r>
  <r>
    <x v="2"/>
    <x v="0"/>
    <n v="4"/>
    <x v="149"/>
    <s v="Los instrumentos de promoción del turismo en España."/>
    <x v="5"/>
    <x v="37"/>
  </r>
  <r>
    <x v="2"/>
    <x v="0"/>
    <n v="5"/>
    <x v="150"/>
    <s v="La regulación de las inversiones extranjeras en España y de las españolas en el exterior."/>
    <x v="5"/>
    <x v="37"/>
  </r>
  <r>
    <x v="2"/>
    <x v="0"/>
    <n v="6"/>
    <x v="151"/>
    <s v="Formas de penetración e implantación en los mercados. El estudio de los mercados exteriores y la prospección."/>
    <x v="5"/>
    <x v="37"/>
  </r>
  <r>
    <x v="2"/>
    <x v="0"/>
    <n v="7"/>
    <x v="152"/>
    <s v="Los canales de distribución y las redes de venta."/>
    <x v="5"/>
    <x v="37"/>
  </r>
  <r>
    <x v="2"/>
    <x v="0"/>
    <n v="8"/>
    <x v="153"/>
    <s v="La oferta internacional: el producto y el precio. La comunicación en el comercio internacional."/>
    <x v="5"/>
    <x v="37"/>
  </r>
  <r>
    <x v="2"/>
    <x v="0"/>
    <n v="9"/>
    <x v="154"/>
    <s v="El cuadro jurídico de las operaciones de comercio exterior: el contrato de venta internacional y la resolución de litigios."/>
    <x v="5"/>
    <x v="37"/>
  </r>
  <r>
    <x v="2"/>
    <x v="0"/>
    <n v="10"/>
    <x v="155"/>
    <s v="Las políticas logísticas y financieras de la empresa exportadora. Los medios de pago en el comercio internacional."/>
    <x v="5"/>
    <x v="37"/>
  </r>
  <r>
    <x v="2"/>
    <x v="1"/>
    <n v="1"/>
    <x v="156"/>
    <s v="Supuestos clásicos del modelo de regresión lineal. Aproximación lineal al modelo no lineal. Método de mínimos cuadrados ordinarios y método de máxima verosimilitud. Medidas de bondad de ajuste del modelo."/>
    <x v="6"/>
    <x v="37"/>
  </r>
  <r>
    <x v="2"/>
    <x v="1"/>
    <n v="2"/>
    <x v="157"/>
    <s v="Propiedades de los estimadores de mínimos cuadrados ordinarios para muestras finitas y muestras grandes en el modelo de regresión lineal. Contraste de hipótesis e intervalos de confianza."/>
    <x v="6"/>
    <x v="37"/>
  </r>
  <r>
    <x v="2"/>
    <x v="1"/>
    <n v="3"/>
    <x v="158"/>
    <s v="Heterocedasticidad y autocorrelación: origen, consecuencias, detección y soluciones. Estimación por mínimos cuadrados generalizados."/>
    <x v="6"/>
    <x v="37"/>
  </r>
  <r>
    <x v="2"/>
    <x v="1"/>
    <n v="4"/>
    <x v="159"/>
    <s v="La causalidad en los modelos de regresión. Problema de la variable omitida y estimación por variables instrumentales. Otras soluciones: diseños experimentales, regresión en discontinuidad y diferencias en diferencias."/>
    <x v="6"/>
    <x v="37"/>
  </r>
  <r>
    <x v="2"/>
    <x v="1"/>
    <n v="5"/>
    <x v="160"/>
    <s v="Procesos estocásticos. Ruido blanco, AR, MA, ARMA y ARIMA: identificación, estimación, verificación y predicción."/>
    <x v="6"/>
    <x v="37"/>
  </r>
  <r>
    <x v="2"/>
    <x v="1"/>
    <n v="6"/>
    <x v="161"/>
    <s v="Datos de panel. Descripción del problema. El modelo de efectos fijos y de efectos aleatorios. Estimación."/>
    <x v="6"/>
    <x v="37"/>
  </r>
  <r>
    <x v="2"/>
    <x v="2"/>
    <n v="1"/>
    <x v="162"/>
    <s v="Las fuentes del Derecho Administrativo. La Constitución. La ley. Los decretos-leyes. La delegación legislativa."/>
    <x v="7"/>
    <x v="37"/>
  </r>
  <r>
    <x v="2"/>
    <x v="2"/>
    <n v="2"/>
    <x v="163"/>
    <s v="El reglamento. La potestad reglamentaria. Los reglamentos ilegales. Actos administrativos generales, circulares e instrucciones."/>
    <x v="7"/>
    <x v="37"/>
  </r>
  <r>
    <x v="2"/>
    <x v="2"/>
    <n v="3"/>
    <x v="164"/>
    <s v="El acto administrativo: concepto, clases y elementos. Su motivación y notificación. Eficacia y validez de los actos administrativos. Revisión, anulación y revocación."/>
    <x v="7"/>
    <x v="37"/>
  </r>
  <r>
    <x v="2"/>
    <x v="2"/>
    <n v="4"/>
    <x v="165"/>
    <s v="Los recursos administrativos."/>
    <x v="7"/>
    <x v="37"/>
  </r>
  <r>
    <x v="2"/>
    <x v="2"/>
    <n v="5"/>
    <x v="166"/>
    <s v="La jurisdicción contencioso-administrativa. Extensión y límites. Las partes del procedimiento. La sentencia. Recursos."/>
    <x v="7"/>
    <x v="37"/>
  </r>
  <r>
    <x v="2"/>
    <x v="2"/>
    <n v="6"/>
    <x v="167"/>
    <s v="Los contratos del sector público: concepto y clases. Estudio de sus elementos. Su cumplimiento. La revisión de precios y otras alteraciones contractuales. Incumplimiento de los contratos."/>
    <x v="7"/>
    <x v="37"/>
  </r>
  <r>
    <x v="2"/>
    <x v="2"/>
    <n v="7"/>
    <x v="168"/>
    <s v="El servicio público: concepto y clases. Forma de gestión de los servicios públicos. Examen especial de la gestión directa. La gestión indirecta: modalidades. La concesión. Régimen jurídico."/>
    <x v="7"/>
    <x v="37"/>
  </r>
  <r>
    <x v="2"/>
    <x v="2"/>
    <n v="8"/>
    <x v="169"/>
    <s v="Procedimiento administrativo común de las administraciones públicas: objeto y ámbito de aplicación. El procedimiento administrativo: concepto y naturaleza. Las garantías del procedimiento. Iniciación, ordenación, instrucción y terminación del procedimiento administrativo común. Los procedimientos especiales."/>
    <x v="7"/>
    <x v="37"/>
  </r>
  <r>
    <x v="2"/>
    <x v="2"/>
    <n v="9"/>
    <x v="170"/>
    <s v="Régimen jurídico del personal al servicio de las administraciones públicas. Ley del Estatuto Básico del Empleado Público. La Ley de Medidas para la Reforma de la Función Pública. Órganos superiores de la Función Pública. Oferta de empleo público."/>
    <x v="7"/>
    <x v="37"/>
  </r>
  <r>
    <x v="2"/>
    <x v="2"/>
    <n v="10"/>
    <x v="171"/>
    <s v="La Constitución española de 1978: estructura y contenido. Derechos y deberes fundamentales. Su garantía y suspensión. El Defensor del Pueblo. El Tribunal de Cuentas. El Tribunal Constitucional. Reforma de la Constitución."/>
    <x v="7"/>
    <x v="37"/>
  </r>
  <r>
    <x v="2"/>
    <x v="2"/>
    <n v="11"/>
    <x v="172"/>
    <s v="El Gobierno, su Presidente y el Consejo de Ministros. La Ley de Régimen Jurídico del Sector Público. Objeto y ámbito de aplicación. Principios generales. Organización y funcionamiento de la Administración General del Estado. Organización Central. Órganos Superiores y Directivos. Los Ministerios y su estructura interna. La Organización territorial de la Administración General del Estado. Las Delegaciones y Subdelegaciones del Gobierno."/>
    <x v="7"/>
    <x v="37"/>
  </r>
  <r>
    <x v="2"/>
    <x v="2"/>
    <n v="12"/>
    <x v="173"/>
    <s v="Organización y competencias del Ministerio de Asuntos Económicos y Transformación Digital, y del Ministerio de Industria, Comercio y Turismo. Especial mención a la Secretaría de Estado de Economía y Apoyo a la Empresa, y a la Secretaría de Estado de Comercio. Otros Ministerios económicos. La Administración Territorial del Ministerio de Industria, Comercio y Turismo. Su administración institucional. ICEX España Exportación e Inversiones."/>
    <x v="7"/>
    <x v="37"/>
  </r>
  <r>
    <x v="2"/>
    <x v="2"/>
    <n v="13"/>
    <x v="174"/>
    <s v="Organización territorial del Estado. Las Comunidades Autónomas: constitución, competencias, Estatutos de autonomía. El sistema institucional de las Comunidades Autónomas. La Administración Local."/>
    <x v="7"/>
    <x v="37"/>
  </r>
  <r>
    <x v="2"/>
    <x v="2"/>
    <n v="14"/>
    <x v="175"/>
    <s v="Políticas de igualdad de género. La Ley Orgánica 3/2007, de 22 de marzo, para la igualdad efectiva de mujeres y hombres. Políticas contra la violencia de género. La Ley Orgánica 1/2004, de 28 de diciembre, de Medidas de Protección Integral contra la Violencia de Género. Políticas dirigidas a la atención de personas discapacitadas y/o dependientes: la Ley 39/2006, de 14 de diciembre, de Promoción de la Autonomía Personal y atención a las personas en situación de dependencia."/>
    <x v="7"/>
    <x v="37"/>
  </r>
  <r>
    <x v="2"/>
    <x v="2"/>
    <n v="15"/>
    <x v="176"/>
    <s v="La gobernanza pública y el gobierno abierto. Concepto y principios informadores del gobierno abierto: colaboración, participación, transparencia y rendición de cuentas. Datos abiertos y reutilización. El marco jurídico y los planes de gobierno abierto en España."/>
    <x v="7"/>
    <x v="3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B08B47-6FEE-4F2A-B856-953FB9029171}" name="ListadoDeTemasDinámica" cacheId="0" dataOnRows="1" applyNumberFormats="0" applyBorderFormats="0" applyFontFormats="0" applyPatternFormats="0" applyAlignmentFormats="0" applyWidthHeightFormats="1" dataCaption="Valores" updatedVersion="8" minRefreshableVersion="3" useAutoFormatting="1" itemPrintTitles="1" createdVersion="7" indent="0" outline="1" outlineData="1" multipleFieldFilters="0">
  <location ref="B4:C29" firstHeaderRow="1" firstDataRow="1" firstDataCol="1" rowPageCount="1" colPageCount="1"/>
  <pivotFields count="7">
    <pivotField axis="axisPage" showAll="0">
      <items count="4">
        <item x="0"/>
        <item x="1"/>
        <item x="2"/>
        <item t="default"/>
      </items>
    </pivotField>
    <pivotField axis="axisRow" showAll="0">
      <items count="4">
        <item x="0"/>
        <item x="1"/>
        <item x="2"/>
        <item t="default"/>
      </items>
    </pivotField>
    <pivotField showAll="0"/>
    <pivotField showAll="0">
      <items count="178">
        <item x="0"/>
        <item x="9"/>
        <item x="10"/>
        <item x="11"/>
        <item x="12"/>
        <item x="13"/>
        <item x="14"/>
        <item x="15"/>
        <item x="16"/>
        <item x="17"/>
        <item x="18"/>
        <item x="1"/>
        <item x="19"/>
        <item x="20"/>
        <item x="21"/>
        <item x="22"/>
        <item x="23"/>
        <item x="24"/>
        <item x="25"/>
        <item x="26"/>
        <item x="27"/>
        <item x="28"/>
        <item x="2"/>
        <item x="29"/>
        <item x="30"/>
        <item x="31"/>
        <item x="32"/>
        <item x="33"/>
        <item x="34"/>
        <item x="35"/>
        <item x="36"/>
        <item x="37"/>
        <item x="38"/>
        <item x="3"/>
        <item x="39"/>
        <item x="40"/>
        <item x="41"/>
        <item x="42"/>
        <item x="43"/>
        <item x="44"/>
        <item x="4"/>
        <item x="5"/>
        <item x="6"/>
        <item x="7"/>
        <item x="8"/>
        <item x="45"/>
        <item x="54"/>
        <item x="55"/>
        <item x="56"/>
        <item x="57"/>
        <item x="58"/>
        <item x="59"/>
        <item x="60"/>
        <item x="61"/>
        <item x="62"/>
        <item x="63"/>
        <item x="46"/>
        <item x="64"/>
        <item x="65"/>
        <item x="66"/>
        <item x="67"/>
        <item x="68"/>
        <item x="69"/>
        <item x="70"/>
        <item x="71"/>
        <item x="72"/>
        <item x="73"/>
        <item x="47"/>
        <item x="74"/>
        <item x="75"/>
        <item x="76"/>
        <item x="77"/>
        <item x="78"/>
        <item x="79"/>
        <item x="80"/>
        <item x="81"/>
        <item x="82"/>
        <item x="83"/>
        <item x="48"/>
        <item x="84"/>
        <item x="85"/>
        <item x="86"/>
        <item x="87"/>
        <item x="88"/>
        <item x="89"/>
        <item x="49"/>
        <item x="50"/>
        <item x="51"/>
        <item x="52"/>
        <item x="53"/>
        <item x="90"/>
        <item x="99"/>
        <item x="100"/>
        <item x="101"/>
        <item x="102"/>
        <item x="103"/>
        <item x="104"/>
        <item x="105"/>
        <item x="106"/>
        <item x="107"/>
        <item x="108"/>
        <item x="91"/>
        <item x="109"/>
        <item x="110"/>
        <item x="111"/>
        <item x="112"/>
        <item x="113"/>
        <item x="114"/>
        <item x="115"/>
        <item x="116"/>
        <item x="117"/>
        <item x="118"/>
        <item x="92"/>
        <item x="119"/>
        <item x="93"/>
        <item x="94"/>
        <item x="95"/>
        <item x="96"/>
        <item x="97"/>
        <item x="98"/>
        <item x="120"/>
        <item x="129"/>
        <item x="130"/>
        <item x="131"/>
        <item x="132"/>
        <item x="133"/>
        <item x="134"/>
        <item x="135"/>
        <item x="136"/>
        <item x="137"/>
        <item x="138"/>
        <item x="121"/>
        <item x="139"/>
        <item x="140"/>
        <item x="141"/>
        <item x="142"/>
        <item x="143"/>
        <item x="144"/>
        <item x="145"/>
        <item x="122"/>
        <item x="123"/>
        <item x="124"/>
        <item x="125"/>
        <item x="126"/>
        <item x="127"/>
        <item x="128"/>
        <item x="146"/>
        <item x="155"/>
        <item x="147"/>
        <item x="148"/>
        <item x="149"/>
        <item x="150"/>
        <item x="151"/>
        <item x="152"/>
        <item x="153"/>
        <item x="154"/>
        <item x="156"/>
        <item x="157"/>
        <item x="158"/>
        <item x="159"/>
        <item x="160"/>
        <item x="161"/>
        <item x="162"/>
        <item x="171"/>
        <item x="172"/>
        <item x="173"/>
        <item x="174"/>
        <item x="175"/>
        <item x="176"/>
        <item x="163"/>
        <item x="164"/>
        <item x="165"/>
        <item x="166"/>
        <item x="167"/>
        <item x="168"/>
        <item x="169"/>
        <item x="170"/>
        <item t="default"/>
      </items>
    </pivotField>
    <pivotField dataField="1" showAll="0"/>
    <pivotField axis="axisRow" showAll="0">
      <items count="10">
        <item m="1" x="8"/>
        <item x="0"/>
        <item x="1"/>
        <item x="2"/>
        <item x="3"/>
        <item x="4"/>
        <item x="5"/>
        <item x="6"/>
        <item x="7"/>
        <item t="default"/>
      </items>
    </pivotField>
    <pivotField axis="axisRow" showAll="0">
      <items count="39">
        <item x="7"/>
        <item x="9"/>
        <item x="23"/>
        <item x="6"/>
        <item x="29"/>
        <item x="5"/>
        <item x="4"/>
        <item x="16"/>
        <item x="10"/>
        <item x="3"/>
        <item x="8"/>
        <item x="30"/>
        <item x="21"/>
        <item x="36"/>
        <item x="35"/>
        <item x="14"/>
        <item x="31"/>
        <item x="11"/>
        <item x="34"/>
        <item x="22"/>
        <item x="2"/>
        <item x="33"/>
        <item x="15"/>
        <item x="1"/>
        <item x="12"/>
        <item x="0"/>
        <item x="20"/>
        <item x="32"/>
        <item x="19"/>
        <item x="26"/>
        <item x="25"/>
        <item x="28"/>
        <item x="18"/>
        <item x="27"/>
        <item x="17"/>
        <item x="24"/>
        <item x="13"/>
        <item x="37"/>
        <item t="default"/>
      </items>
    </pivotField>
  </pivotFields>
  <rowFields count="3">
    <field x="1"/>
    <field x="5"/>
    <field x="6"/>
  </rowFields>
  <rowItems count="25">
    <i>
      <x/>
    </i>
    <i r="1">
      <x v="1"/>
    </i>
    <i r="2">
      <x v="25"/>
    </i>
    <i r="1">
      <x v="2"/>
    </i>
    <i r="2">
      <x v="9"/>
    </i>
    <i r="2">
      <x v="20"/>
    </i>
    <i r="2">
      <x v="23"/>
    </i>
    <i r="1">
      <x v="3"/>
    </i>
    <i r="2">
      <x/>
    </i>
    <i r="2">
      <x v="3"/>
    </i>
    <i r="2">
      <x v="5"/>
    </i>
    <i r="2">
      <x v="6"/>
    </i>
    <i>
      <x v="1"/>
    </i>
    <i r="1">
      <x v="1"/>
    </i>
    <i r="2">
      <x v="17"/>
    </i>
    <i r="2">
      <x v="24"/>
    </i>
    <i r="2">
      <x v="36"/>
    </i>
    <i r="1">
      <x v="2"/>
    </i>
    <i r="2">
      <x v="1"/>
    </i>
    <i r="2">
      <x v="10"/>
    </i>
    <i r="1">
      <x v="3"/>
    </i>
    <i r="2">
      <x v="3"/>
    </i>
    <i r="2">
      <x v="5"/>
    </i>
    <i r="2">
      <x v="8"/>
    </i>
    <i t="grand">
      <x/>
    </i>
  </rowItems>
  <colItems count="1">
    <i/>
  </colItems>
  <pageFields count="1">
    <pageField fld="0" item="0" hier="-1"/>
  </pageFields>
  <dataFields count="1">
    <dataField name="Cuenta de Nombre del tema" fld="4" subtotal="count" baseField="0" baseItem="0"/>
  </dataFields>
  <formats count="9">
    <format dxfId="107">
      <pivotArea type="all" dataOnly="0" outline="0" fieldPosition="0"/>
    </format>
    <format dxfId="106">
      <pivotArea type="all" dataOnly="0" outline="0" fieldPosition="0"/>
    </format>
    <format dxfId="105">
      <pivotArea outline="0" collapsedLevelsAreSubtotals="1" fieldPosition="0"/>
    </format>
    <format dxfId="104">
      <pivotArea field="1" type="button" dataOnly="0" labelOnly="1" outline="0" axis="axisRow" fieldPosition="0"/>
    </format>
    <format dxfId="103">
      <pivotArea dataOnly="0" labelOnly="1" fieldPosition="0">
        <references count="1">
          <reference field="1" count="2">
            <x v="0"/>
            <x v="1"/>
          </reference>
        </references>
      </pivotArea>
    </format>
    <format dxfId="102">
      <pivotArea dataOnly="0" labelOnly="1" grandRow="1" outline="0" fieldPosition="0"/>
    </format>
    <format dxfId="101">
      <pivotArea dataOnly="0" labelOnly="1" fieldPosition="0">
        <references count="2">
          <reference field="1" count="1" selected="0">
            <x v="0"/>
          </reference>
          <reference field="5" count="3">
            <x v="1"/>
            <x v="2"/>
            <x v="3"/>
          </reference>
        </references>
      </pivotArea>
    </format>
    <format dxfId="100">
      <pivotArea dataOnly="0" labelOnly="1" fieldPosition="0">
        <references count="2">
          <reference field="1" count="1" selected="0">
            <x v="1"/>
          </reference>
          <reference field="5" count="3">
            <x v="1"/>
            <x v="2"/>
            <x v="3"/>
          </reference>
        </references>
      </pivotArea>
    </format>
    <format dxfId="99">
      <pivotArea dataOnly="0" labelOnly="1" outline="0" axis="axisValues"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CEF609-DC05-4378-94B8-74658633B386}" name="ListadoDeTemas1" displayName="ListadoDeTemas1" ref="B2:H179" totalsRowShown="0" headerRowDxfId="124" dataDxfId="122" headerRowBorderDxfId="123">
  <autoFilter ref="B2:H179" xr:uid="{3ECEF609-DC05-4378-94B8-74658633B386}"/>
  <tableColumns count="7">
    <tableColumn id="1" xr3:uid="{350D5491-1929-4E0B-AAC9-B8498830B0CD}" name="Ejercicio" dataDxfId="121" totalsRowDxfId="120"/>
    <tableColumn id="2" xr3:uid="{D253A4DA-5D53-4AAE-8D2F-3333D64A8B40}" name="Parte" dataDxfId="119" totalsRowDxfId="118"/>
    <tableColumn id="3" xr3:uid="{A36CCA23-4BAD-42DB-B2AB-9F5DDB191246}" name="Número" dataDxfId="117" totalsRowDxfId="116"/>
    <tableColumn id="4" xr3:uid="{F9AD2B93-8AB2-4747-B684-19338FC9DA9F}" name="Tema" dataDxfId="115" totalsRowDxfId="114">
      <calculatedColumnFormula>_xlfn.CONCAT(B3,".",C3,".",D3)</calculatedColumnFormula>
    </tableColumn>
    <tableColumn id="5" xr3:uid="{53BB4461-282A-46DB-9A55-74BE57DC878A}" name="Nombre del tema" dataDxfId="113" totalsRowDxfId="112"/>
    <tableColumn id="9" xr3:uid="{775265D4-3AB5-407D-BC6F-49D5A150E2E2}" name="Categoría" dataDxfId="111" totalsRowDxfId="110"/>
    <tableColumn id="10" xr3:uid="{F2627D9F-20AD-424E-8063-8909ED1F88B5}" name="Bloque" dataDxfId="109" totalsRowDxfId="10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396A37-52EB-49C2-90A7-2FF55EC13F51}" name="Cronograma" displayName="Cronograma" ref="C1:I179" totalsRowShown="0" headerRowDxfId="98" dataDxfId="97">
  <autoFilter ref="C1:I179" xr:uid="{9A396A37-52EB-49C2-90A7-2FF55EC13F51}"/>
  <tableColumns count="7">
    <tableColumn id="1" xr3:uid="{DB8237BD-DEA7-444E-8F8A-F4613868CDA5}" name="Semana" dataDxfId="96"/>
    <tableColumn id="2" xr3:uid="{414D554C-29D8-4449-83DF-077582DE5522}" name="Día (opc.)" dataDxfId="95"/>
    <tableColumn id="3" xr3:uid="{262D87DB-5DF2-46DC-8A49-D7FE3089BCAF}" name="Tema" dataDxfId="4"/>
    <tableColumn id="4" xr3:uid="{C6AACDE3-EA53-4981-B619-474A1F04E836}" name="Nombre del tema" dataDxfId="2">
      <calculatedColumnFormula>IFERROR(VLOOKUP('Cronograma'!$E2,ListadoDeTemas1[[Tema]:[Bloque]],COLUMNS('Cronograma'!$E2:F2),FALSE),"")</calculatedColumnFormula>
    </tableColumn>
    <tableColumn id="5" xr3:uid="{AD1592A2-F9CA-4416-91EC-A5AF415FAB2A}" name="Categoría" dataDxfId="1"/>
    <tableColumn id="6" xr3:uid="{BAC76DAD-612B-40B0-AFD4-1E8B9B78BEA9}" name="Bloque" dataDxfId="0"/>
    <tableColumn id="7" xr3:uid="{AB40F598-7CBC-4B45-AAEF-6C360AEA1B42}" name="Comentario" dataDxfId="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851ABE-A6D7-4737-8725-DCB43EB9B7BD}" name="Horario" displayName="Horario" ref="C2:J50" totalsRowShown="0" headerRowDxfId="86" dataDxfId="85">
  <autoFilter ref="C2:J50" xr:uid="{CA851ABE-A6D7-4737-8725-DCB43EB9B7BD}"/>
  <tableColumns count="8">
    <tableColumn id="1" xr3:uid="{75859567-8955-4304-B9E9-C9F27EA5561C}" name="Hora" dataDxfId="84"/>
    <tableColumn id="2" xr3:uid="{74A5C07B-DFAC-44AF-AB92-D8CDC790F1AC}" name="Sábado" dataDxfId="83"/>
    <tableColumn id="3" xr3:uid="{8A860C84-E0C0-4BB9-A6E0-443E4C34CF03}" name="Domingo" dataDxfId="82"/>
    <tableColumn id="4" xr3:uid="{27F07C8B-2963-4369-9E13-C0A6D2DA02B7}" name="Lunes" dataDxfId="81"/>
    <tableColumn id="5" xr3:uid="{C7C6D502-10BC-456E-9C90-12025E1C9AB2}" name="Martes" dataDxfId="80"/>
    <tableColumn id="6" xr3:uid="{8425747D-0388-4935-B6ED-D825725E47F7}" name="Miércoles" dataDxfId="79"/>
    <tableColumn id="7" xr3:uid="{6C0A0CD9-BD0E-4FDA-8BF0-622D196F978C}" name="Jueves" dataDxfId="78"/>
    <tableColumn id="8" xr3:uid="{BC497608-B478-4052-8A82-1E91E07833A2}" name="Viernes" dataDxfId="77"/>
  </tableColumns>
  <tableStyleInfo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 dT="2024-01-26T08:46:11.31" personId="{3B30A4E7-B0BB-4E08-866A-55B96AC74E0E}" id="{214E6E02-10C9-43F9-A581-14FD86E6C6AE}">
    <text>Probabilidad total máxima:
Temas parte A: 44-45
Temas parte B: 44-45
Probabilidad total: 100%
Probabilidad por número de temas: 1,11%-1,14%
Nivel de eficiencia: 83,42%-85,32%</text>
  </threadedComment>
  <threadedComment ref="C7" dT="2024-01-26T08:35:39.72" personId="{3B30A4E7-B0BB-4E08-866A-55B96AC74E0E}" id="{8CC71747-02E4-4172-AAD1-8E818B4259EA}">
    <text>Probabilidad máxima por número de temas:
Temas parte A: 30
Temas parte B: 30
Probabilidad total: 79,91%
Probabilidad por número de temas: 1,33%
Nivel de eficiencia: 100%</text>
  </threadedComment>
  <threadedComment ref="C10" dT="2024-01-26T08:37:17.69" personId="{3B30A4E7-B0BB-4E08-866A-55B96AC74E0E}" id="{56AC42B5-7101-4808-8862-0A3248F04DC1}">
    <text>Nivel de eficiencia máximo:
Temas parte A: 30
Temas parte B: 30
Probabilidad total: 79,91%
Probabilidad por número de temas: 1,33%
Nivel de eficiencia: 100%</text>
  </threadedComment>
</ThreadedComments>
</file>

<file path=xl/threadedComments/threadedComment2.xml><?xml version="1.0" encoding="utf-8"?>
<ThreadedComments xmlns="http://schemas.microsoft.com/office/spreadsheetml/2018/threadedcomments" xmlns:x="http://schemas.openxmlformats.org/spreadsheetml/2006/main">
  <threadedComment ref="C4" dT="2024-01-26T08:52:31.80" personId="{3B30A4E7-B0BB-4E08-866A-55B96AC74E0E}" id="{E2DD54F1-948B-4636-AF7A-A13F0C601439}">
    <text>Probabilidad total máxima:
Temas parte A: 29-30
Temas parte B: 25-26
Probabilidad total: 100%
Probabilidad por número de temas: 1,79%-1,85%
Nivel de eficiencia: 82,76%-85,82%</text>
  </threadedComment>
  <threadedComment ref="C7" dT="2024-01-26T08:50:44.81" personId="{3B30A4E7-B0BB-4E08-866A-55B96AC74E0E}" id="{C004DA3A-6E96-4110-ACF9-A87CFD2BCD08}">
    <text>Probabilidad máxima por número de temas:
Temas parte A: 19
Temas parte B: 17
Probabilidad total: 77,68%
Probabilidad por número de temas: 2,16%
Nivel de eficiencia: 100%</text>
  </threadedComment>
  <threadedComment ref="C10" dT="2024-01-26T08:49:42.87" personId="{3B30A4E7-B0BB-4E08-866A-55B96AC74E0E}" id="{8BD075D9-5F76-481F-8AB1-C7B521AC35A1}">
    <text>Nivel de eficiencia máximo:
Temas parte A: 19
Temas parte B: 17
Probabilidad total: 77,68%
Probabilidad por número de temas: 2,16%
Nivel de eficiencia: 100%</text>
  </threadedComment>
</ThreadedComments>
</file>

<file path=xl/threadedComments/threadedComment3.xml><?xml version="1.0" encoding="utf-8"?>
<ThreadedComments xmlns="http://schemas.microsoft.com/office/spreadsheetml/2018/threadedcomments" xmlns:x="http://schemas.openxmlformats.org/spreadsheetml/2006/main">
  <threadedComment ref="E13" dT="2024-08-08T16:56:44.30" personId="{3B30A4E7-B0BB-4E08-866A-55B96AC74E0E}" id="{C6EA8E62-4BD8-444F-A99E-4C80A663BDB3}">
    <text>A nivel global, este porcentaje se maximiza (de la manera más eficiente posible) para:
   Tercer ejercicio:
     Parte A: 44 temas
     Parte B: 44 temas
   Cuarto ejercicio:
     Parte A: 29 temas
     Parte B: 25 temas
   Quinto ejercicio:
     Parte A: 10 temas
     Parte B: 6 temas
     Parte C: 0 temas
Probabilidad total: 100%
Probabilidad por tema estudiado: 0,6329%</text>
  </threadedComment>
  <threadedComment ref="F13" dT="2024-08-08T16:49:20.27" personId="{3B30A4E7-B0BB-4E08-866A-55B96AC74E0E}" id="{547644D9-17C1-497E-9F80-307F8789800F}">
    <text xml:space="preserve">A nivel global, este porcentaje se maximiza para:
   Tercer ejercicio:
     Parte A: 38 temas
     Parte B: 38 temas
   Cuarto ejercicio:
     Parte A: 26 temas
     Parte B: 23 temas
   Quinto ejercicio:
     Parte A: 10 temas
     Parte B: 6 temas
     Parte C: 0 temas
Probabilidad total: 93,61%
Probabilidad por tema estudiado: 0,6639%
</text>
  </threadedComment>
  <threadedComment ref="G13" dT="2024-08-08T16:50:18.44" personId="{3B30A4E7-B0BB-4E08-866A-55B96AC74E0E}" id="{A185BAC8-F516-40C3-880C-00FB067DEBA2}">
    <text xml:space="preserve">A nivel global, en caso de buscar la máxima eficiencia ejercicio por ejercicio:
   Tercer ejercicio:
     Parte A: 30 temas
     Parte B: 30 temas
   Cuarto ejercicio:
     Parte A: 19 temas
     Parte B: 17 temas
   Quinto ejercicio:
     Parte A: 10 temas
     Parte B: 6 temas
     Parte C: 0 temas
Probabilidad total: 62,08%
Probabilidad por tema estudiado: 0,5543%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A39DF-2F03-45DB-8231-CD051FB59D73}">
  <sheetPr codeName="Hoja1"/>
  <dimension ref="A1:XFC50"/>
  <sheetViews>
    <sheetView showGridLines="0" tabSelected="1" defaultGridColor="0" colorId="9" zoomScaleNormal="100" workbookViewId="0">
      <selection sqref="A1:Z50"/>
    </sheetView>
  </sheetViews>
  <sheetFormatPr baseColWidth="10" defaultColWidth="0" defaultRowHeight="15" zeroHeight="1" x14ac:dyDescent="0.25"/>
  <cols>
    <col min="1" max="25" width="11.5703125" style="19" customWidth="1"/>
    <col min="26" max="26" width="21.7109375" style="19" customWidth="1"/>
    <col min="27" max="16383" width="11.5703125" style="19" hidden="1"/>
    <col min="16384" max="16384" width="10.28515625" style="19" hidden="1" customWidth="1"/>
  </cols>
  <sheetData>
    <row r="1" spans="1:14" x14ac:dyDescent="0.25">
      <c r="A1" s="105" t="s">
        <v>180</v>
      </c>
      <c r="B1" s="105"/>
      <c r="C1" s="105"/>
      <c r="D1" s="105"/>
      <c r="E1" s="105"/>
      <c r="F1" s="105"/>
      <c r="G1" s="105"/>
      <c r="H1" s="105"/>
      <c r="I1" s="105"/>
      <c r="J1" s="105"/>
      <c r="K1" s="105"/>
      <c r="L1" s="105"/>
      <c r="M1" s="105"/>
      <c r="N1" s="105"/>
    </row>
    <row r="2" spans="1:14" x14ac:dyDescent="0.25">
      <c r="A2" s="105"/>
      <c r="B2" s="105"/>
      <c r="C2" s="105"/>
      <c r="D2" s="105"/>
      <c r="E2" s="105"/>
      <c r="F2" s="105"/>
      <c r="G2" s="105"/>
      <c r="H2" s="105"/>
      <c r="I2" s="105"/>
      <c r="J2" s="105"/>
      <c r="K2" s="105"/>
      <c r="L2" s="105"/>
      <c r="M2" s="105"/>
      <c r="N2" s="105"/>
    </row>
    <row r="3" spans="1:14" x14ac:dyDescent="0.25">
      <c r="A3" s="105"/>
      <c r="B3" s="105"/>
      <c r="C3" s="105"/>
      <c r="D3" s="105"/>
      <c r="E3" s="105"/>
      <c r="F3" s="105"/>
      <c r="G3" s="105"/>
      <c r="H3" s="105"/>
      <c r="I3" s="105"/>
      <c r="J3" s="105"/>
      <c r="K3" s="105"/>
      <c r="L3" s="105"/>
      <c r="M3" s="105"/>
      <c r="N3" s="105"/>
    </row>
    <row r="4" spans="1:14" x14ac:dyDescent="0.25">
      <c r="A4" s="105"/>
      <c r="B4" s="105"/>
      <c r="C4" s="105"/>
      <c r="D4" s="105"/>
      <c r="E4" s="105"/>
      <c r="F4" s="105"/>
      <c r="G4" s="105"/>
      <c r="H4" s="105"/>
      <c r="I4" s="105"/>
      <c r="J4" s="105"/>
      <c r="K4" s="105"/>
      <c r="L4" s="105"/>
      <c r="M4" s="105"/>
      <c r="N4" s="105"/>
    </row>
    <row r="5" spans="1:14" x14ac:dyDescent="0.25"/>
    <row r="6" spans="1:14" x14ac:dyDescent="0.25"/>
    <row r="7" spans="1:14" x14ac:dyDescent="0.25"/>
    <row r="8" spans="1:14" x14ac:dyDescent="0.25"/>
    <row r="9" spans="1:14" x14ac:dyDescent="0.25"/>
    <row r="10" spans="1:14" x14ac:dyDescent="0.25"/>
    <row r="11" spans="1:14" x14ac:dyDescent="0.25"/>
    <row r="12" spans="1:14" x14ac:dyDescent="0.25"/>
    <row r="13" spans="1:14" x14ac:dyDescent="0.25"/>
    <row r="14" spans="1:14" x14ac:dyDescent="0.25"/>
    <row r="15" spans="1:14" x14ac:dyDescent="0.25"/>
    <row r="16" spans="1:14"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spans="26:26" x14ac:dyDescent="0.25"/>
    <row r="50" spans="26:26" x14ac:dyDescent="0.25">
      <c r="Z50" s="35" t="s">
        <v>182</v>
      </c>
    </row>
  </sheetData>
  <sheetProtection algorithmName="SHA-512" hashValue="NcYkZKqdqjwQVaIU2bJz1jgR+/bZyqREwZWnd7WibUmrSHsUWlMm465lpvHN5KHpKVoqxKET3AQ6x4oY/nMUsA==" saltValue="6XZdBSk83vpQBcELpOU7cA==" spinCount="100000" sheet="1" objects="1" scenarios="1" selectLockedCells="1" selectUnlockedCells="1"/>
  <mergeCells count="1">
    <mergeCell ref="A1:N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50E57-95A2-4514-85E1-58DE56C62EC3}">
  <sheetPr codeName="Hoja12"/>
  <dimension ref="A1:Z57"/>
  <sheetViews>
    <sheetView showGridLines="0" showRowColHeaders="0" zoomScaleNormal="100" workbookViewId="0">
      <selection activeCell="B1" sqref="B1:I4"/>
    </sheetView>
  </sheetViews>
  <sheetFormatPr baseColWidth="10" defaultColWidth="0" defaultRowHeight="15" zeroHeight="1" x14ac:dyDescent="0.25"/>
  <cols>
    <col min="1" max="26" width="11.5703125" style="18" customWidth="1"/>
    <col min="27" max="16384" width="11.5703125" style="18" hidden="1"/>
  </cols>
  <sheetData>
    <row r="1" spans="2:9" x14ac:dyDescent="0.25">
      <c r="B1" s="106" t="s">
        <v>178</v>
      </c>
      <c r="C1" s="106"/>
      <c r="D1" s="106"/>
      <c r="E1" s="106"/>
      <c r="F1" s="106"/>
      <c r="G1" s="106"/>
      <c r="H1" s="106"/>
      <c r="I1" s="106"/>
    </row>
    <row r="2" spans="2:9" x14ac:dyDescent="0.25">
      <c r="B2" s="106"/>
      <c r="C2" s="106"/>
      <c r="D2" s="106"/>
      <c r="E2" s="106"/>
      <c r="F2" s="106"/>
      <c r="G2" s="106"/>
      <c r="H2" s="106"/>
      <c r="I2" s="106"/>
    </row>
    <row r="3" spans="2:9" x14ac:dyDescent="0.25">
      <c r="B3" s="106"/>
      <c r="C3" s="106"/>
      <c r="D3" s="106"/>
      <c r="E3" s="106"/>
      <c r="F3" s="106"/>
      <c r="G3" s="106"/>
      <c r="H3" s="106"/>
      <c r="I3" s="106"/>
    </row>
    <row r="4" spans="2:9" x14ac:dyDescent="0.25">
      <c r="B4" s="106"/>
      <c r="C4" s="106"/>
      <c r="D4" s="106"/>
      <c r="E4" s="106"/>
      <c r="F4" s="106"/>
      <c r="G4" s="106"/>
      <c r="H4" s="106"/>
      <c r="I4" s="106"/>
    </row>
    <row r="5" spans="2:9" x14ac:dyDescent="0.25"/>
    <row r="6" spans="2:9" x14ac:dyDescent="0.25"/>
    <row r="7" spans="2:9" x14ac:dyDescent="0.25"/>
    <row r="8" spans="2:9" x14ac:dyDescent="0.25"/>
    <row r="9" spans="2:9" x14ac:dyDescent="0.25"/>
    <row r="10" spans="2:9" x14ac:dyDescent="0.25"/>
    <row r="11" spans="2:9" x14ac:dyDescent="0.25"/>
    <row r="12" spans="2:9" x14ac:dyDescent="0.25"/>
    <row r="13" spans="2:9" x14ac:dyDescent="0.25"/>
    <row r="14" spans="2:9" x14ac:dyDescent="0.25"/>
    <row r="15" spans="2:9" x14ac:dyDescent="0.25"/>
    <row r="16" spans="2:9"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sheetData>
  <sheetProtection algorithmName="SHA-512" hashValue="OPrZ0rRWa2xai41jMEe6fpukS9B115HwKzDWR5DA079fY3NjEko0CVdijPEB001JC/9zRX2WxBr7/N+agVLE3w==" saltValue="4A1Gj8m1LKRiWJ6G+Bobyg==" spinCount="100000" sheet="1" objects="1" scenarios="1" selectLockedCells="1" selectUnlockedCells="1"/>
  <mergeCells count="1">
    <mergeCell ref="B1:I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4C774-A5C2-404A-8A70-CAAB949170EA}">
  <sheetPr codeName="Hoja2"/>
  <dimension ref="B1:BO105"/>
  <sheetViews>
    <sheetView showGridLines="0" zoomScale="85" zoomScaleNormal="85" workbookViewId="0">
      <selection activeCell="E2" sqref="E2"/>
    </sheetView>
  </sheetViews>
  <sheetFormatPr baseColWidth="10" defaultColWidth="8.85546875" defaultRowHeight="15" x14ac:dyDescent="0.25"/>
  <cols>
    <col min="1" max="1" width="8.85546875" style="1"/>
    <col min="2" max="2" width="20.42578125" style="1" customWidth="1"/>
    <col min="3" max="3" width="23.7109375" style="1" customWidth="1"/>
    <col min="4" max="4" width="20.42578125" style="1" customWidth="1"/>
    <col min="5" max="5" width="23.7109375" style="1" customWidth="1"/>
    <col min="6" max="6" width="8.85546875" style="1"/>
    <col min="7" max="7" width="11.85546875" style="1" customWidth="1"/>
    <col min="8" max="8" width="11.85546875" style="1" hidden="1" customWidth="1"/>
    <col min="9" max="17" width="8.85546875" style="1"/>
    <col min="18" max="18" width="9.140625" style="1" bestFit="1" customWidth="1"/>
    <col min="19" max="27" width="8.85546875" style="1"/>
    <col min="28" max="28" width="9.140625" style="1" bestFit="1" customWidth="1"/>
    <col min="29" max="62" width="8.85546875" style="1"/>
    <col min="63" max="63" width="8.85546875" style="1" customWidth="1"/>
    <col min="64" max="66" width="8.85546875" style="1" hidden="1" customWidth="1"/>
    <col min="67" max="67" width="0" style="1" hidden="1" customWidth="1"/>
    <col min="68" max="16384" width="8.85546875" style="1"/>
  </cols>
  <sheetData>
    <row r="1" spans="2:67" ht="15.75" thickBot="1" x14ac:dyDescent="0.3">
      <c r="B1" s="107" t="s">
        <v>0</v>
      </c>
      <c r="C1" s="107"/>
      <c r="D1" s="107"/>
      <c r="E1" s="107"/>
      <c r="G1" s="95" t="s">
        <v>12</v>
      </c>
      <c r="H1" s="95"/>
      <c r="I1" s="95"/>
    </row>
    <row r="2" spans="2:67" ht="15.75" thickBot="1" x14ac:dyDescent="0.3">
      <c r="B2" s="4" t="s">
        <v>9</v>
      </c>
      <c r="C2" s="26">
        <v>30</v>
      </c>
      <c r="D2" s="5" t="s">
        <v>10</v>
      </c>
      <c r="E2" s="20">
        <v>30</v>
      </c>
      <c r="G2" s="96" t="s">
        <v>9</v>
      </c>
      <c r="H2" s="17">
        <f ca="1">_xlfn.RANK.EQ(BM9,$BM$9:$BM$53)</f>
        <v>11</v>
      </c>
      <c r="I2" s="8" t="str">
        <f ca="1">_xlfn.CONCAT("3.A.",H2)</f>
        <v>3.A.11</v>
      </c>
      <c r="J2" s="7" t="str">
        <f ca="1">VLOOKUP(I2,ListadoDeTemas1[[Tema]:[Nombre del tema]],2,FALSE)</f>
        <v xml:space="preserve">Teoría de la producción. Caracterización de la tecnología de la empresa a corto y largo plazo. El conjunto de posibilidades de producción. La función de producción. Rendimientos locales y globales a escala. Elasticidad de sustitución. Producción conjunta. </v>
      </c>
    </row>
    <row r="3" spans="2:67" x14ac:dyDescent="0.25">
      <c r="B3" s="4"/>
      <c r="C3" s="6"/>
      <c r="D3" s="5"/>
      <c r="G3" s="96"/>
      <c r="H3" s="17">
        <f ca="1">_xlfn.RANK.EQ(BM10,$BM$9:$BM$53)</f>
        <v>14</v>
      </c>
      <c r="I3" s="8" t="str">
        <f ca="1">_xlfn.CONCAT("3.A.",H3)</f>
        <v>3.A.14</v>
      </c>
      <c r="J3" s="7" t="str">
        <f ca="1">VLOOKUP(I3,ListadoDeTemas1[[Tema]:[Nombre del tema]],2,FALSE)</f>
        <v>Teoría de juegos. Principales conceptos. Aplicaciones, con especial referencia a las subastas.</v>
      </c>
      <c r="AE3" s="3"/>
    </row>
    <row r="4" spans="2:67" ht="14.45" customHeight="1" thickBot="1" x14ac:dyDescent="0.3">
      <c r="B4" s="4"/>
      <c r="C4" s="97" t="s">
        <v>11</v>
      </c>
      <c r="D4" s="97"/>
      <c r="G4" s="96" t="s">
        <v>10</v>
      </c>
      <c r="H4" s="17">
        <f ca="1">_xlfn.RANK.EQ(BO9,$BO$9:$BO$53)</f>
        <v>12</v>
      </c>
      <c r="I4" s="8" t="str">
        <f ca="1">_xlfn.CONCAT("3.B.",H4)</f>
        <v>3.B.12</v>
      </c>
      <c r="J4" s="7" t="str">
        <f ca="1">VLOOKUP(I4,ListadoDeTemas1[[Tema]:[Nombre del tema]],2,FALSE)</f>
        <v>Mecanismos de ajuste de la balanza de pagos. Especial referencia al enfoque intertemporal de balanza de pagos. Análisis de sostenibilidad del déficit y de la deuda exterior.</v>
      </c>
    </row>
    <row r="5" spans="2:67" ht="15.75" thickBot="1" x14ac:dyDescent="0.3">
      <c r="B5" s="4"/>
      <c r="C5" s="98">
        <f>VLOOKUP($E$2,$P$8:$BJ$54,$C$2+2,FALSE)</f>
        <v>0.79912764003673076</v>
      </c>
      <c r="D5" s="99"/>
      <c r="G5" s="96"/>
      <c r="H5" s="17">
        <f ca="1">_xlfn.RANK.EQ(BO10,$BO$9:$BO$53)</f>
        <v>4</v>
      </c>
      <c r="I5" s="8" t="str">
        <f ca="1">_xlfn.CONCAT("3.B.",H5)</f>
        <v>3.B.4</v>
      </c>
      <c r="J5" s="7" t="str">
        <f ca="1">VLOOKUP(I5,ListadoDeTemas1[[Tema]:[Nombre del tema]],2,FALSE)</f>
        <v>Análisis del crecimiento de la empresa. Métodos de valoración de empresas. Especial referencia a los procesos de fusión, adquisición y alianzas estratégicas.</v>
      </c>
    </row>
    <row r="6" spans="2:67" ht="14.45" customHeight="1" x14ac:dyDescent="0.25">
      <c r="B6" s="4"/>
      <c r="C6" s="100" t="str" cm="1">
        <f t="array" ref="C6">IFERROR(_xlfn.IFS(IFERROR(VLOOKUP($E$2,$P$8:$BI$55,$C$2+2,FALSE)&lt;VLOOKUP($E$2+1,$P$8:$BI$55,$C$2+1,FALSE),1=0),"Cambiar un tema de la parte A por un tema de la parte B",VLOOKUP($E$2,$P$8:$BI$55,$C$2+2,FALSE)&lt;VLOOKUP($E$2-1,$P$8:$BI$55,$C$2+3,FALSE),"Cambiar un tema de la parte B por un tema de la parte A"),"")</f>
        <v/>
      </c>
      <c r="D6" s="100"/>
      <c r="J6" s="7"/>
      <c r="O6" s="103" t="s">
        <v>11</v>
      </c>
      <c r="P6" s="103"/>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c r="BG6" s="103"/>
      <c r="BH6" s="103"/>
      <c r="BI6" s="103"/>
    </row>
    <row r="7" spans="2:67" ht="15.75" thickBot="1" x14ac:dyDescent="0.3">
      <c r="B7" s="4"/>
      <c r="C7" s="97" t="s">
        <v>127</v>
      </c>
      <c r="D7" s="97"/>
      <c r="J7" s="7"/>
      <c r="Q7" s="93" t="s">
        <v>6</v>
      </c>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row>
    <row r="8" spans="2:67" ht="15.75" thickBot="1" x14ac:dyDescent="0.3">
      <c r="B8" s="4"/>
      <c r="C8" s="98">
        <f>VLOOKUP($E$2,$P$58:$BJ$104,$C$2+2,FALSE)</f>
        <v>1.3318794000612179E-2</v>
      </c>
      <c r="D8" s="99"/>
      <c r="J8" s="7"/>
      <c r="Q8" s="2">
        <v>0</v>
      </c>
      <c r="R8" s="2">
        <v>1</v>
      </c>
      <c r="S8" s="2">
        <v>2</v>
      </c>
      <c r="T8" s="2">
        <v>3</v>
      </c>
      <c r="U8" s="2">
        <v>4</v>
      </c>
      <c r="V8" s="2">
        <v>5</v>
      </c>
      <c r="W8" s="2">
        <v>6</v>
      </c>
      <c r="X8" s="2">
        <v>7</v>
      </c>
      <c r="Y8" s="2">
        <v>8</v>
      </c>
      <c r="Z8" s="2">
        <v>9</v>
      </c>
      <c r="AA8" s="2">
        <v>10</v>
      </c>
      <c r="AB8" s="2">
        <v>11</v>
      </c>
      <c r="AC8" s="2">
        <v>12</v>
      </c>
      <c r="AD8" s="2">
        <v>13</v>
      </c>
      <c r="AE8" s="2">
        <v>14</v>
      </c>
      <c r="AF8" s="2">
        <v>15</v>
      </c>
      <c r="AG8" s="2">
        <v>16</v>
      </c>
      <c r="AH8" s="2">
        <v>17</v>
      </c>
      <c r="AI8" s="2">
        <v>18</v>
      </c>
      <c r="AJ8" s="2">
        <v>19</v>
      </c>
      <c r="AK8" s="2">
        <v>20</v>
      </c>
      <c r="AL8" s="2">
        <v>21</v>
      </c>
      <c r="AM8" s="2">
        <v>22</v>
      </c>
      <c r="AN8" s="2">
        <v>23</v>
      </c>
      <c r="AO8" s="2">
        <v>24</v>
      </c>
      <c r="AP8" s="2">
        <v>25</v>
      </c>
      <c r="AQ8" s="2">
        <v>26</v>
      </c>
      <c r="AR8" s="2">
        <v>27</v>
      </c>
      <c r="AS8" s="2">
        <v>28</v>
      </c>
      <c r="AT8" s="2">
        <v>29</v>
      </c>
      <c r="AU8" s="2">
        <v>30</v>
      </c>
      <c r="AV8" s="1">
        <v>31</v>
      </c>
      <c r="AW8" s="2">
        <v>32</v>
      </c>
      <c r="AX8" s="1">
        <v>33</v>
      </c>
      <c r="AY8" s="2">
        <v>34</v>
      </c>
      <c r="AZ8" s="1">
        <v>35</v>
      </c>
      <c r="BA8" s="2">
        <v>36</v>
      </c>
      <c r="BB8" s="1">
        <v>37</v>
      </c>
      <c r="BC8" s="2">
        <v>38</v>
      </c>
      <c r="BD8" s="1">
        <v>39</v>
      </c>
      <c r="BE8" s="2">
        <v>40</v>
      </c>
      <c r="BF8" s="1">
        <v>41</v>
      </c>
      <c r="BG8" s="2">
        <v>42</v>
      </c>
      <c r="BH8" s="1">
        <v>43</v>
      </c>
      <c r="BI8" s="2">
        <v>44</v>
      </c>
      <c r="BJ8" s="1">
        <v>45</v>
      </c>
      <c r="BM8" s="1" t="s">
        <v>213</v>
      </c>
      <c r="BO8" s="1" t="s">
        <v>214</v>
      </c>
    </row>
    <row r="9" spans="2:67" ht="13.9" customHeight="1" x14ac:dyDescent="0.25">
      <c r="B9" s="4"/>
      <c r="C9" s="14"/>
      <c r="D9" s="14"/>
      <c r="J9" s="7"/>
      <c r="O9" s="104" t="s">
        <v>7</v>
      </c>
      <c r="P9" s="2">
        <v>0</v>
      </c>
      <c r="Q9" s="3">
        <f>VLOOKUP($P9,$D$15:$E$60,2,FALSE)*VLOOKUP(Q$8,$B$15:$C$60,2,FALSE)</f>
        <v>0</v>
      </c>
      <c r="R9" s="3">
        <f t="shared" ref="R9:BJ14" si="0">VLOOKUP($P9,$D$15:$E$60,2,FALSE)*VLOOKUP(R$8,$B$15:$C$60,2,FALSE)</f>
        <v>0</v>
      </c>
      <c r="S9" s="3">
        <f t="shared" si="0"/>
        <v>0</v>
      </c>
      <c r="T9" s="3">
        <f t="shared" si="0"/>
        <v>0</v>
      </c>
      <c r="U9" s="3">
        <f t="shared" si="0"/>
        <v>0</v>
      </c>
      <c r="V9" s="3">
        <f t="shared" si="0"/>
        <v>0</v>
      </c>
      <c r="W9" s="3">
        <f t="shared" si="0"/>
        <v>0</v>
      </c>
      <c r="X9" s="3">
        <f t="shared" si="0"/>
        <v>0</v>
      </c>
      <c r="Y9" s="3">
        <f t="shared" si="0"/>
        <v>0</v>
      </c>
      <c r="Z9" s="3">
        <f t="shared" si="0"/>
        <v>0</v>
      </c>
      <c r="AA9" s="3">
        <f t="shared" si="0"/>
        <v>0</v>
      </c>
      <c r="AB9" s="3">
        <f t="shared" si="0"/>
        <v>0</v>
      </c>
      <c r="AC9" s="3">
        <f t="shared" si="0"/>
        <v>0</v>
      </c>
      <c r="AD9" s="3">
        <f t="shared" si="0"/>
        <v>0</v>
      </c>
      <c r="AE9" s="3">
        <f t="shared" si="0"/>
        <v>0</v>
      </c>
      <c r="AF9" s="3">
        <f t="shared" si="0"/>
        <v>0</v>
      </c>
      <c r="AG9" s="3">
        <f t="shared" si="0"/>
        <v>0</v>
      </c>
      <c r="AH9" s="3">
        <f t="shared" si="0"/>
        <v>0</v>
      </c>
      <c r="AI9" s="3">
        <f t="shared" si="0"/>
        <v>0</v>
      </c>
      <c r="AJ9" s="3">
        <f t="shared" si="0"/>
        <v>0</v>
      </c>
      <c r="AK9" s="3">
        <f t="shared" si="0"/>
        <v>0</v>
      </c>
      <c r="AL9" s="3">
        <f t="shared" si="0"/>
        <v>0</v>
      </c>
      <c r="AM9" s="3">
        <f t="shared" si="0"/>
        <v>0</v>
      </c>
      <c r="AN9" s="3">
        <f t="shared" si="0"/>
        <v>0</v>
      </c>
      <c r="AO9" s="3">
        <f t="shared" si="0"/>
        <v>0</v>
      </c>
      <c r="AP9" s="3">
        <f t="shared" si="0"/>
        <v>0</v>
      </c>
      <c r="AQ9" s="3">
        <f t="shared" si="0"/>
        <v>0</v>
      </c>
      <c r="AR9" s="3">
        <f t="shared" si="0"/>
        <v>0</v>
      </c>
      <c r="AS9" s="3">
        <f t="shared" si="0"/>
        <v>0</v>
      </c>
      <c r="AT9" s="3">
        <f t="shared" si="0"/>
        <v>0</v>
      </c>
      <c r="AU9" s="3">
        <f t="shared" si="0"/>
        <v>0</v>
      </c>
      <c r="AV9" s="3">
        <f t="shared" si="0"/>
        <v>0</v>
      </c>
      <c r="AW9" s="3">
        <f t="shared" si="0"/>
        <v>0</v>
      </c>
      <c r="AX9" s="3">
        <f t="shared" si="0"/>
        <v>0</v>
      </c>
      <c r="AY9" s="3">
        <f t="shared" si="0"/>
        <v>0</v>
      </c>
      <c r="AZ9" s="3">
        <f t="shared" si="0"/>
        <v>0</v>
      </c>
      <c r="BA9" s="3">
        <f t="shared" si="0"/>
        <v>0</v>
      </c>
      <c r="BB9" s="3">
        <f t="shared" si="0"/>
        <v>0</v>
      </c>
      <c r="BC9" s="3">
        <f t="shared" si="0"/>
        <v>0</v>
      </c>
      <c r="BD9" s="3">
        <f t="shared" si="0"/>
        <v>0</v>
      </c>
      <c r="BE9" s="3">
        <f t="shared" si="0"/>
        <v>0</v>
      </c>
      <c r="BF9" s="3">
        <f t="shared" si="0"/>
        <v>0</v>
      </c>
      <c r="BG9" s="3">
        <f t="shared" si="0"/>
        <v>0</v>
      </c>
      <c r="BH9" s="3">
        <f t="shared" si="0"/>
        <v>0</v>
      </c>
      <c r="BI9" s="3">
        <f t="shared" si="0"/>
        <v>0</v>
      </c>
      <c r="BJ9" s="3">
        <f t="shared" si="0"/>
        <v>0</v>
      </c>
      <c r="BL9" s="1">
        <v>1</v>
      </c>
      <c r="BM9" s="1">
        <f ca="1">RAND()</f>
        <v>0.688074151744405</v>
      </c>
      <c r="BN9" s="1">
        <v>1</v>
      </c>
      <c r="BO9" s="1">
        <f ca="1">RAND()</f>
        <v>0.7605232432497363</v>
      </c>
    </row>
    <row r="10" spans="2:67" ht="15" customHeight="1" thickBot="1" x14ac:dyDescent="0.3">
      <c r="B10" s="4"/>
      <c r="C10" s="93" t="s">
        <v>128</v>
      </c>
      <c r="D10" s="93"/>
      <c r="J10" s="7"/>
      <c r="O10" s="104"/>
      <c r="P10" s="2">
        <v>1</v>
      </c>
      <c r="Q10" s="3">
        <f t="shared" ref="Q10:AF54" si="1">VLOOKUP($P10,$D$15:$E$60,2,FALSE)*VLOOKUP(Q$8,$B$15:$C$60,2,FALSE)</f>
        <v>0</v>
      </c>
      <c r="R10" s="3">
        <f t="shared" si="1"/>
        <v>1.9753086419753087E-3</v>
      </c>
      <c r="S10" s="3">
        <f t="shared" si="1"/>
        <v>3.9057239057239063E-3</v>
      </c>
      <c r="T10" s="3">
        <f t="shared" si="1"/>
        <v>5.7912457912457915E-3</v>
      </c>
      <c r="U10" s="3">
        <f t="shared" si="1"/>
        <v>7.6318742985409657E-3</v>
      </c>
      <c r="V10" s="3">
        <f t="shared" si="1"/>
        <v>9.427609427609427E-3</v>
      </c>
      <c r="W10" s="3">
        <f t="shared" si="1"/>
        <v>1.117845117845118E-2</v>
      </c>
      <c r="X10" s="3">
        <f t="shared" si="1"/>
        <v>1.2884399551066216E-2</v>
      </c>
      <c r="Y10" s="3">
        <f t="shared" si="1"/>
        <v>1.4545454545454545E-2</v>
      </c>
      <c r="Z10" s="3">
        <f t="shared" si="1"/>
        <v>1.6161616161616162E-2</v>
      </c>
      <c r="AA10" s="3">
        <f t="shared" si="1"/>
        <v>1.7732884399551067E-2</v>
      </c>
      <c r="AB10" s="3">
        <f t="shared" si="1"/>
        <v>1.9259259259259261E-2</v>
      </c>
      <c r="AC10" s="3">
        <f t="shared" si="1"/>
        <v>2.074074074074074E-2</v>
      </c>
      <c r="AD10" s="3">
        <f t="shared" si="1"/>
        <v>2.2177328843995512E-2</v>
      </c>
      <c r="AE10" s="3">
        <f t="shared" si="1"/>
        <v>2.3569023569023569E-2</v>
      </c>
      <c r="AF10" s="3">
        <f t="shared" si="1"/>
        <v>2.4915824915824916E-2</v>
      </c>
      <c r="AG10" s="3">
        <f t="shared" si="0"/>
        <v>2.6217732884399554E-2</v>
      </c>
      <c r="AH10" s="3">
        <f t="shared" si="0"/>
        <v>2.7474747474747475E-2</v>
      </c>
      <c r="AI10" s="3">
        <f t="shared" si="0"/>
        <v>2.8686868686868691E-2</v>
      </c>
      <c r="AJ10" s="3">
        <f t="shared" si="0"/>
        <v>2.985409652076319E-2</v>
      </c>
      <c r="AK10" s="3">
        <f t="shared" si="0"/>
        <v>3.097643097643098E-2</v>
      </c>
      <c r="AL10" s="3">
        <f t="shared" si="0"/>
        <v>3.2053872053872057E-2</v>
      </c>
      <c r="AM10" s="3">
        <f t="shared" si="0"/>
        <v>3.3086419753086418E-2</v>
      </c>
      <c r="AN10" s="3">
        <f t="shared" si="0"/>
        <v>3.4074074074074076E-2</v>
      </c>
      <c r="AO10" s="3">
        <f t="shared" si="0"/>
        <v>3.5016835016835016E-2</v>
      </c>
      <c r="AP10" s="3">
        <f t="shared" si="0"/>
        <v>3.5914702581369251E-2</v>
      </c>
      <c r="AQ10" s="3">
        <f t="shared" si="0"/>
        <v>3.6767676767676769E-2</v>
      </c>
      <c r="AR10" s="3">
        <f t="shared" si="0"/>
        <v>3.7575757575757575E-2</v>
      </c>
      <c r="AS10" s="3">
        <f t="shared" si="0"/>
        <v>3.8338945005611677E-2</v>
      </c>
      <c r="AT10" s="3">
        <f t="shared" si="0"/>
        <v>3.9057239057239061E-2</v>
      </c>
      <c r="AU10" s="3">
        <f t="shared" si="0"/>
        <v>3.9730639730639727E-2</v>
      </c>
      <c r="AV10" s="3">
        <f t="shared" si="0"/>
        <v>4.0359147025813689E-2</v>
      </c>
      <c r="AW10" s="3">
        <f t="shared" si="0"/>
        <v>4.0942760942760947E-2</v>
      </c>
      <c r="AX10" s="3">
        <f t="shared" si="0"/>
        <v>4.148148148148148E-2</v>
      </c>
      <c r="AY10" s="3">
        <f t="shared" si="0"/>
        <v>4.1975308641975309E-2</v>
      </c>
      <c r="AZ10" s="3">
        <f t="shared" si="0"/>
        <v>4.2424242424242427E-2</v>
      </c>
      <c r="BA10" s="3">
        <f t="shared" si="0"/>
        <v>4.2828282828282833E-2</v>
      </c>
      <c r="BB10" s="3">
        <f t="shared" si="0"/>
        <v>4.3187429854096522E-2</v>
      </c>
      <c r="BC10" s="3">
        <f t="shared" si="0"/>
        <v>4.35016835016835E-2</v>
      </c>
      <c r="BD10" s="3">
        <f t="shared" si="0"/>
        <v>4.3771043771043773E-2</v>
      </c>
      <c r="BE10" s="3">
        <f t="shared" si="0"/>
        <v>4.3995510662177328E-2</v>
      </c>
      <c r="BF10" s="3">
        <f t="shared" si="0"/>
        <v>4.4175084175084173E-2</v>
      </c>
      <c r="BG10" s="3">
        <f t="shared" si="0"/>
        <v>4.4309764309764313E-2</v>
      </c>
      <c r="BH10" s="3">
        <f t="shared" si="0"/>
        <v>4.4399551066217742E-2</v>
      </c>
      <c r="BI10" s="3">
        <f t="shared" si="0"/>
        <v>4.4444444444444446E-2</v>
      </c>
      <c r="BJ10" s="3">
        <f t="shared" si="0"/>
        <v>4.4444444444444446E-2</v>
      </c>
      <c r="BL10" s="1">
        <v>2</v>
      </c>
      <c r="BM10" s="1">
        <f t="shared" ref="BM10:BM53" ca="1" si="2">RAND()</f>
        <v>0.66532593393359041</v>
      </c>
      <c r="BN10" s="1">
        <v>2</v>
      </c>
      <c r="BO10" s="1">
        <f t="shared" ref="BO10:BO53" ca="1" si="3">RAND()</f>
        <v>0.91306547945829886</v>
      </c>
    </row>
    <row r="11" spans="2:67" ht="15.75" thickBot="1" x14ac:dyDescent="0.3">
      <c r="C11" s="101">
        <f>C8/MAX(Q59:BJ104)</f>
        <v>1</v>
      </c>
      <c r="D11" s="102"/>
      <c r="O11" s="104"/>
      <c r="P11" s="2">
        <v>2</v>
      </c>
      <c r="Q11" s="3">
        <f t="shared" si="1"/>
        <v>0</v>
      </c>
      <c r="R11" s="3">
        <f t="shared" si="0"/>
        <v>3.9057239057239063E-3</v>
      </c>
      <c r="S11" s="3">
        <f t="shared" si="0"/>
        <v>7.7226813590449972E-3</v>
      </c>
      <c r="T11" s="3">
        <f t="shared" si="0"/>
        <v>1.1450872359963272E-2</v>
      </c>
      <c r="U11" s="3">
        <f t="shared" si="0"/>
        <v>1.5090296908478728E-2</v>
      </c>
      <c r="V11" s="3">
        <f t="shared" si="0"/>
        <v>1.864095500459137E-2</v>
      </c>
      <c r="W11" s="3">
        <f t="shared" si="0"/>
        <v>2.2102846648301196E-2</v>
      </c>
      <c r="X11" s="3">
        <f t="shared" si="0"/>
        <v>2.5475971839608206E-2</v>
      </c>
      <c r="Y11" s="3">
        <f t="shared" si="0"/>
        <v>2.8760330578512398E-2</v>
      </c>
      <c r="Z11" s="3">
        <f t="shared" si="0"/>
        <v>3.1955922865013781E-2</v>
      </c>
      <c r="AA11" s="3">
        <f t="shared" si="0"/>
        <v>3.5062748699112342E-2</v>
      </c>
      <c r="AB11" s="3">
        <f t="shared" si="0"/>
        <v>3.808080808080809E-2</v>
      </c>
      <c r="AC11" s="3">
        <f t="shared" si="0"/>
        <v>4.1010101010101017E-2</v>
      </c>
      <c r="AD11" s="3">
        <f t="shared" si="0"/>
        <v>4.3850627486991131E-2</v>
      </c>
      <c r="AE11" s="3">
        <f t="shared" si="0"/>
        <v>4.6602387511478424E-2</v>
      </c>
      <c r="AF11" s="3">
        <f t="shared" si="0"/>
        <v>4.9265381083562904E-2</v>
      </c>
      <c r="AG11" s="3">
        <f t="shared" si="0"/>
        <v>5.1839608203244576E-2</v>
      </c>
      <c r="AH11" s="3">
        <f t="shared" si="0"/>
        <v>5.4325068870523421E-2</v>
      </c>
      <c r="AI11" s="3">
        <f t="shared" si="0"/>
        <v>5.672176308539946E-2</v>
      </c>
      <c r="AJ11" s="3">
        <f t="shared" si="0"/>
        <v>5.9029690847872671E-2</v>
      </c>
      <c r="AK11" s="3">
        <f t="shared" si="0"/>
        <v>6.1248852157943082E-2</v>
      </c>
      <c r="AL11" s="3">
        <f t="shared" si="0"/>
        <v>6.3379247015610651E-2</v>
      </c>
      <c r="AM11" s="3">
        <f t="shared" si="0"/>
        <v>6.5420875420875435E-2</v>
      </c>
      <c r="AN11" s="3">
        <f t="shared" si="0"/>
        <v>6.7373737373737377E-2</v>
      </c>
      <c r="AO11" s="3">
        <f t="shared" si="0"/>
        <v>6.923783287419652E-2</v>
      </c>
      <c r="AP11" s="3">
        <f t="shared" si="0"/>
        <v>7.1013161922252849E-2</v>
      </c>
      <c r="AQ11" s="3">
        <f t="shared" si="0"/>
        <v>7.269972451790635E-2</v>
      </c>
      <c r="AR11" s="3">
        <f t="shared" si="0"/>
        <v>7.4297520661157038E-2</v>
      </c>
      <c r="AS11" s="3">
        <f t="shared" si="0"/>
        <v>7.5806550352004912E-2</v>
      </c>
      <c r="AT11" s="3">
        <f t="shared" si="0"/>
        <v>7.7226813590449972E-2</v>
      </c>
      <c r="AU11" s="3">
        <f t="shared" si="0"/>
        <v>7.8558310376492191E-2</v>
      </c>
      <c r="AV11" s="3">
        <f t="shared" si="0"/>
        <v>7.9801040710131624E-2</v>
      </c>
      <c r="AW11" s="3">
        <f t="shared" si="0"/>
        <v>8.0955004591368243E-2</v>
      </c>
      <c r="AX11" s="3">
        <f t="shared" si="0"/>
        <v>8.2020202020202035E-2</v>
      </c>
      <c r="AY11" s="3">
        <f t="shared" si="0"/>
        <v>8.2996632996632999E-2</v>
      </c>
      <c r="AZ11" s="3">
        <f t="shared" si="0"/>
        <v>8.3884297520661177E-2</v>
      </c>
      <c r="BA11" s="3">
        <f t="shared" si="0"/>
        <v>8.4683195592286514E-2</v>
      </c>
      <c r="BB11" s="3">
        <f t="shared" si="0"/>
        <v>8.5393327211509037E-2</v>
      </c>
      <c r="BC11" s="3">
        <f t="shared" si="0"/>
        <v>8.6014692378328747E-2</v>
      </c>
      <c r="BD11" s="3">
        <f t="shared" si="0"/>
        <v>8.6547291092745657E-2</v>
      </c>
      <c r="BE11" s="3">
        <f t="shared" si="0"/>
        <v>8.6991123354759725E-2</v>
      </c>
      <c r="BF11" s="3">
        <f t="shared" si="0"/>
        <v>8.7346189164370994E-2</v>
      </c>
      <c r="BG11" s="3">
        <f t="shared" si="0"/>
        <v>8.7612488521579435E-2</v>
      </c>
      <c r="BH11" s="3">
        <f t="shared" si="0"/>
        <v>8.7790021426385076E-2</v>
      </c>
      <c r="BI11" s="3">
        <f t="shared" si="0"/>
        <v>8.787878787878789E-2</v>
      </c>
      <c r="BJ11" s="3">
        <f t="shared" si="0"/>
        <v>8.787878787878789E-2</v>
      </c>
      <c r="BL11" s="1">
        <v>3</v>
      </c>
      <c r="BM11" s="1">
        <f t="shared" ca="1" si="2"/>
        <v>0.67889134367371451</v>
      </c>
      <c r="BN11" s="1">
        <v>3</v>
      </c>
      <c r="BO11" s="1">
        <f t="shared" ca="1" si="3"/>
        <v>0.32227258950961102</v>
      </c>
    </row>
    <row r="12" spans="2:67" x14ac:dyDescent="0.25">
      <c r="C12" s="13"/>
      <c r="D12" s="13"/>
      <c r="O12" s="104"/>
      <c r="P12" s="2">
        <v>3</v>
      </c>
      <c r="Q12" s="3">
        <f t="shared" si="1"/>
        <v>0</v>
      </c>
      <c r="R12" s="3">
        <f t="shared" si="0"/>
        <v>5.7912457912457915E-3</v>
      </c>
      <c r="S12" s="3">
        <f t="shared" si="0"/>
        <v>1.1450872359963272E-2</v>
      </c>
      <c r="T12" s="3">
        <f t="shared" si="0"/>
        <v>1.6978879706152434E-2</v>
      </c>
      <c r="U12" s="3">
        <f t="shared" si="0"/>
        <v>2.2375267829813285E-2</v>
      </c>
      <c r="V12" s="3">
        <f t="shared" si="0"/>
        <v>2.7640036730945821E-2</v>
      </c>
      <c r="W12" s="3">
        <f t="shared" si="0"/>
        <v>3.2773186409550049E-2</v>
      </c>
      <c r="X12" s="3">
        <f t="shared" si="0"/>
        <v>3.7774716865625953E-2</v>
      </c>
      <c r="Y12" s="3">
        <f t="shared" si="0"/>
        <v>4.2644628099173555E-2</v>
      </c>
      <c r="Z12" s="3">
        <f t="shared" si="0"/>
        <v>4.7382920110192843E-2</v>
      </c>
      <c r="AA12" s="3">
        <f t="shared" si="0"/>
        <v>5.1989592898683809E-2</v>
      </c>
      <c r="AB12" s="3">
        <f t="shared" si="0"/>
        <v>5.6464646464646467E-2</v>
      </c>
      <c r="AC12" s="3">
        <f t="shared" si="0"/>
        <v>6.0808080808080811E-2</v>
      </c>
      <c r="AD12" s="3">
        <f t="shared" si="0"/>
        <v>6.501989592898684E-2</v>
      </c>
      <c r="AE12" s="3">
        <f t="shared" si="0"/>
        <v>6.9100091827364554E-2</v>
      </c>
      <c r="AF12" s="3">
        <f t="shared" si="0"/>
        <v>7.3048668503213954E-2</v>
      </c>
      <c r="AG12" s="3">
        <f t="shared" si="0"/>
        <v>7.6865625956535052E-2</v>
      </c>
      <c r="AH12" s="3">
        <f t="shared" si="0"/>
        <v>8.0550964187327823E-2</v>
      </c>
      <c r="AI12" s="3">
        <f t="shared" si="0"/>
        <v>8.4104683195592292E-2</v>
      </c>
      <c r="AJ12" s="3">
        <f t="shared" si="0"/>
        <v>8.7526782981328446E-2</v>
      </c>
      <c r="AK12" s="3">
        <f t="shared" si="0"/>
        <v>9.0817263544536286E-2</v>
      </c>
      <c r="AL12" s="3">
        <f t="shared" si="0"/>
        <v>9.3976124885215798E-2</v>
      </c>
      <c r="AM12" s="3">
        <f t="shared" si="0"/>
        <v>9.7003367003367008E-2</v>
      </c>
      <c r="AN12" s="3">
        <f t="shared" si="0"/>
        <v>9.989898989898989E-2</v>
      </c>
      <c r="AO12" s="3">
        <f t="shared" si="0"/>
        <v>0.10266299357208448</v>
      </c>
      <c r="AP12" s="3">
        <f t="shared" si="0"/>
        <v>0.10529537802265077</v>
      </c>
      <c r="AQ12" s="3">
        <f t="shared" si="0"/>
        <v>0.10779614325068872</v>
      </c>
      <c r="AR12" s="3">
        <f t="shared" si="0"/>
        <v>0.11016528925619835</v>
      </c>
      <c r="AS12" s="3">
        <f t="shared" si="0"/>
        <v>0.11240281603917968</v>
      </c>
      <c r="AT12" s="3">
        <f t="shared" si="0"/>
        <v>0.11450872359963271</v>
      </c>
      <c r="AU12" s="3">
        <f t="shared" si="0"/>
        <v>0.11648301193755738</v>
      </c>
      <c r="AV12" s="3">
        <f t="shared" si="0"/>
        <v>0.11832568105295378</v>
      </c>
      <c r="AW12" s="3">
        <f t="shared" si="0"/>
        <v>0.12003673094582187</v>
      </c>
      <c r="AX12" s="3">
        <f t="shared" si="0"/>
        <v>0.12161616161616162</v>
      </c>
      <c r="AY12" s="3">
        <f t="shared" si="0"/>
        <v>0.12306397306397307</v>
      </c>
      <c r="AZ12" s="3">
        <f t="shared" si="0"/>
        <v>0.1243801652892562</v>
      </c>
      <c r="BA12" s="3">
        <f t="shared" si="0"/>
        <v>0.12556473829201104</v>
      </c>
      <c r="BB12" s="3">
        <f t="shared" si="0"/>
        <v>0.12661769207223753</v>
      </c>
      <c r="BC12" s="3">
        <f t="shared" si="0"/>
        <v>0.12753902662993571</v>
      </c>
      <c r="BD12" s="3">
        <f t="shared" si="0"/>
        <v>0.1283287419651056</v>
      </c>
      <c r="BE12" s="3">
        <f t="shared" si="0"/>
        <v>0.12898683807774716</v>
      </c>
      <c r="BF12" s="3">
        <f t="shared" si="0"/>
        <v>0.12951331496786042</v>
      </c>
      <c r="BG12" s="3">
        <f t="shared" si="0"/>
        <v>0.12990817263544538</v>
      </c>
      <c r="BH12" s="3">
        <f t="shared" si="0"/>
        <v>0.13017141108050201</v>
      </c>
      <c r="BI12" s="3">
        <f t="shared" si="0"/>
        <v>0.13030303030303031</v>
      </c>
      <c r="BJ12" s="3">
        <f t="shared" si="0"/>
        <v>0.13030303030303031</v>
      </c>
      <c r="BL12" s="1">
        <v>4</v>
      </c>
      <c r="BM12" s="1">
        <f t="shared" ca="1" si="2"/>
        <v>0.9904592773184594</v>
      </c>
      <c r="BN12" s="1">
        <v>4</v>
      </c>
      <c r="BO12" s="1">
        <f t="shared" ca="1" si="3"/>
        <v>4.0497889564850897E-2</v>
      </c>
    </row>
    <row r="13" spans="2:67" x14ac:dyDescent="0.25">
      <c r="B13" s="93" t="s">
        <v>1</v>
      </c>
      <c r="C13" s="93"/>
      <c r="D13" s="93" t="s">
        <v>3</v>
      </c>
      <c r="E13" s="93"/>
      <c r="O13" s="104"/>
      <c r="P13" s="2">
        <v>4</v>
      </c>
      <c r="Q13" s="3">
        <f t="shared" si="1"/>
        <v>0</v>
      </c>
      <c r="R13" s="3">
        <f t="shared" si="0"/>
        <v>7.6318742985409657E-3</v>
      </c>
      <c r="S13" s="3">
        <f t="shared" si="0"/>
        <v>1.5090296908478728E-2</v>
      </c>
      <c r="T13" s="3">
        <f t="shared" si="0"/>
        <v>2.2375267829813285E-2</v>
      </c>
      <c r="U13" s="3">
        <f t="shared" si="0"/>
        <v>2.9486787062544637E-2</v>
      </c>
      <c r="V13" s="3">
        <f t="shared" si="0"/>
        <v>3.6424854606672781E-2</v>
      </c>
      <c r="W13" s="3">
        <f t="shared" si="0"/>
        <v>4.3189470462197732E-2</v>
      </c>
      <c r="X13" s="3">
        <f t="shared" si="0"/>
        <v>4.9780634629119476E-2</v>
      </c>
      <c r="Y13" s="3">
        <f t="shared" si="0"/>
        <v>5.6198347107438013E-2</v>
      </c>
      <c r="Z13" s="3">
        <f t="shared" si="0"/>
        <v>6.2442607897153349E-2</v>
      </c>
      <c r="AA13" s="3">
        <f t="shared" si="0"/>
        <v>6.8513416998265478E-2</v>
      </c>
      <c r="AB13" s="3">
        <f t="shared" si="0"/>
        <v>7.4410774410774413E-2</v>
      </c>
      <c r="AC13" s="3">
        <f t="shared" si="0"/>
        <v>8.0134680134680128E-2</v>
      </c>
      <c r="AD13" s="3">
        <f t="shared" si="0"/>
        <v>8.5685134169982649E-2</v>
      </c>
      <c r="AE13" s="3">
        <f t="shared" si="0"/>
        <v>9.1062136516681963E-2</v>
      </c>
      <c r="AF13" s="3">
        <f t="shared" si="0"/>
        <v>9.626568717477807E-2</v>
      </c>
      <c r="AG13" s="3">
        <f t="shared" si="0"/>
        <v>0.101295786144271</v>
      </c>
      <c r="AH13" s="3">
        <f t="shared" si="0"/>
        <v>0.10615243342516069</v>
      </c>
      <c r="AI13" s="3">
        <f t="shared" si="0"/>
        <v>0.1108356290174472</v>
      </c>
      <c r="AJ13" s="3">
        <f t="shared" si="0"/>
        <v>0.11534537292113049</v>
      </c>
      <c r="AK13" s="3">
        <f t="shared" si="0"/>
        <v>0.11968166513621059</v>
      </c>
      <c r="AL13" s="3">
        <f t="shared" si="0"/>
        <v>0.12384450566268747</v>
      </c>
      <c r="AM13" s="3">
        <f t="shared" si="0"/>
        <v>0.12783389450056118</v>
      </c>
      <c r="AN13" s="3">
        <f t="shared" si="0"/>
        <v>0.13164983164983163</v>
      </c>
      <c r="AO13" s="3">
        <f t="shared" si="0"/>
        <v>0.13529231711049891</v>
      </c>
      <c r="AP13" s="3">
        <f t="shared" si="0"/>
        <v>0.13876135088256303</v>
      </c>
      <c r="AQ13" s="3">
        <f t="shared" si="0"/>
        <v>0.14205693296602387</v>
      </c>
      <c r="AR13" s="3">
        <f t="shared" si="0"/>
        <v>0.14517906336088154</v>
      </c>
      <c r="AS13" s="3">
        <f t="shared" si="0"/>
        <v>0.148127742067136</v>
      </c>
      <c r="AT13" s="3">
        <f t="shared" si="0"/>
        <v>0.15090296908478729</v>
      </c>
      <c r="AU13" s="3">
        <f t="shared" si="0"/>
        <v>0.1535047444138353</v>
      </c>
      <c r="AV13" s="3">
        <f t="shared" si="0"/>
        <v>0.15593306805428017</v>
      </c>
      <c r="AW13" s="3">
        <f t="shared" si="0"/>
        <v>0.15818794000612182</v>
      </c>
      <c r="AX13" s="3">
        <f t="shared" si="0"/>
        <v>0.16026936026936026</v>
      </c>
      <c r="AY13" s="3">
        <f t="shared" si="0"/>
        <v>0.16217732884399549</v>
      </c>
      <c r="AZ13" s="3">
        <f t="shared" si="0"/>
        <v>0.16391184573002754</v>
      </c>
      <c r="BA13" s="3">
        <f t="shared" si="0"/>
        <v>0.16547291092745639</v>
      </c>
      <c r="BB13" s="3">
        <f t="shared" si="0"/>
        <v>0.16686052443628202</v>
      </c>
      <c r="BC13" s="3">
        <f t="shared" si="0"/>
        <v>0.16807468625650443</v>
      </c>
      <c r="BD13" s="3">
        <f t="shared" si="0"/>
        <v>0.16911539638812365</v>
      </c>
      <c r="BE13" s="3">
        <f t="shared" si="0"/>
        <v>0.16998265483113967</v>
      </c>
      <c r="BF13" s="3">
        <f t="shared" si="0"/>
        <v>0.1706764615855525</v>
      </c>
      <c r="BG13" s="3">
        <f t="shared" si="0"/>
        <v>0.1711968166513621</v>
      </c>
      <c r="BH13" s="3">
        <f t="shared" si="0"/>
        <v>0.17154372002856852</v>
      </c>
      <c r="BI13" s="3">
        <f t="shared" si="0"/>
        <v>0.17171717171717171</v>
      </c>
      <c r="BJ13" s="3">
        <f t="shared" si="0"/>
        <v>0.17171717171717171</v>
      </c>
      <c r="BL13" s="1">
        <v>5</v>
      </c>
      <c r="BM13" s="1">
        <f t="shared" ca="1" si="2"/>
        <v>0.26691933656889166</v>
      </c>
      <c r="BN13" s="1">
        <v>5</v>
      </c>
      <c r="BO13" s="1">
        <f t="shared" ca="1" si="3"/>
        <v>0.15382189309332406</v>
      </c>
    </row>
    <row r="14" spans="2:67" x14ac:dyDescent="0.25">
      <c r="B14" s="1" t="s">
        <v>4</v>
      </c>
      <c r="C14" s="1" t="s">
        <v>2</v>
      </c>
      <c r="D14" s="1" t="s">
        <v>4</v>
      </c>
      <c r="E14" s="1" t="s">
        <v>2</v>
      </c>
      <c r="O14" s="104"/>
      <c r="P14" s="2">
        <v>5</v>
      </c>
      <c r="Q14" s="3">
        <f t="shared" si="1"/>
        <v>0</v>
      </c>
      <c r="R14" s="3">
        <f t="shared" si="0"/>
        <v>9.427609427609427E-3</v>
      </c>
      <c r="S14" s="3">
        <f t="shared" si="0"/>
        <v>1.864095500459137E-2</v>
      </c>
      <c r="T14" s="3">
        <f t="shared" si="0"/>
        <v>2.7640036730945821E-2</v>
      </c>
      <c r="U14" s="3">
        <f t="shared" si="0"/>
        <v>3.6424854606672781E-2</v>
      </c>
      <c r="V14" s="3">
        <f t="shared" si="0"/>
        <v>4.499540863177226E-2</v>
      </c>
      <c r="W14" s="3">
        <f t="shared" si="0"/>
        <v>5.3351698806244255E-2</v>
      </c>
      <c r="X14" s="3">
        <f t="shared" si="0"/>
        <v>6.1493725130088758E-2</v>
      </c>
      <c r="Y14" s="3">
        <f t="shared" si="0"/>
        <v>6.9421487603305784E-2</v>
      </c>
      <c r="Z14" s="3">
        <f t="shared" si="0"/>
        <v>7.7134986225895305E-2</v>
      </c>
      <c r="AA14" s="3">
        <f t="shared" si="0"/>
        <v>8.4634220997857362E-2</v>
      </c>
      <c r="AB14" s="3">
        <f t="shared" si="0"/>
        <v>9.1919191919191914E-2</v>
      </c>
      <c r="AC14" s="3">
        <f t="shared" si="0"/>
        <v>9.8989898989898975E-2</v>
      </c>
      <c r="AD14" s="3">
        <f t="shared" si="0"/>
        <v>0.10584634220997856</v>
      </c>
      <c r="AE14" s="3">
        <f t="shared" si="0"/>
        <v>0.11248852157943065</v>
      </c>
      <c r="AF14" s="3">
        <f t="shared" si="0"/>
        <v>0.11891643709825525</v>
      </c>
      <c r="AG14" s="3">
        <f t="shared" si="0"/>
        <v>0.1251300887664524</v>
      </c>
      <c r="AH14" s="3">
        <f t="shared" si="0"/>
        <v>0.13112947658402202</v>
      </c>
      <c r="AI14" s="3">
        <f t="shared" si="0"/>
        <v>0.13691460055096419</v>
      </c>
      <c r="AJ14" s="3">
        <f t="shared" si="0"/>
        <v>0.14248546066727882</v>
      </c>
      <c r="AK14" s="3">
        <f t="shared" si="0"/>
        <v>0.14784205693296601</v>
      </c>
      <c r="AL14" s="3">
        <f t="shared" si="0"/>
        <v>0.15298438934802569</v>
      </c>
      <c r="AM14" s="3">
        <f t="shared" si="0"/>
        <v>0.15791245791245789</v>
      </c>
      <c r="AN14" s="3">
        <f t="shared" si="0"/>
        <v>0.16262626262626259</v>
      </c>
      <c r="AO14" s="3">
        <f t="shared" si="0"/>
        <v>0.16712580348943984</v>
      </c>
      <c r="AP14" s="3">
        <f t="shared" si="0"/>
        <v>0.17141108050198958</v>
      </c>
      <c r="AQ14" s="3">
        <f t="shared" si="0"/>
        <v>0.17548209366391182</v>
      </c>
      <c r="AR14" s="3">
        <f t="shared" si="0"/>
        <v>0.17933884297520658</v>
      </c>
      <c r="AS14" s="3">
        <f t="shared" si="0"/>
        <v>0.18298132843587386</v>
      </c>
      <c r="AT14" s="3">
        <f t="shared" si="0"/>
        <v>0.1864095500459137</v>
      </c>
      <c r="AU14" s="3">
        <f t="shared" si="0"/>
        <v>0.18962350780532594</v>
      </c>
      <c r="AV14" s="3">
        <f t="shared" si="0"/>
        <v>0.19262320171411076</v>
      </c>
      <c r="AW14" s="3">
        <f t="shared" si="0"/>
        <v>0.19540863177226814</v>
      </c>
      <c r="AX14" s="3">
        <f t="shared" si="0"/>
        <v>0.19797979797979795</v>
      </c>
      <c r="AY14" s="3">
        <f t="shared" si="0"/>
        <v>0.20033670033670031</v>
      </c>
      <c r="AZ14" s="3">
        <f t="shared" si="0"/>
        <v>0.2024793388429752</v>
      </c>
      <c r="BA14" s="3">
        <f t="shared" si="0"/>
        <v>0.20440771349862258</v>
      </c>
      <c r="BB14" s="3">
        <f t="shared" si="0"/>
        <v>0.20612182430364248</v>
      </c>
      <c r="BC14" s="3">
        <f t="shared" si="0"/>
        <v>0.20762167125803488</v>
      </c>
      <c r="BD14" s="3">
        <f t="shared" si="0"/>
        <v>0.2089072543617998</v>
      </c>
      <c r="BE14" s="3">
        <f t="shared" si="0"/>
        <v>0.20997857361493721</v>
      </c>
      <c r="BF14" s="3">
        <f t="shared" si="0"/>
        <v>0.21083562901744718</v>
      </c>
      <c r="BG14" s="3">
        <f t="shared" si="0"/>
        <v>0.21147842056932964</v>
      </c>
      <c r="BH14" s="3">
        <f t="shared" si="0"/>
        <v>0.21190694827058462</v>
      </c>
      <c r="BI14" s="3">
        <f t="shared" si="0"/>
        <v>0.2121212121212121</v>
      </c>
      <c r="BJ14" s="3">
        <f t="shared" si="0"/>
        <v>0.2121212121212121</v>
      </c>
      <c r="BL14" s="1">
        <v>6</v>
      </c>
      <c r="BM14" s="1">
        <f t="shared" ca="1" si="2"/>
        <v>0.713404323225583</v>
      </c>
      <c r="BN14" s="1">
        <v>6</v>
      </c>
      <c r="BO14" s="1">
        <f t="shared" ca="1" si="3"/>
        <v>0.7696015195986684</v>
      </c>
    </row>
    <row r="15" spans="2:67" ht="13.9" customHeight="1" x14ac:dyDescent="0.25">
      <c r="B15" s="1">
        <v>45</v>
      </c>
      <c r="C15" s="3">
        <f>(B15/45)+(((45-B15)/45)*(B15/44))</f>
        <v>1</v>
      </c>
      <c r="D15" s="1">
        <v>45</v>
      </c>
      <c r="E15" s="3">
        <f>(D15/45)+(((45-D15)/45)*(D15/44))</f>
        <v>1</v>
      </c>
      <c r="O15" s="104"/>
      <c r="P15" s="2">
        <v>6</v>
      </c>
      <c r="Q15" s="3">
        <f t="shared" si="1"/>
        <v>0</v>
      </c>
      <c r="R15" s="3">
        <f t="shared" ref="R15:BJ20" si="4">VLOOKUP($P15,$D$15:$E$60,2,FALSE)*VLOOKUP(R$8,$B$15:$C$60,2,FALSE)</f>
        <v>1.117845117845118E-2</v>
      </c>
      <c r="S15" s="3">
        <f t="shared" si="4"/>
        <v>2.2102846648301196E-2</v>
      </c>
      <c r="T15" s="3">
        <f t="shared" si="4"/>
        <v>3.2773186409550049E-2</v>
      </c>
      <c r="U15" s="3">
        <f t="shared" si="4"/>
        <v>4.3189470462197732E-2</v>
      </c>
      <c r="V15" s="3">
        <f t="shared" si="4"/>
        <v>5.3351698806244255E-2</v>
      </c>
      <c r="W15" s="3">
        <f t="shared" si="4"/>
        <v>6.3259871441689625E-2</v>
      </c>
      <c r="X15" s="3">
        <f t="shared" si="4"/>
        <v>7.2913988368533827E-2</v>
      </c>
      <c r="Y15" s="3">
        <f t="shared" si="4"/>
        <v>8.2314049586776863E-2</v>
      </c>
      <c r="Z15" s="3">
        <f t="shared" si="4"/>
        <v>9.1460055096418733E-2</v>
      </c>
      <c r="AA15" s="3">
        <f t="shared" si="4"/>
        <v>0.10035200489745945</v>
      </c>
      <c r="AB15" s="3">
        <f t="shared" si="4"/>
        <v>0.108989898989899</v>
      </c>
      <c r="AC15" s="3">
        <f t="shared" si="4"/>
        <v>0.11737373737373738</v>
      </c>
      <c r="AD15" s="3">
        <f t="shared" si="4"/>
        <v>0.12550352004897461</v>
      </c>
      <c r="AE15" s="3">
        <f t="shared" si="4"/>
        <v>0.13337924701561066</v>
      </c>
      <c r="AF15" s="3">
        <f t="shared" si="4"/>
        <v>0.14100091827364553</v>
      </c>
      <c r="AG15" s="3">
        <f t="shared" si="4"/>
        <v>0.1483685338230793</v>
      </c>
      <c r="AH15" s="3">
        <f t="shared" si="4"/>
        <v>0.15548209366391186</v>
      </c>
      <c r="AI15" s="3">
        <f t="shared" si="4"/>
        <v>0.16234159779614327</v>
      </c>
      <c r="AJ15" s="3">
        <f t="shared" si="4"/>
        <v>0.16894704621977349</v>
      </c>
      <c r="AK15" s="3">
        <f t="shared" si="4"/>
        <v>0.1752984389348026</v>
      </c>
      <c r="AL15" s="3">
        <f t="shared" si="4"/>
        <v>0.18139577594123049</v>
      </c>
      <c r="AM15" s="3">
        <f t="shared" si="4"/>
        <v>0.18723905723905726</v>
      </c>
      <c r="AN15" s="3">
        <f t="shared" si="4"/>
        <v>0.19282828282828282</v>
      </c>
      <c r="AO15" s="3">
        <f t="shared" si="4"/>
        <v>0.19816345270890726</v>
      </c>
      <c r="AP15" s="3">
        <f t="shared" si="4"/>
        <v>0.20324456688093054</v>
      </c>
      <c r="AQ15" s="3">
        <f t="shared" si="4"/>
        <v>0.20807162534435261</v>
      </c>
      <c r="AR15" s="3">
        <f t="shared" si="4"/>
        <v>0.21264462809917356</v>
      </c>
      <c r="AS15" s="3">
        <f t="shared" si="4"/>
        <v>0.21696357514539333</v>
      </c>
      <c r="AT15" s="3">
        <f t="shared" si="4"/>
        <v>0.22102846648301197</v>
      </c>
      <c r="AU15" s="3">
        <f t="shared" si="4"/>
        <v>0.22483930211202935</v>
      </c>
      <c r="AV15" s="3">
        <f t="shared" si="4"/>
        <v>0.22839608203244566</v>
      </c>
      <c r="AW15" s="3">
        <f t="shared" si="4"/>
        <v>0.23169880624426081</v>
      </c>
      <c r="AX15" s="3">
        <f t="shared" si="4"/>
        <v>0.23474747474747476</v>
      </c>
      <c r="AY15" s="3">
        <f t="shared" si="4"/>
        <v>0.23754208754208755</v>
      </c>
      <c r="AZ15" s="3">
        <f t="shared" si="4"/>
        <v>0.2400826446280992</v>
      </c>
      <c r="BA15" s="3">
        <f t="shared" si="4"/>
        <v>0.24236914600550968</v>
      </c>
      <c r="BB15" s="3">
        <f t="shared" si="4"/>
        <v>0.24440159167431896</v>
      </c>
      <c r="BC15" s="3">
        <f t="shared" si="4"/>
        <v>0.24617998163452709</v>
      </c>
      <c r="BD15" s="3">
        <f t="shared" si="4"/>
        <v>0.24770431588613409</v>
      </c>
      <c r="BE15" s="3">
        <f t="shared" si="4"/>
        <v>0.24897459442913988</v>
      </c>
      <c r="BF15" s="3">
        <f t="shared" si="4"/>
        <v>0.24999081726354452</v>
      </c>
      <c r="BG15" s="3">
        <f t="shared" si="4"/>
        <v>0.25075298438934801</v>
      </c>
      <c r="BH15" s="3">
        <f t="shared" si="4"/>
        <v>0.25126109580655037</v>
      </c>
      <c r="BI15" s="3">
        <f t="shared" si="4"/>
        <v>0.25151515151515152</v>
      </c>
      <c r="BJ15" s="3">
        <f t="shared" si="4"/>
        <v>0.25151515151515152</v>
      </c>
      <c r="BL15" s="1">
        <v>7</v>
      </c>
      <c r="BM15" s="1">
        <f t="shared" ca="1" si="2"/>
        <v>0.70467471242487323</v>
      </c>
      <c r="BN15" s="1">
        <v>7</v>
      </c>
      <c r="BO15" s="1">
        <f t="shared" ca="1" si="3"/>
        <v>0.47625268621257644</v>
      </c>
    </row>
    <row r="16" spans="2:67" x14ac:dyDescent="0.25">
      <c r="B16" s="1">
        <v>44</v>
      </c>
      <c r="C16" s="3">
        <f t="shared" ref="C16:E60" si="5">(B16/45)+(((45-B16)/45)*(B16/44))</f>
        <v>1</v>
      </c>
      <c r="D16" s="1">
        <v>44</v>
      </c>
      <c r="E16" s="3">
        <f t="shared" si="5"/>
        <v>1</v>
      </c>
      <c r="O16" s="104"/>
      <c r="P16" s="2">
        <v>7</v>
      </c>
      <c r="Q16" s="3">
        <f t="shared" si="1"/>
        <v>0</v>
      </c>
      <c r="R16" s="3">
        <f t="shared" si="4"/>
        <v>1.2884399551066216E-2</v>
      </c>
      <c r="S16" s="3">
        <f t="shared" si="4"/>
        <v>2.5475971839608206E-2</v>
      </c>
      <c r="T16" s="3">
        <f t="shared" si="4"/>
        <v>3.7774716865625953E-2</v>
      </c>
      <c r="U16" s="3">
        <f t="shared" si="4"/>
        <v>4.9780634629119476E-2</v>
      </c>
      <c r="V16" s="3">
        <f t="shared" si="4"/>
        <v>6.1493725130088758E-2</v>
      </c>
      <c r="W16" s="3">
        <f t="shared" si="4"/>
        <v>7.2913988368533827E-2</v>
      </c>
      <c r="X16" s="3">
        <f t="shared" si="4"/>
        <v>8.4041424344454635E-2</v>
      </c>
      <c r="Y16" s="3">
        <f t="shared" si="4"/>
        <v>9.4876033057851236E-2</v>
      </c>
      <c r="Z16" s="3">
        <f t="shared" si="4"/>
        <v>0.10541781450872359</v>
      </c>
      <c r="AA16" s="3">
        <f t="shared" si="4"/>
        <v>0.11566676869707172</v>
      </c>
      <c r="AB16" s="3">
        <f t="shared" si="4"/>
        <v>0.12562289562289561</v>
      </c>
      <c r="AC16" s="3">
        <f t="shared" si="4"/>
        <v>0.13528619528619529</v>
      </c>
      <c r="AD16" s="3">
        <f t="shared" si="4"/>
        <v>0.14465666768697069</v>
      </c>
      <c r="AE16" s="3">
        <f t="shared" si="4"/>
        <v>0.1537343128252219</v>
      </c>
      <c r="AF16" s="3">
        <f t="shared" si="4"/>
        <v>0.16251913070094887</v>
      </c>
      <c r="AG16" s="3">
        <f t="shared" si="4"/>
        <v>0.17101112131415161</v>
      </c>
      <c r="AH16" s="3">
        <f t="shared" si="4"/>
        <v>0.17921028466483011</v>
      </c>
      <c r="AI16" s="3">
        <f t="shared" si="4"/>
        <v>0.18711662075298438</v>
      </c>
      <c r="AJ16" s="3">
        <f t="shared" si="4"/>
        <v>0.19473012957861441</v>
      </c>
      <c r="AK16" s="3">
        <f t="shared" si="4"/>
        <v>0.20205081114172024</v>
      </c>
      <c r="AL16" s="3">
        <f t="shared" si="4"/>
        <v>0.20907866544230178</v>
      </c>
      <c r="AM16" s="3">
        <f t="shared" si="4"/>
        <v>0.21581369248035914</v>
      </c>
      <c r="AN16" s="3">
        <f t="shared" si="4"/>
        <v>0.22225589225589223</v>
      </c>
      <c r="AO16" s="3">
        <f t="shared" si="4"/>
        <v>0.22840526476890111</v>
      </c>
      <c r="AP16" s="3">
        <f t="shared" si="4"/>
        <v>0.23426181001938579</v>
      </c>
      <c r="AQ16" s="3">
        <f t="shared" si="4"/>
        <v>0.23982552800734616</v>
      </c>
      <c r="AR16" s="3">
        <f t="shared" si="4"/>
        <v>0.24509641873278235</v>
      </c>
      <c r="AS16" s="3">
        <f t="shared" si="4"/>
        <v>0.25007448219569428</v>
      </c>
      <c r="AT16" s="3">
        <f t="shared" si="4"/>
        <v>0.25475971839608202</v>
      </c>
      <c r="AU16" s="3">
        <f t="shared" si="4"/>
        <v>0.25915212733394544</v>
      </c>
      <c r="AV16" s="3">
        <f t="shared" si="4"/>
        <v>0.26325170900928474</v>
      </c>
      <c r="AW16" s="3">
        <f t="shared" si="4"/>
        <v>0.26705846342209977</v>
      </c>
      <c r="AX16" s="3">
        <f t="shared" si="4"/>
        <v>0.27057239057239058</v>
      </c>
      <c r="AY16" s="3">
        <f t="shared" si="4"/>
        <v>0.27379349046015711</v>
      </c>
      <c r="AZ16" s="3">
        <f t="shared" si="4"/>
        <v>0.27672176308539942</v>
      </c>
      <c r="BA16" s="3">
        <f t="shared" si="4"/>
        <v>0.27935720844811757</v>
      </c>
      <c r="BB16" s="3">
        <f t="shared" si="4"/>
        <v>0.28169982654831138</v>
      </c>
      <c r="BC16" s="3">
        <f t="shared" si="4"/>
        <v>0.28374961738598098</v>
      </c>
      <c r="BD16" s="3">
        <f t="shared" si="4"/>
        <v>0.28550658096112641</v>
      </c>
      <c r="BE16" s="3">
        <f t="shared" si="4"/>
        <v>0.28697071727374751</v>
      </c>
      <c r="BF16" s="3">
        <f t="shared" si="4"/>
        <v>0.28814202632384445</v>
      </c>
      <c r="BG16" s="3">
        <f t="shared" si="4"/>
        <v>0.28902050811141716</v>
      </c>
      <c r="BH16" s="3">
        <f t="shared" si="4"/>
        <v>0.28960616263646566</v>
      </c>
      <c r="BI16" s="3">
        <f t="shared" si="4"/>
        <v>0.28989898989898988</v>
      </c>
      <c r="BJ16" s="3">
        <f t="shared" si="4"/>
        <v>0.28989898989898988</v>
      </c>
      <c r="BL16" s="1">
        <v>8</v>
      </c>
      <c r="BM16" s="1">
        <f t="shared" ca="1" si="2"/>
        <v>0.94047165991751169</v>
      </c>
      <c r="BN16" s="1">
        <v>8</v>
      </c>
      <c r="BO16" s="1">
        <f t="shared" ca="1" si="3"/>
        <v>0.37495092450271794</v>
      </c>
    </row>
    <row r="17" spans="2:67" x14ac:dyDescent="0.25">
      <c r="B17" s="1">
        <v>43</v>
      </c>
      <c r="C17" s="3">
        <f t="shared" si="5"/>
        <v>0.99898989898989909</v>
      </c>
      <c r="D17" s="1">
        <v>43</v>
      </c>
      <c r="E17" s="3">
        <f t="shared" si="5"/>
        <v>0.99898989898989909</v>
      </c>
      <c r="O17" s="104"/>
      <c r="P17" s="2">
        <v>8</v>
      </c>
      <c r="Q17" s="3">
        <f t="shared" si="1"/>
        <v>0</v>
      </c>
      <c r="R17" s="3">
        <f t="shared" si="4"/>
        <v>1.4545454545454545E-2</v>
      </c>
      <c r="S17" s="3">
        <f t="shared" si="4"/>
        <v>2.8760330578512398E-2</v>
      </c>
      <c r="T17" s="3">
        <f t="shared" si="4"/>
        <v>4.2644628099173555E-2</v>
      </c>
      <c r="U17" s="3">
        <f t="shared" si="4"/>
        <v>5.6198347107438013E-2</v>
      </c>
      <c r="V17" s="3">
        <f t="shared" si="4"/>
        <v>6.9421487603305784E-2</v>
      </c>
      <c r="W17" s="3">
        <f t="shared" si="4"/>
        <v>8.2314049586776863E-2</v>
      </c>
      <c r="X17" s="3">
        <f t="shared" si="4"/>
        <v>9.4876033057851236E-2</v>
      </c>
      <c r="Y17" s="3">
        <f t="shared" si="4"/>
        <v>0.10710743801652893</v>
      </c>
      <c r="Z17" s="3">
        <f t="shared" si="4"/>
        <v>0.11900826446280992</v>
      </c>
      <c r="AA17" s="3">
        <f t="shared" si="4"/>
        <v>0.13057851239669421</v>
      </c>
      <c r="AB17" s="3">
        <f t="shared" si="4"/>
        <v>0.14181818181818182</v>
      </c>
      <c r="AC17" s="3">
        <f t="shared" si="4"/>
        <v>0.15272727272727274</v>
      </c>
      <c r="AD17" s="3">
        <f t="shared" si="4"/>
        <v>0.16330578512396693</v>
      </c>
      <c r="AE17" s="3">
        <f t="shared" si="4"/>
        <v>0.17355371900826444</v>
      </c>
      <c r="AF17" s="3">
        <f t="shared" si="4"/>
        <v>0.18347107438016527</v>
      </c>
      <c r="AG17" s="3">
        <f t="shared" si="4"/>
        <v>0.19305785123966943</v>
      </c>
      <c r="AH17" s="3">
        <f t="shared" si="4"/>
        <v>0.20231404958677685</v>
      </c>
      <c r="AI17" s="3">
        <f t="shared" si="4"/>
        <v>0.21123966942148761</v>
      </c>
      <c r="AJ17" s="3">
        <f t="shared" si="4"/>
        <v>0.21983471074380165</v>
      </c>
      <c r="AK17" s="3">
        <f t="shared" si="4"/>
        <v>0.22809917355371903</v>
      </c>
      <c r="AL17" s="3">
        <f t="shared" si="4"/>
        <v>0.23603305785123965</v>
      </c>
      <c r="AM17" s="3">
        <f t="shared" si="4"/>
        <v>0.24363636363636365</v>
      </c>
      <c r="AN17" s="3">
        <f t="shared" si="4"/>
        <v>0.25090909090909091</v>
      </c>
      <c r="AO17" s="3">
        <f t="shared" si="4"/>
        <v>0.25785123966942147</v>
      </c>
      <c r="AP17" s="3">
        <f t="shared" si="4"/>
        <v>0.26446280991735538</v>
      </c>
      <c r="AQ17" s="3">
        <f t="shared" si="4"/>
        <v>0.27074380165289258</v>
      </c>
      <c r="AR17" s="3">
        <f t="shared" si="4"/>
        <v>0.27669421487603307</v>
      </c>
      <c r="AS17" s="3">
        <f t="shared" si="4"/>
        <v>0.28231404958677686</v>
      </c>
      <c r="AT17" s="3">
        <f t="shared" si="4"/>
        <v>0.287603305785124</v>
      </c>
      <c r="AU17" s="3">
        <f t="shared" si="4"/>
        <v>0.29256198347107432</v>
      </c>
      <c r="AV17" s="3">
        <f t="shared" si="4"/>
        <v>0.2971900826446281</v>
      </c>
      <c r="AW17" s="3">
        <f t="shared" si="4"/>
        <v>0.30148760330578511</v>
      </c>
      <c r="AX17" s="3">
        <f t="shared" si="4"/>
        <v>0.30545454545454548</v>
      </c>
      <c r="AY17" s="3">
        <f t="shared" si="4"/>
        <v>0.30909090909090908</v>
      </c>
      <c r="AZ17" s="3">
        <f t="shared" si="4"/>
        <v>0.31239669421487604</v>
      </c>
      <c r="BA17" s="3">
        <f t="shared" si="4"/>
        <v>0.31537190082644634</v>
      </c>
      <c r="BB17" s="3">
        <f t="shared" si="4"/>
        <v>0.31801652892561982</v>
      </c>
      <c r="BC17" s="3">
        <f t="shared" si="4"/>
        <v>0.32033057851239666</v>
      </c>
      <c r="BD17" s="3">
        <f t="shared" si="4"/>
        <v>0.32231404958677684</v>
      </c>
      <c r="BE17" s="3">
        <f t="shared" si="4"/>
        <v>0.32396694214876032</v>
      </c>
      <c r="BF17" s="3">
        <f t="shared" si="4"/>
        <v>0.32528925619834709</v>
      </c>
      <c r="BG17" s="3">
        <f t="shared" si="4"/>
        <v>0.32628099173553721</v>
      </c>
      <c r="BH17" s="3">
        <f t="shared" si="4"/>
        <v>0.32694214876033062</v>
      </c>
      <c r="BI17" s="3">
        <f t="shared" si="4"/>
        <v>0.32727272727272727</v>
      </c>
      <c r="BJ17" s="3">
        <f t="shared" si="4"/>
        <v>0.32727272727272727</v>
      </c>
      <c r="BL17" s="1">
        <v>9</v>
      </c>
      <c r="BM17" s="1">
        <f t="shared" ca="1" si="2"/>
        <v>0.515730940252073</v>
      </c>
      <c r="BN17" s="1">
        <v>9</v>
      </c>
      <c r="BO17" s="1">
        <f t="shared" ca="1" si="3"/>
        <v>0.73536507766554293</v>
      </c>
    </row>
    <row r="18" spans="2:67" x14ac:dyDescent="0.25">
      <c r="B18" s="1">
        <v>42</v>
      </c>
      <c r="C18" s="3">
        <f t="shared" si="5"/>
        <v>0.99696969696969695</v>
      </c>
      <c r="D18" s="1">
        <v>42</v>
      </c>
      <c r="E18" s="3">
        <f t="shared" si="5"/>
        <v>0.99696969696969695</v>
      </c>
      <c r="O18" s="104"/>
      <c r="P18" s="2">
        <v>9</v>
      </c>
      <c r="Q18" s="3">
        <f t="shared" si="1"/>
        <v>0</v>
      </c>
      <c r="R18" s="3">
        <f t="shared" si="4"/>
        <v>1.6161616161616162E-2</v>
      </c>
      <c r="S18" s="3">
        <f t="shared" si="4"/>
        <v>3.1955922865013781E-2</v>
      </c>
      <c r="T18" s="3">
        <f t="shared" si="4"/>
        <v>4.7382920110192843E-2</v>
      </c>
      <c r="U18" s="3">
        <f t="shared" si="4"/>
        <v>6.2442607897153349E-2</v>
      </c>
      <c r="V18" s="3">
        <f t="shared" si="4"/>
        <v>7.7134986225895305E-2</v>
      </c>
      <c r="W18" s="3">
        <f t="shared" si="4"/>
        <v>9.1460055096418733E-2</v>
      </c>
      <c r="X18" s="3">
        <f t="shared" si="4"/>
        <v>0.10541781450872359</v>
      </c>
      <c r="Y18" s="3">
        <f t="shared" si="4"/>
        <v>0.11900826446280992</v>
      </c>
      <c r="Z18" s="3">
        <f t="shared" si="4"/>
        <v>0.13223140495867769</v>
      </c>
      <c r="AA18" s="3">
        <f t="shared" si="4"/>
        <v>0.14508723599632692</v>
      </c>
      <c r="AB18" s="3">
        <f t="shared" si="4"/>
        <v>0.15757575757575759</v>
      </c>
      <c r="AC18" s="3">
        <f t="shared" si="4"/>
        <v>0.16969696969696971</v>
      </c>
      <c r="AD18" s="3">
        <f t="shared" si="4"/>
        <v>0.18145087235996327</v>
      </c>
      <c r="AE18" s="3">
        <f t="shared" si="4"/>
        <v>0.1928374655647383</v>
      </c>
      <c r="AF18" s="3">
        <f t="shared" si="4"/>
        <v>0.20385674931129474</v>
      </c>
      <c r="AG18" s="3">
        <f t="shared" si="4"/>
        <v>0.21450872359963272</v>
      </c>
      <c r="AH18" s="3">
        <f t="shared" si="4"/>
        <v>0.22479338842975208</v>
      </c>
      <c r="AI18" s="3">
        <f t="shared" si="4"/>
        <v>0.23471074380165291</v>
      </c>
      <c r="AJ18" s="3">
        <f t="shared" si="4"/>
        <v>0.24426078971533519</v>
      </c>
      <c r="AK18" s="3">
        <f t="shared" si="4"/>
        <v>0.25344352617079891</v>
      </c>
      <c r="AL18" s="3">
        <f t="shared" si="4"/>
        <v>0.2622589531680441</v>
      </c>
      <c r="AM18" s="3">
        <f t="shared" si="4"/>
        <v>0.27070707070707073</v>
      </c>
      <c r="AN18" s="3">
        <f t="shared" si="4"/>
        <v>0.27878787878787875</v>
      </c>
      <c r="AO18" s="3">
        <f t="shared" si="4"/>
        <v>0.28650137741046833</v>
      </c>
      <c r="AP18" s="3">
        <f t="shared" si="4"/>
        <v>0.29384756657483935</v>
      </c>
      <c r="AQ18" s="3">
        <f t="shared" si="4"/>
        <v>0.30082644628099175</v>
      </c>
      <c r="AR18" s="3">
        <f t="shared" si="4"/>
        <v>0.30743801652892561</v>
      </c>
      <c r="AS18" s="3">
        <f t="shared" si="4"/>
        <v>0.31368227731864096</v>
      </c>
      <c r="AT18" s="3">
        <f t="shared" si="4"/>
        <v>0.31955922865013781</v>
      </c>
      <c r="AU18" s="3">
        <f t="shared" si="4"/>
        <v>0.32506887052341593</v>
      </c>
      <c r="AV18" s="3">
        <f t="shared" si="4"/>
        <v>0.33021120293847567</v>
      </c>
      <c r="AW18" s="3">
        <f t="shared" si="4"/>
        <v>0.33498622589531685</v>
      </c>
      <c r="AX18" s="3">
        <f t="shared" si="4"/>
        <v>0.33939393939393941</v>
      </c>
      <c r="AY18" s="3">
        <f t="shared" si="4"/>
        <v>0.34343434343434343</v>
      </c>
      <c r="AZ18" s="3">
        <f t="shared" si="4"/>
        <v>0.34710743801652894</v>
      </c>
      <c r="BA18" s="3">
        <f t="shared" si="4"/>
        <v>0.35041322314049589</v>
      </c>
      <c r="BB18" s="3">
        <f t="shared" si="4"/>
        <v>0.35335169880624429</v>
      </c>
      <c r="BC18" s="3">
        <f t="shared" si="4"/>
        <v>0.35592286501377413</v>
      </c>
      <c r="BD18" s="3">
        <f t="shared" si="4"/>
        <v>0.35812672176308541</v>
      </c>
      <c r="BE18" s="3">
        <f t="shared" si="4"/>
        <v>0.35996326905417814</v>
      </c>
      <c r="BF18" s="3">
        <f t="shared" si="4"/>
        <v>0.36143250688705236</v>
      </c>
      <c r="BG18" s="3">
        <f t="shared" si="4"/>
        <v>0.36253443526170798</v>
      </c>
      <c r="BH18" s="3">
        <f t="shared" si="4"/>
        <v>0.36326905417814515</v>
      </c>
      <c r="BI18" s="3">
        <f t="shared" si="4"/>
        <v>0.36363636363636365</v>
      </c>
      <c r="BJ18" s="3">
        <f t="shared" si="4"/>
        <v>0.36363636363636365</v>
      </c>
      <c r="BL18" s="1">
        <v>10</v>
      </c>
      <c r="BM18" s="1">
        <f t="shared" ca="1" si="2"/>
        <v>0.57789036793515736</v>
      </c>
      <c r="BN18" s="1">
        <v>10</v>
      </c>
      <c r="BO18" s="1">
        <f t="shared" ca="1" si="3"/>
        <v>0.70662525162803858</v>
      </c>
    </row>
    <row r="19" spans="2:67" x14ac:dyDescent="0.25">
      <c r="B19" s="1">
        <v>41</v>
      </c>
      <c r="C19" s="3">
        <f t="shared" si="5"/>
        <v>0.9939393939393939</v>
      </c>
      <c r="D19" s="1">
        <v>41</v>
      </c>
      <c r="E19" s="3">
        <f t="shared" si="5"/>
        <v>0.9939393939393939</v>
      </c>
      <c r="O19" s="104"/>
      <c r="P19" s="2">
        <v>10</v>
      </c>
      <c r="Q19" s="3">
        <f t="shared" si="1"/>
        <v>0</v>
      </c>
      <c r="R19" s="3">
        <f t="shared" si="4"/>
        <v>1.7732884399551067E-2</v>
      </c>
      <c r="S19" s="3">
        <f t="shared" si="4"/>
        <v>3.5062748699112342E-2</v>
      </c>
      <c r="T19" s="3">
        <f t="shared" si="4"/>
        <v>5.1989592898683809E-2</v>
      </c>
      <c r="U19" s="3">
        <f t="shared" si="4"/>
        <v>6.8513416998265478E-2</v>
      </c>
      <c r="V19" s="3">
        <f t="shared" si="4"/>
        <v>8.4634220997857362E-2</v>
      </c>
      <c r="W19" s="3">
        <f t="shared" si="4"/>
        <v>0.10035200489745945</v>
      </c>
      <c r="X19" s="3">
        <f t="shared" si="4"/>
        <v>0.11566676869707172</v>
      </c>
      <c r="Y19" s="3">
        <f t="shared" si="4"/>
        <v>0.13057851239669421</v>
      </c>
      <c r="Z19" s="3">
        <f t="shared" si="4"/>
        <v>0.14508723599632692</v>
      </c>
      <c r="AA19" s="3">
        <f t="shared" si="4"/>
        <v>0.1591929394959698</v>
      </c>
      <c r="AB19" s="3">
        <f t="shared" si="4"/>
        <v>0.17289562289562291</v>
      </c>
      <c r="AC19" s="3">
        <f t="shared" si="4"/>
        <v>0.18619528619528622</v>
      </c>
      <c r="AD19" s="3">
        <f t="shared" si="4"/>
        <v>0.1990919293949597</v>
      </c>
      <c r="AE19" s="3">
        <f t="shared" si="4"/>
        <v>0.21158555249464339</v>
      </c>
      <c r="AF19" s="3">
        <f t="shared" si="4"/>
        <v>0.22367615549433731</v>
      </c>
      <c r="AG19" s="3">
        <f t="shared" si="4"/>
        <v>0.23536373839404146</v>
      </c>
      <c r="AH19" s="3">
        <f t="shared" si="4"/>
        <v>0.24664830119375575</v>
      </c>
      <c r="AI19" s="3">
        <f t="shared" si="4"/>
        <v>0.25752984389348027</v>
      </c>
      <c r="AJ19" s="3">
        <f t="shared" si="4"/>
        <v>0.26800836649321497</v>
      </c>
      <c r="AK19" s="3">
        <f t="shared" si="4"/>
        <v>0.27808386899295995</v>
      </c>
      <c r="AL19" s="3">
        <f t="shared" si="4"/>
        <v>0.28775635139271505</v>
      </c>
      <c r="AM19" s="3">
        <f t="shared" si="4"/>
        <v>0.29702581369248038</v>
      </c>
      <c r="AN19" s="3">
        <f t="shared" si="4"/>
        <v>0.30589225589225588</v>
      </c>
      <c r="AO19" s="3">
        <f t="shared" si="4"/>
        <v>0.31435567799204162</v>
      </c>
      <c r="AP19" s="3">
        <f t="shared" si="4"/>
        <v>0.32241607999183763</v>
      </c>
      <c r="AQ19" s="3">
        <f t="shared" si="4"/>
        <v>0.33007346189164372</v>
      </c>
      <c r="AR19" s="3">
        <f t="shared" si="4"/>
        <v>0.33732782369146008</v>
      </c>
      <c r="AS19" s="3">
        <f t="shared" si="4"/>
        <v>0.34417916539128662</v>
      </c>
      <c r="AT19" s="3">
        <f t="shared" si="4"/>
        <v>0.35062748699112339</v>
      </c>
      <c r="AU19" s="3">
        <f t="shared" si="4"/>
        <v>0.35667278849097028</v>
      </c>
      <c r="AV19" s="3">
        <f t="shared" si="4"/>
        <v>0.36231506989082746</v>
      </c>
      <c r="AW19" s="3">
        <f t="shared" si="4"/>
        <v>0.36755433119069486</v>
      </c>
      <c r="AX19" s="3">
        <f t="shared" si="4"/>
        <v>0.37239057239057244</v>
      </c>
      <c r="AY19" s="3">
        <f t="shared" si="4"/>
        <v>0.37682379349046013</v>
      </c>
      <c r="AZ19" s="3">
        <f t="shared" si="4"/>
        <v>0.38085399449035817</v>
      </c>
      <c r="BA19" s="3">
        <f t="shared" si="4"/>
        <v>0.38448117539026633</v>
      </c>
      <c r="BB19" s="3">
        <f t="shared" si="4"/>
        <v>0.38770533619018471</v>
      </c>
      <c r="BC19" s="3">
        <f t="shared" si="4"/>
        <v>0.39052647689011327</v>
      </c>
      <c r="BD19" s="3">
        <f t="shared" si="4"/>
        <v>0.39294459749005206</v>
      </c>
      <c r="BE19" s="3">
        <f t="shared" si="4"/>
        <v>0.39495969799000102</v>
      </c>
      <c r="BF19" s="3">
        <f t="shared" si="4"/>
        <v>0.39657177838996022</v>
      </c>
      <c r="BG19" s="3">
        <f t="shared" si="4"/>
        <v>0.39778083868992958</v>
      </c>
      <c r="BH19" s="3">
        <f t="shared" si="4"/>
        <v>0.39858687888990924</v>
      </c>
      <c r="BI19" s="3">
        <f t="shared" si="4"/>
        <v>0.39898989898989901</v>
      </c>
      <c r="BJ19" s="3">
        <f t="shared" si="4"/>
        <v>0.39898989898989901</v>
      </c>
      <c r="BL19" s="1">
        <v>11</v>
      </c>
      <c r="BM19" s="1">
        <f t="shared" ca="1" si="2"/>
        <v>0.93128618824704801</v>
      </c>
      <c r="BN19" s="1">
        <v>11</v>
      </c>
      <c r="BO19" s="1">
        <f t="shared" ca="1" si="3"/>
        <v>0.85353314276691472</v>
      </c>
    </row>
    <row r="20" spans="2:67" x14ac:dyDescent="0.25">
      <c r="B20" s="1">
        <v>40</v>
      </c>
      <c r="C20" s="3">
        <f t="shared" si="5"/>
        <v>0.98989898989898983</v>
      </c>
      <c r="D20" s="1">
        <v>40</v>
      </c>
      <c r="E20" s="3">
        <f t="shared" si="5"/>
        <v>0.98989898989898983</v>
      </c>
      <c r="O20" s="104"/>
      <c r="P20" s="2">
        <v>11</v>
      </c>
      <c r="Q20" s="3">
        <f t="shared" si="1"/>
        <v>0</v>
      </c>
      <c r="R20" s="3">
        <f t="shared" si="4"/>
        <v>1.9259259259259261E-2</v>
      </c>
      <c r="S20" s="3">
        <f t="shared" si="4"/>
        <v>3.808080808080809E-2</v>
      </c>
      <c r="T20" s="3">
        <f t="shared" si="4"/>
        <v>5.6464646464646467E-2</v>
      </c>
      <c r="U20" s="3">
        <f t="shared" si="4"/>
        <v>7.4410774410774413E-2</v>
      </c>
      <c r="V20" s="3">
        <f t="shared" si="4"/>
        <v>9.1919191919191914E-2</v>
      </c>
      <c r="W20" s="3">
        <f t="shared" si="4"/>
        <v>0.108989898989899</v>
      </c>
      <c r="X20" s="3">
        <f t="shared" si="4"/>
        <v>0.12562289562289561</v>
      </c>
      <c r="Y20" s="3">
        <f t="shared" si="4"/>
        <v>0.14181818181818182</v>
      </c>
      <c r="Z20" s="3">
        <f t="shared" si="4"/>
        <v>0.15757575757575759</v>
      </c>
      <c r="AA20" s="3">
        <f t="shared" si="4"/>
        <v>0.17289562289562291</v>
      </c>
      <c r="AB20" s="3">
        <f t="shared" si="4"/>
        <v>0.18777777777777779</v>
      </c>
      <c r="AC20" s="3">
        <f t="shared" si="4"/>
        <v>0.20222222222222222</v>
      </c>
      <c r="AD20" s="3">
        <f t="shared" si="4"/>
        <v>0.21622895622895624</v>
      </c>
      <c r="AE20" s="3">
        <f t="shared" si="4"/>
        <v>0.22979797979797981</v>
      </c>
      <c r="AF20" s="3">
        <f t="shared" si="4"/>
        <v>0.24292929292929291</v>
      </c>
      <c r="AG20" s="3">
        <f t="shared" si="4"/>
        <v>0.25562289562289564</v>
      </c>
      <c r="AH20" s="3">
        <f t="shared" si="4"/>
        <v>0.26787878787878788</v>
      </c>
      <c r="AI20" s="3">
        <f t="shared" si="4"/>
        <v>0.27969696969696972</v>
      </c>
      <c r="AJ20" s="3">
        <f t="shared" si="4"/>
        <v>0.2910774410774411</v>
      </c>
      <c r="AK20" s="3">
        <f t="shared" si="4"/>
        <v>0.30202020202020208</v>
      </c>
      <c r="AL20" s="3">
        <f t="shared" si="4"/>
        <v>0.31252525252525254</v>
      </c>
      <c r="AM20" s="3">
        <f t="shared" si="4"/>
        <v>0.3225925925925926</v>
      </c>
      <c r="AN20" s="3">
        <f t="shared" si="4"/>
        <v>0.3322222222222222</v>
      </c>
      <c r="AO20" s="3">
        <f t="shared" si="4"/>
        <v>0.34141414141414139</v>
      </c>
      <c r="AP20" s="3">
        <f t="shared" si="4"/>
        <v>0.35016835016835024</v>
      </c>
      <c r="AQ20" s="3">
        <f t="shared" si="4"/>
        <v>0.35848484848484852</v>
      </c>
      <c r="AR20" s="3">
        <f t="shared" si="4"/>
        <v>0.36636363636363639</v>
      </c>
      <c r="AS20" s="3">
        <f t="shared" si="4"/>
        <v>0.37380471380471381</v>
      </c>
      <c r="AT20" s="3">
        <f t="shared" si="4"/>
        <v>0.38080808080808087</v>
      </c>
      <c r="AU20" s="3">
        <f t="shared" si="4"/>
        <v>0.38737373737373731</v>
      </c>
      <c r="AV20" s="3">
        <f t="shared" ref="R20:BJ26" si="6">VLOOKUP($P20,$D$15:$E$60,2,FALSE)*VLOOKUP(AV$8,$B$15:$C$60,2,FALSE)</f>
        <v>0.39350168350168352</v>
      </c>
      <c r="AW20" s="3">
        <f t="shared" si="6"/>
        <v>0.39919191919191921</v>
      </c>
      <c r="AX20" s="3">
        <f t="shared" si="6"/>
        <v>0.40444444444444444</v>
      </c>
      <c r="AY20" s="3">
        <f t="shared" si="6"/>
        <v>0.40925925925925927</v>
      </c>
      <c r="AZ20" s="3">
        <f t="shared" si="6"/>
        <v>0.41363636363636369</v>
      </c>
      <c r="BA20" s="3">
        <f t="shared" si="6"/>
        <v>0.41757575757575766</v>
      </c>
      <c r="BB20" s="3">
        <f t="shared" si="6"/>
        <v>0.42107744107744111</v>
      </c>
      <c r="BC20" s="3">
        <f t="shared" si="6"/>
        <v>0.42414141414141415</v>
      </c>
      <c r="BD20" s="3">
        <f t="shared" si="6"/>
        <v>0.4267676767676768</v>
      </c>
      <c r="BE20" s="3">
        <f t="shared" si="6"/>
        <v>0.42895622895622892</v>
      </c>
      <c r="BF20" s="3">
        <f t="shared" si="6"/>
        <v>0.4307070707070707</v>
      </c>
      <c r="BG20" s="3">
        <f t="shared" si="6"/>
        <v>0.43202020202020203</v>
      </c>
      <c r="BH20" s="3">
        <f t="shared" si="6"/>
        <v>0.43289562289562294</v>
      </c>
      <c r="BI20" s="3">
        <f t="shared" si="6"/>
        <v>0.43333333333333335</v>
      </c>
      <c r="BJ20" s="3">
        <f t="shared" si="6"/>
        <v>0.43333333333333335</v>
      </c>
      <c r="BL20" s="1">
        <v>12</v>
      </c>
      <c r="BM20" s="1">
        <f t="shared" ca="1" si="2"/>
        <v>0.34344151197977169</v>
      </c>
      <c r="BN20" s="1">
        <v>12</v>
      </c>
      <c r="BO20" s="1">
        <f t="shared" ca="1" si="3"/>
        <v>0.76476003216184485</v>
      </c>
    </row>
    <row r="21" spans="2:67" x14ac:dyDescent="0.25">
      <c r="B21" s="1">
        <v>39</v>
      </c>
      <c r="C21" s="3">
        <f t="shared" si="5"/>
        <v>0.98484848484848486</v>
      </c>
      <c r="D21" s="1">
        <v>39</v>
      </c>
      <c r="E21" s="3">
        <f t="shared" si="5"/>
        <v>0.98484848484848486</v>
      </c>
      <c r="O21" s="104"/>
      <c r="P21" s="2">
        <v>12</v>
      </c>
      <c r="Q21" s="3">
        <f t="shared" si="1"/>
        <v>0</v>
      </c>
      <c r="R21" s="3">
        <f t="shared" si="6"/>
        <v>2.074074074074074E-2</v>
      </c>
      <c r="S21" s="3">
        <f t="shared" si="6"/>
        <v>4.1010101010101017E-2</v>
      </c>
      <c r="T21" s="3">
        <f t="shared" si="6"/>
        <v>6.0808080808080811E-2</v>
      </c>
      <c r="U21" s="3">
        <f t="shared" si="6"/>
        <v>8.0134680134680128E-2</v>
      </c>
      <c r="V21" s="3">
        <f t="shared" si="6"/>
        <v>9.8989898989898975E-2</v>
      </c>
      <c r="W21" s="3">
        <f t="shared" si="6"/>
        <v>0.11737373737373738</v>
      </c>
      <c r="X21" s="3">
        <f t="shared" si="6"/>
        <v>0.13528619528619529</v>
      </c>
      <c r="Y21" s="3">
        <f t="shared" si="6"/>
        <v>0.15272727272727274</v>
      </c>
      <c r="Z21" s="3">
        <f t="shared" si="6"/>
        <v>0.16969696969696971</v>
      </c>
      <c r="AA21" s="3">
        <f t="shared" si="6"/>
        <v>0.18619528619528622</v>
      </c>
      <c r="AB21" s="3">
        <f t="shared" si="6"/>
        <v>0.20222222222222222</v>
      </c>
      <c r="AC21" s="3">
        <f t="shared" si="6"/>
        <v>0.21777777777777779</v>
      </c>
      <c r="AD21" s="3">
        <f t="shared" si="6"/>
        <v>0.23286195286195285</v>
      </c>
      <c r="AE21" s="3">
        <f t="shared" si="6"/>
        <v>0.24747474747474746</v>
      </c>
      <c r="AF21" s="3">
        <f t="shared" si="6"/>
        <v>0.26161616161616158</v>
      </c>
      <c r="AG21" s="3">
        <f t="shared" si="6"/>
        <v>0.2752861952861953</v>
      </c>
      <c r="AH21" s="3">
        <f t="shared" si="6"/>
        <v>0.28848484848484846</v>
      </c>
      <c r="AI21" s="3">
        <f t="shared" si="6"/>
        <v>0.30121212121212126</v>
      </c>
      <c r="AJ21" s="3">
        <f t="shared" si="6"/>
        <v>0.31346801346801345</v>
      </c>
      <c r="AK21" s="3">
        <f t="shared" si="6"/>
        <v>0.32525252525252529</v>
      </c>
      <c r="AL21" s="3">
        <f t="shared" si="6"/>
        <v>0.33656565656565657</v>
      </c>
      <c r="AM21" s="3">
        <f t="shared" si="6"/>
        <v>0.34740740740740744</v>
      </c>
      <c r="AN21" s="3">
        <f t="shared" si="6"/>
        <v>0.35777777777777775</v>
      </c>
      <c r="AO21" s="3">
        <f t="shared" si="6"/>
        <v>0.36767676767676766</v>
      </c>
      <c r="AP21" s="3">
        <f t="shared" si="6"/>
        <v>0.37710437710437716</v>
      </c>
      <c r="AQ21" s="3">
        <f t="shared" si="6"/>
        <v>0.38606060606060605</v>
      </c>
      <c r="AR21" s="3">
        <f t="shared" si="6"/>
        <v>0.39454545454545453</v>
      </c>
      <c r="AS21" s="3">
        <f t="shared" si="6"/>
        <v>0.40255892255892256</v>
      </c>
      <c r="AT21" s="3">
        <f t="shared" si="6"/>
        <v>0.41010101010101013</v>
      </c>
      <c r="AU21" s="3">
        <f t="shared" si="6"/>
        <v>0.41717171717171714</v>
      </c>
      <c r="AV21" s="3">
        <f t="shared" si="6"/>
        <v>0.42377104377104374</v>
      </c>
      <c r="AW21" s="3">
        <f t="shared" si="6"/>
        <v>0.42989898989898995</v>
      </c>
      <c r="AX21" s="3">
        <f t="shared" si="6"/>
        <v>0.43555555555555558</v>
      </c>
      <c r="AY21" s="3">
        <f t="shared" si="6"/>
        <v>0.44074074074074071</v>
      </c>
      <c r="AZ21" s="3">
        <f t="shared" si="6"/>
        <v>0.44545454545454549</v>
      </c>
      <c r="BA21" s="3">
        <f t="shared" si="6"/>
        <v>0.44969696969696976</v>
      </c>
      <c r="BB21" s="3">
        <f t="shared" si="6"/>
        <v>0.45346801346801352</v>
      </c>
      <c r="BC21" s="3">
        <f t="shared" si="6"/>
        <v>0.45676767676767677</v>
      </c>
      <c r="BD21" s="3">
        <f t="shared" si="6"/>
        <v>0.45959595959595961</v>
      </c>
      <c r="BE21" s="3">
        <f t="shared" si="6"/>
        <v>0.46195286195286195</v>
      </c>
      <c r="BF21" s="3">
        <f t="shared" si="6"/>
        <v>0.46383838383838383</v>
      </c>
      <c r="BG21" s="3">
        <f t="shared" si="6"/>
        <v>0.46525252525252525</v>
      </c>
      <c r="BH21" s="3">
        <f t="shared" si="6"/>
        <v>0.46619528619528627</v>
      </c>
      <c r="BI21" s="3">
        <f t="shared" si="6"/>
        <v>0.46666666666666667</v>
      </c>
      <c r="BJ21" s="3">
        <f t="shared" si="6"/>
        <v>0.46666666666666667</v>
      </c>
      <c r="BL21" s="1">
        <v>13</v>
      </c>
      <c r="BM21" s="1">
        <f t="shared" ca="1" si="2"/>
        <v>0.10240583573093054</v>
      </c>
      <c r="BN21" s="1">
        <v>13</v>
      </c>
      <c r="BO21" s="1">
        <f t="shared" ca="1" si="3"/>
        <v>0.70669468221519571</v>
      </c>
    </row>
    <row r="22" spans="2:67" x14ac:dyDescent="0.25">
      <c r="B22" s="1">
        <v>38</v>
      </c>
      <c r="C22" s="3">
        <f t="shared" si="5"/>
        <v>0.97878787878787876</v>
      </c>
      <c r="D22" s="1">
        <v>38</v>
      </c>
      <c r="E22" s="3">
        <f t="shared" si="5"/>
        <v>0.97878787878787876</v>
      </c>
      <c r="O22" s="104"/>
      <c r="P22" s="2">
        <v>13</v>
      </c>
      <c r="Q22" s="3">
        <f t="shared" si="1"/>
        <v>0</v>
      </c>
      <c r="R22" s="3">
        <f t="shared" si="6"/>
        <v>2.2177328843995512E-2</v>
      </c>
      <c r="S22" s="3">
        <f t="shared" si="6"/>
        <v>4.3850627486991131E-2</v>
      </c>
      <c r="T22" s="3">
        <f t="shared" si="6"/>
        <v>6.501989592898684E-2</v>
      </c>
      <c r="U22" s="3">
        <f t="shared" si="6"/>
        <v>8.5685134169982649E-2</v>
      </c>
      <c r="V22" s="3">
        <f t="shared" si="6"/>
        <v>0.10584634220997856</v>
      </c>
      <c r="W22" s="3">
        <f t="shared" si="6"/>
        <v>0.12550352004897461</v>
      </c>
      <c r="X22" s="3">
        <f t="shared" si="6"/>
        <v>0.14465666768697069</v>
      </c>
      <c r="Y22" s="3">
        <f t="shared" si="6"/>
        <v>0.16330578512396693</v>
      </c>
      <c r="Z22" s="3">
        <f t="shared" si="6"/>
        <v>0.18145087235996327</v>
      </c>
      <c r="AA22" s="3">
        <f t="shared" si="6"/>
        <v>0.1990919293949597</v>
      </c>
      <c r="AB22" s="3">
        <f t="shared" si="6"/>
        <v>0.21622895622895624</v>
      </c>
      <c r="AC22" s="3">
        <f t="shared" si="6"/>
        <v>0.23286195286195285</v>
      </c>
      <c r="AD22" s="3">
        <f t="shared" si="6"/>
        <v>0.24899091929394959</v>
      </c>
      <c r="AE22" s="3">
        <f t="shared" si="6"/>
        <v>0.26461585552494643</v>
      </c>
      <c r="AF22" s="3">
        <f t="shared" si="6"/>
        <v>0.27973676155494337</v>
      </c>
      <c r="AG22" s="3">
        <f t="shared" si="6"/>
        <v>0.29435363738394044</v>
      </c>
      <c r="AH22" s="3">
        <f t="shared" si="6"/>
        <v>0.30846648301193752</v>
      </c>
      <c r="AI22" s="3">
        <f t="shared" si="6"/>
        <v>0.32207529843893484</v>
      </c>
      <c r="AJ22" s="3">
        <f t="shared" si="6"/>
        <v>0.33518008366493213</v>
      </c>
      <c r="AK22" s="3">
        <f t="shared" si="6"/>
        <v>0.34778083868992959</v>
      </c>
      <c r="AL22" s="3">
        <f t="shared" si="6"/>
        <v>0.35987756351392713</v>
      </c>
      <c r="AM22" s="3">
        <f t="shared" si="6"/>
        <v>0.3714702581369248</v>
      </c>
      <c r="AN22" s="3">
        <f t="shared" si="6"/>
        <v>0.38255892255892254</v>
      </c>
      <c r="AO22" s="3">
        <f t="shared" si="6"/>
        <v>0.39314355677992041</v>
      </c>
      <c r="AP22" s="3">
        <f t="shared" si="6"/>
        <v>0.40322416079991841</v>
      </c>
      <c r="AQ22" s="3">
        <f t="shared" si="6"/>
        <v>0.41280073461891642</v>
      </c>
      <c r="AR22" s="3">
        <f t="shared" si="6"/>
        <v>0.42187327823691462</v>
      </c>
      <c r="AS22" s="3">
        <f t="shared" si="6"/>
        <v>0.43044179165391289</v>
      </c>
      <c r="AT22" s="3">
        <f t="shared" si="6"/>
        <v>0.43850627486991128</v>
      </c>
      <c r="AU22" s="3">
        <f t="shared" si="6"/>
        <v>0.44606672788490964</v>
      </c>
      <c r="AV22" s="3">
        <f t="shared" si="6"/>
        <v>0.45312315069890824</v>
      </c>
      <c r="AW22" s="3">
        <f t="shared" si="6"/>
        <v>0.45967554331190696</v>
      </c>
      <c r="AX22" s="3">
        <f t="shared" si="6"/>
        <v>0.46572390572390571</v>
      </c>
      <c r="AY22" s="3">
        <f t="shared" si="6"/>
        <v>0.47126823793490458</v>
      </c>
      <c r="AZ22" s="3">
        <f t="shared" si="6"/>
        <v>0.47630853994490358</v>
      </c>
      <c r="BA22" s="3">
        <f t="shared" si="6"/>
        <v>0.4808448117539027</v>
      </c>
      <c r="BB22" s="3">
        <f t="shared" si="6"/>
        <v>0.48487705336190184</v>
      </c>
      <c r="BC22" s="3">
        <f t="shared" si="6"/>
        <v>0.48840526476890112</v>
      </c>
      <c r="BD22" s="3">
        <f t="shared" si="6"/>
        <v>0.49142944597490051</v>
      </c>
      <c r="BE22" s="3">
        <f t="shared" si="6"/>
        <v>0.49394959697989999</v>
      </c>
      <c r="BF22" s="3">
        <f t="shared" si="6"/>
        <v>0.49596571778389958</v>
      </c>
      <c r="BG22" s="3">
        <f t="shared" si="6"/>
        <v>0.49747780838689926</v>
      </c>
      <c r="BH22" s="3">
        <f t="shared" si="6"/>
        <v>0.49848586878889911</v>
      </c>
      <c r="BI22" s="3">
        <f t="shared" si="6"/>
        <v>0.49898989898989898</v>
      </c>
      <c r="BJ22" s="3">
        <f t="shared" si="6"/>
        <v>0.49898989898989898</v>
      </c>
      <c r="BL22" s="1">
        <v>14</v>
      </c>
      <c r="BM22" s="1">
        <f t="shared" ca="1" si="2"/>
        <v>0.26317878438915132</v>
      </c>
      <c r="BN22" s="1">
        <v>14</v>
      </c>
      <c r="BO22" s="1">
        <f t="shared" ca="1" si="3"/>
        <v>0.33424742356217563</v>
      </c>
    </row>
    <row r="23" spans="2:67" x14ac:dyDescent="0.25">
      <c r="B23" s="1">
        <v>37</v>
      </c>
      <c r="C23" s="3">
        <f t="shared" si="5"/>
        <v>0.97171717171717176</v>
      </c>
      <c r="D23" s="1">
        <v>37</v>
      </c>
      <c r="E23" s="3">
        <f t="shared" si="5"/>
        <v>0.97171717171717176</v>
      </c>
      <c r="O23" s="104"/>
      <c r="P23" s="2">
        <v>14</v>
      </c>
      <c r="Q23" s="3">
        <f t="shared" si="1"/>
        <v>0</v>
      </c>
      <c r="R23" s="3">
        <f t="shared" si="6"/>
        <v>2.3569023569023569E-2</v>
      </c>
      <c r="S23" s="3">
        <f t="shared" si="6"/>
        <v>4.6602387511478424E-2</v>
      </c>
      <c r="T23" s="3">
        <f t="shared" si="6"/>
        <v>6.9100091827364554E-2</v>
      </c>
      <c r="U23" s="3">
        <f t="shared" si="6"/>
        <v>9.1062136516681963E-2</v>
      </c>
      <c r="V23" s="3">
        <f t="shared" si="6"/>
        <v>0.11248852157943065</v>
      </c>
      <c r="W23" s="3">
        <f t="shared" si="6"/>
        <v>0.13337924701561066</v>
      </c>
      <c r="X23" s="3">
        <f t="shared" si="6"/>
        <v>0.1537343128252219</v>
      </c>
      <c r="Y23" s="3">
        <f t="shared" si="6"/>
        <v>0.17355371900826444</v>
      </c>
      <c r="Z23" s="3">
        <f t="shared" si="6"/>
        <v>0.1928374655647383</v>
      </c>
      <c r="AA23" s="3">
        <f t="shared" si="6"/>
        <v>0.21158555249464339</v>
      </c>
      <c r="AB23" s="3">
        <f t="shared" si="6"/>
        <v>0.22979797979797981</v>
      </c>
      <c r="AC23" s="3">
        <f t="shared" si="6"/>
        <v>0.24747474747474746</v>
      </c>
      <c r="AD23" s="3">
        <f t="shared" si="6"/>
        <v>0.26461585552494643</v>
      </c>
      <c r="AE23" s="3">
        <f t="shared" si="6"/>
        <v>0.28122130394857664</v>
      </c>
      <c r="AF23" s="3">
        <f t="shared" si="6"/>
        <v>0.29729109274563814</v>
      </c>
      <c r="AG23" s="3">
        <f t="shared" si="6"/>
        <v>0.31282522191613099</v>
      </c>
      <c r="AH23" s="3">
        <f t="shared" si="6"/>
        <v>0.32782369146005508</v>
      </c>
      <c r="AI23" s="3">
        <f t="shared" si="6"/>
        <v>0.34228650137741046</v>
      </c>
      <c r="AJ23" s="3">
        <f t="shared" si="6"/>
        <v>0.35621365166819713</v>
      </c>
      <c r="AK23" s="3">
        <f t="shared" si="6"/>
        <v>0.36960514233241509</v>
      </c>
      <c r="AL23" s="3">
        <f t="shared" si="6"/>
        <v>0.38246097337006424</v>
      </c>
      <c r="AM23" s="3">
        <f t="shared" si="6"/>
        <v>0.39478114478114479</v>
      </c>
      <c r="AN23" s="3">
        <f t="shared" si="6"/>
        <v>0.40656565656565652</v>
      </c>
      <c r="AO23" s="3">
        <f t="shared" si="6"/>
        <v>0.4178145087235996</v>
      </c>
      <c r="AP23" s="3">
        <f t="shared" si="6"/>
        <v>0.42852770125497402</v>
      </c>
      <c r="AQ23" s="3">
        <f t="shared" si="6"/>
        <v>0.43870523415977958</v>
      </c>
      <c r="AR23" s="3">
        <f t="shared" si="6"/>
        <v>0.44834710743801653</v>
      </c>
      <c r="AS23" s="3">
        <f t="shared" si="6"/>
        <v>0.45745332108968473</v>
      </c>
      <c r="AT23" s="3">
        <f t="shared" si="6"/>
        <v>0.46602387511478421</v>
      </c>
      <c r="AU23" s="3">
        <f t="shared" si="6"/>
        <v>0.47405876951331488</v>
      </c>
      <c r="AV23" s="3">
        <f t="shared" si="6"/>
        <v>0.48155800428527695</v>
      </c>
      <c r="AW23" s="3">
        <f t="shared" si="6"/>
        <v>0.48852157943067032</v>
      </c>
      <c r="AX23" s="3">
        <f t="shared" si="6"/>
        <v>0.49494949494949492</v>
      </c>
      <c r="AY23" s="3">
        <f t="shared" si="6"/>
        <v>0.50084175084175075</v>
      </c>
      <c r="AZ23" s="3">
        <f t="shared" si="6"/>
        <v>0.50619834710743805</v>
      </c>
      <c r="BA23" s="3">
        <f t="shared" si="6"/>
        <v>0.51101928374655647</v>
      </c>
      <c r="BB23" s="3">
        <f t="shared" si="6"/>
        <v>0.51530456075910624</v>
      </c>
      <c r="BC23" s="3">
        <f t="shared" si="6"/>
        <v>0.51905417814508714</v>
      </c>
      <c r="BD23" s="3">
        <f t="shared" si="6"/>
        <v>0.5222681359044995</v>
      </c>
      <c r="BE23" s="3">
        <f t="shared" si="6"/>
        <v>0.52494643403734309</v>
      </c>
      <c r="BF23" s="3">
        <f t="shared" si="6"/>
        <v>0.52708907254361792</v>
      </c>
      <c r="BG23" s="3">
        <f t="shared" si="6"/>
        <v>0.5286960514233241</v>
      </c>
      <c r="BH23" s="3">
        <f t="shared" si="6"/>
        <v>0.52976737067646162</v>
      </c>
      <c r="BI23" s="3">
        <f t="shared" si="6"/>
        <v>0.53030303030303028</v>
      </c>
      <c r="BJ23" s="3">
        <f t="shared" si="6"/>
        <v>0.53030303030303028</v>
      </c>
      <c r="BL23" s="1">
        <v>15</v>
      </c>
      <c r="BM23" s="1">
        <f t="shared" ca="1" si="2"/>
        <v>0.12612461589665047</v>
      </c>
      <c r="BN23" s="1">
        <v>15</v>
      </c>
      <c r="BO23" s="1">
        <f t="shared" ca="1" si="3"/>
        <v>0.99580896139756392</v>
      </c>
    </row>
    <row r="24" spans="2:67" x14ac:dyDescent="0.25">
      <c r="B24" s="1">
        <v>36</v>
      </c>
      <c r="C24" s="3">
        <f t="shared" si="5"/>
        <v>0.96363636363636374</v>
      </c>
      <c r="D24" s="1">
        <v>36</v>
      </c>
      <c r="E24" s="3">
        <f t="shared" si="5"/>
        <v>0.96363636363636374</v>
      </c>
      <c r="O24" s="104"/>
      <c r="P24" s="2">
        <v>15</v>
      </c>
      <c r="Q24" s="3">
        <f t="shared" si="1"/>
        <v>0</v>
      </c>
      <c r="R24" s="3">
        <f t="shared" si="6"/>
        <v>2.4915824915824916E-2</v>
      </c>
      <c r="S24" s="3">
        <f t="shared" si="6"/>
        <v>4.9265381083562904E-2</v>
      </c>
      <c r="T24" s="3">
        <f t="shared" si="6"/>
        <v>7.3048668503213954E-2</v>
      </c>
      <c r="U24" s="3">
        <f t="shared" si="6"/>
        <v>9.626568717477807E-2</v>
      </c>
      <c r="V24" s="3">
        <f t="shared" si="6"/>
        <v>0.11891643709825525</v>
      </c>
      <c r="W24" s="3">
        <f t="shared" si="6"/>
        <v>0.14100091827364553</v>
      </c>
      <c r="X24" s="3">
        <f t="shared" si="6"/>
        <v>0.16251913070094887</v>
      </c>
      <c r="Y24" s="3">
        <f t="shared" si="6"/>
        <v>0.18347107438016527</v>
      </c>
      <c r="Z24" s="3">
        <f t="shared" si="6"/>
        <v>0.20385674931129474</v>
      </c>
      <c r="AA24" s="3">
        <f t="shared" si="6"/>
        <v>0.22367615549433731</v>
      </c>
      <c r="AB24" s="3">
        <f t="shared" si="6"/>
        <v>0.24292929292929291</v>
      </c>
      <c r="AC24" s="3">
        <f t="shared" si="6"/>
        <v>0.26161616161616158</v>
      </c>
      <c r="AD24" s="3">
        <f t="shared" si="6"/>
        <v>0.27973676155494337</v>
      </c>
      <c r="AE24" s="3">
        <f t="shared" si="6"/>
        <v>0.29729109274563814</v>
      </c>
      <c r="AF24" s="3">
        <f t="shared" si="6"/>
        <v>0.31427915518824606</v>
      </c>
      <c r="AG24" s="3">
        <f t="shared" si="6"/>
        <v>0.33070094888276702</v>
      </c>
      <c r="AH24" s="3">
        <f t="shared" si="6"/>
        <v>0.34655647382920107</v>
      </c>
      <c r="AI24" s="3">
        <f t="shared" si="6"/>
        <v>0.36184573002754822</v>
      </c>
      <c r="AJ24" s="3">
        <f t="shared" si="6"/>
        <v>0.37656871747780835</v>
      </c>
      <c r="AK24" s="3">
        <f t="shared" si="6"/>
        <v>0.39072543617998162</v>
      </c>
      <c r="AL24" s="3">
        <f t="shared" si="6"/>
        <v>0.40431588613406788</v>
      </c>
      <c r="AM24" s="3">
        <f t="shared" si="6"/>
        <v>0.41734006734006729</v>
      </c>
      <c r="AN24" s="3">
        <f t="shared" si="6"/>
        <v>0.42979797979797973</v>
      </c>
      <c r="AO24" s="3">
        <f t="shared" si="6"/>
        <v>0.44168962350780527</v>
      </c>
      <c r="AP24" s="3">
        <f t="shared" si="6"/>
        <v>0.45301499846954396</v>
      </c>
      <c r="AQ24" s="3">
        <f t="shared" si="6"/>
        <v>0.46377410468319552</v>
      </c>
      <c r="AR24" s="3">
        <f t="shared" si="6"/>
        <v>0.47396694214876028</v>
      </c>
      <c r="AS24" s="3">
        <f t="shared" si="6"/>
        <v>0.48359351086623809</v>
      </c>
      <c r="AT24" s="3">
        <f t="shared" si="6"/>
        <v>0.49265381083562904</v>
      </c>
      <c r="AU24" s="3">
        <f t="shared" si="6"/>
        <v>0.50114784205693286</v>
      </c>
      <c r="AV24" s="3">
        <f t="shared" si="6"/>
        <v>0.50907560453014988</v>
      </c>
      <c r="AW24" s="3">
        <f t="shared" si="6"/>
        <v>0.51643709825528006</v>
      </c>
      <c r="AX24" s="3">
        <f t="shared" si="6"/>
        <v>0.52323232323232316</v>
      </c>
      <c r="AY24" s="3">
        <f t="shared" si="6"/>
        <v>0.52946127946127941</v>
      </c>
      <c r="AZ24" s="3">
        <f t="shared" si="6"/>
        <v>0.5351239669421487</v>
      </c>
      <c r="BA24" s="3">
        <f t="shared" si="6"/>
        <v>0.54022038567493114</v>
      </c>
      <c r="BB24" s="3">
        <f t="shared" si="6"/>
        <v>0.5447505356596265</v>
      </c>
      <c r="BC24" s="3">
        <f t="shared" si="6"/>
        <v>0.54871441689623501</v>
      </c>
      <c r="BD24" s="3">
        <f t="shared" si="6"/>
        <v>0.55211202938475656</v>
      </c>
      <c r="BE24" s="3">
        <f t="shared" si="6"/>
        <v>0.55494337312519126</v>
      </c>
      <c r="BF24" s="3">
        <f t="shared" si="6"/>
        <v>0.557208448117539</v>
      </c>
      <c r="BG24" s="3">
        <f t="shared" si="6"/>
        <v>0.55890725436179978</v>
      </c>
      <c r="BH24" s="3">
        <f t="shared" si="6"/>
        <v>0.5600397918579737</v>
      </c>
      <c r="BI24" s="3">
        <f t="shared" si="6"/>
        <v>0.56060606060606055</v>
      </c>
      <c r="BJ24" s="3">
        <f t="shared" si="6"/>
        <v>0.56060606060606055</v>
      </c>
      <c r="BL24" s="1">
        <v>16</v>
      </c>
      <c r="BM24" s="1">
        <f t="shared" ca="1" si="2"/>
        <v>0.40317863824723943</v>
      </c>
      <c r="BN24" s="1">
        <v>16</v>
      </c>
      <c r="BO24" s="1">
        <f t="shared" ca="1" si="3"/>
        <v>0.15415007741899112</v>
      </c>
    </row>
    <row r="25" spans="2:67" x14ac:dyDescent="0.25">
      <c r="B25" s="1">
        <v>35</v>
      </c>
      <c r="C25" s="3">
        <f t="shared" si="5"/>
        <v>0.95454545454545459</v>
      </c>
      <c r="D25" s="1">
        <v>35</v>
      </c>
      <c r="E25" s="3">
        <f t="shared" si="5"/>
        <v>0.95454545454545459</v>
      </c>
      <c r="O25" s="104"/>
      <c r="P25" s="2">
        <v>16</v>
      </c>
      <c r="Q25" s="3">
        <f t="shared" si="1"/>
        <v>0</v>
      </c>
      <c r="R25" s="3">
        <f t="shared" si="6"/>
        <v>2.6217732884399554E-2</v>
      </c>
      <c r="S25" s="3">
        <f t="shared" si="6"/>
        <v>5.1839608203244576E-2</v>
      </c>
      <c r="T25" s="3">
        <f t="shared" si="6"/>
        <v>7.6865625956535052E-2</v>
      </c>
      <c r="U25" s="3">
        <f t="shared" si="6"/>
        <v>0.101295786144271</v>
      </c>
      <c r="V25" s="3">
        <f t="shared" si="6"/>
        <v>0.1251300887664524</v>
      </c>
      <c r="W25" s="3">
        <f t="shared" si="6"/>
        <v>0.1483685338230793</v>
      </c>
      <c r="X25" s="3">
        <f t="shared" si="6"/>
        <v>0.17101112131415161</v>
      </c>
      <c r="Y25" s="3">
        <f t="shared" si="6"/>
        <v>0.19305785123966943</v>
      </c>
      <c r="Z25" s="3">
        <f t="shared" si="6"/>
        <v>0.21450872359963272</v>
      </c>
      <c r="AA25" s="3">
        <f t="shared" si="6"/>
        <v>0.23536373839404146</v>
      </c>
      <c r="AB25" s="3">
        <f t="shared" si="6"/>
        <v>0.25562289562289564</v>
      </c>
      <c r="AC25" s="3">
        <f t="shared" si="6"/>
        <v>0.2752861952861953</v>
      </c>
      <c r="AD25" s="3">
        <f t="shared" si="6"/>
        <v>0.29435363738394044</v>
      </c>
      <c r="AE25" s="3">
        <f t="shared" si="6"/>
        <v>0.31282522191613099</v>
      </c>
      <c r="AF25" s="3">
        <f t="shared" si="6"/>
        <v>0.33070094888276702</v>
      </c>
      <c r="AG25" s="3">
        <f t="shared" si="6"/>
        <v>0.34798081828384864</v>
      </c>
      <c r="AH25" s="3">
        <f t="shared" si="6"/>
        <v>0.36466483011937556</v>
      </c>
      <c r="AI25" s="3">
        <f t="shared" si="6"/>
        <v>0.38075298438934807</v>
      </c>
      <c r="AJ25" s="3">
        <f t="shared" si="6"/>
        <v>0.39624528109376594</v>
      </c>
      <c r="AK25" s="3">
        <f t="shared" si="6"/>
        <v>0.41114172023262935</v>
      </c>
      <c r="AL25" s="3">
        <f t="shared" si="6"/>
        <v>0.42544230180593817</v>
      </c>
      <c r="AM25" s="3">
        <f t="shared" si="6"/>
        <v>0.43914702581369253</v>
      </c>
      <c r="AN25" s="3">
        <f t="shared" si="6"/>
        <v>0.45225589225589224</v>
      </c>
      <c r="AO25" s="3">
        <f t="shared" si="6"/>
        <v>0.46476890113253749</v>
      </c>
      <c r="AP25" s="3">
        <f t="shared" si="6"/>
        <v>0.47668605244362827</v>
      </c>
      <c r="AQ25" s="3">
        <f t="shared" si="6"/>
        <v>0.48800734618916441</v>
      </c>
      <c r="AR25" s="3">
        <f t="shared" si="6"/>
        <v>0.49873278236914603</v>
      </c>
      <c r="AS25" s="3">
        <f t="shared" si="6"/>
        <v>0.50886236098357318</v>
      </c>
      <c r="AT25" s="3">
        <f t="shared" si="6"/>
        <v>0.5183960820324458</v>
      </c>
      <c r="AU25" s="3">
        <f t="shared" si="6"/>
        <v>0.52733394551576362</v>
      </c>
      <c r="AV25" s="3">
        <f t="shared" si="6"/>
        <v>0.5356759514335272</v>
      </c>
      <c r="AW25" s="3">
        <f t="shared" si="6"/>
        <v>0.54342209978573619</v>
      </c>
      <c r="AX25" s="3">
        <f t="shared" si="6"/>
        <v>0.5505723905723906</v>
      </c>
      <c r="AY25" s="3">
        <f t="shared" si="6"/>
        <v>0.55712682379349043</v>
      </c>
      <c r="AZ25" s="3">
        <f t="shared" si="6"/>
        <v>0.56308539944903591</v>
      </c>
      <c r="BA25" s="3">
        <f t="shared" si="6"/>
        <v>0.56844811753902669</v>
      </c>
      <c r="BB25" s="3">
        <f t="shared" si="6"/>
        <v>0.573214978063463</v>
      </c>
      <c r="BC25" s="3">
        <f t="shared" si="6"/>
        <v>0.57738598102234462</v>
      </c>
      <c r="BD25" s="3">
        <f t="shared" si="6"/>
        <v>0.58096112641567188</v>
      </c>
      <c r="BE25" s="3">
        <f t="shared" si="6"/>
        <v>0.58394041424344456</v>
      </c>
      <c r="BF25" s="3">
        <f t="shared" si="6"/>
        <v>0.58632384450566266</v>
      </c>
      <c r="BG25" s="3">
        <f t="shared" si="6"/>
        <v>0.58811141720232629</v>
      </c>
      <c r="BH25" s="3">
        <f t="shared" si="6"/>
        <v>0.58930313233343545</v>
      </c>
      <c r="BI25" s="3">
        <f t="shared" si="6"/>
        <v>0.58989898989898992</v>
      </c>
      <c r="BJ25" s="3">
        <f t="shared" si="6"/>
        <v>0.58989898989898992</v>
      </c>
      <c r="BL25" s="1">
        <v>17</v>
      </c>
      <c r="BM25" s="1">
        <f t="shared" ca="1" si="2"/>
        <v>0.73711888219062416</v>
      </c>
      <c r="BN25" s="1">
        <v>17</v>
      </c>
      <c r="BO25" s="1">
        <f t="shared" ca="1" si="3"/>
        <v>0.22986921131790805</v>
      </c>
    </row>
    <row r="26" spans="2:67" x14ac:dyDescent="0.25">
      <c r="B26" s="1">
        <v>34</v>
      </c>
      <c r="C26" s="3">
        <f t="shared" si="5"/>
        <v>0.94444444444444442</v>
      </c>
      <c r="D26" s="1">
        <v>34</v>
      </c>
      <c r="E26" s="3">
        <f t="shared" si="5"/>
        <v>0.94444444444444442</v>
      </c>
      <c r="O26" s="104"/>
      <c r="P26" s="2">
        <v>17</v>
      </c>
      <c r="Q26" s="3">
        <f t="shared" si="1"/>
        <v>0</v>
      </c>
      <c r="R26" s="3">
        <f t="shared" si="6"/>
        <v>2.7474747474747475E-2</v>
      </c>
      <c r="S26" s="3">
        <f t="shared" si="6"/>
        <v>5.4325068870523421E-2</v>
      </c>
      <c r="T26" s="3">
        <f t="shared" si="6"/>
        <v>8.0550964187327823E-2</v>
      </c>
      <c r="U26" s="3">
        <f t="shared" si="6"/>
        <v>0.10615243342516069</v>
      </c>
      <c r="V26" s="3">
        <f t="shared" si="6"/>
        <v>0.13112947658402202</v>
      </c>
      <c r="W26" s="3">
        <f t="shared" si="6"/>
        <v>0.15548209366391186</v>
      </c>
      <c r="X26" s="3">
        <f t="shared" si="6"/>
        <v>0.17921028466483011</v>
      </c>
      <c r="Y26" s="3">
        <f t="shared" si="6"/>
        <v>0.20231404958677685</v>
      </c>
      <c r="Z26" s="3">
        <f t="shared" si="6"/>
        <v>0.22479338842975208</v>
      </c>
      <c r="AA26" s="3">
        <f t="shared" si="6"/>
        <v>0.24664830119375575</v>
      </c>
      <c r="AB26" s="3">
        <f t="shared" si="6"/>
        <v>0.26787878787878788</v>
      </c>
      <c r="AC26" s="3">
        <f t="shared" si="6"/>
        <v>0.28848484848484846</v>
      </c>
      <c r="AD26" s="3">
        <f t="shared" si="6"/>
        <v>0.30846648301193752</v>
      </c>
      <c r="AE26" s="3">
        <f t="shared" si="6"/>
        <v>0.32782369146005508</v>
      </c>
      <c r="AF26" s="3">
        <f t="shared" si="6"/>
        <v>0.34655647382920107</v>
      </c>
      <c r="AG26" s="3">
        <f t="shared" ref="R26:BJ31" si="7">VLOOKUP($P26,$D$15:$E$60,2,FALSE)*VLOOKUP(AG$8,$B$15:$C$60,2,FALSE)</f>
        <v>0.36466483011937556</v>
      </c>
      <c r="AH26" s="3">
        <f t="shared" si="7"/>
        <v>0.38214876033057849</v>
      </c>
      <c r="AI26" s="3">
        <f t="shared" si="7"/>
        <v>0.39900826446280996</v>
      </c>
      <c r="AJ26" s="3">
        <f t="shared" si="7"/>
        <v>0.41524334251606976</v>
      </c>
      <c r="AK26" s="3">
        <f t="shared" si="7"/>
        <v>0.43085399449035816</v>
      </c>
      <c r="AL26" s="3">
        <f t="shared" si="7"/>
        <v>0.44584022038567489</v>
      </c>
      <c r="AM26" s="3">
        <f t="shared" si="7"/>
        <v>0.46020202020202022</v>
      </c>
      <c r="AN26" s="3">
        <f t="shared" si="7"/>
        <v>0.47393939393939388</v>
      </c>
      <c r="AO26" s="3">
        <f t="shared" si="7"/>
        <v>0.48705234159779609</v>
      </c>
      <c r="AP26" s="3">
        <f t="shared" si="7"/>
        <v>0.49954086317722685</v>
      </c>
      <c r="AQ26" s="3">
        <f t="shared" si="7"/>
        <v>0.51140495867768598</v>
      </c>
      <c r="AR26" s="3">
        <f t="shared" si="7"/>
        <v>0.52264462809917356</v>
      </c>
      <c r="AS26" s="3">
        <f t="shared" si="7"/>
        <v>0.53325987144168963</v>
      </c>
      <c r="AT26" s="3">
        <f t="shared" si="7"/>
        <v>0.54325068870523419</v>
      </c>
      <c r="AU26" s="3">
        <f t="shared" si="7"/>
        <v>0.55261707988980702</v>
      </c>
      <c r="AV26" s="3">
        <f t="shared" si="7"/>
        <v>0.56135904499540856</v>
      </c>
      <c r="AW26" s="3">
        <f t="shared" si="7"/>
        <v>0.5694765840220386</v>
      </c>
      <c r="AX26" s="3">
        <f t="shared" si="7"/>
        <v>0.57696969696969691</v>
      </c>
      <c r="AY26" s="3">
        <f t="shared" si="7"/>
        <v>0.58383838383838382</v>
      </c>
      <c r="AZ26" s="3">
        <f t="shared" si="7"/>
        <v>0.59008264462809923</v>
      </c>
      <c r="BA26" s="3">
        <f t="shared" si="7"/>
        <v>0.59570247933884302</v>
      </c>
      <c r="BB26" s="3">
        <f t="shared" si="7"/>
        <v>0.6006978879706153</v>
      </c>
      <c r="BC26" s="3">
        <f t="shared" si="7"/>
        <v>0.60506887052341596</v>
      </c>
      <c r="BD26" s="3">
        <f t="shared" si="7"/>
        <v>0.60881542699724522</v>
      </c>
      <c r="BE26" s="3">
        <f t="shared" si="7"/>
        <v>0.61193755739210276</v>
      </c>
      <c r="BF26" s="3">
        <f t="shared" si="7"/>
        <v>0.6144352617079889</v>
      </c>
      <c r="BG26" s="3">
        <f t="shared" si="7"/>
        <v>0.61630853994490353</v>
      </c>
      <c r="BH26" s="3">
        <f t="shared" si="7"/>
        <v>0.61755739210284666</v>
      </c>
      <c r="BI26" s="3">
        <f t="shared" si="7"/>
        <v>0.61818181818181817</v>
      </c>
      <c r="BJ26" s="3">
        <f t="shared" si="7"/>
        <v>0.61818181818181817</v>
      </c>
      <c r="BL26" s="1">
        <v>18</v>
      </c>
      <c r="BM26" s="1">
        <f t="shared" ca="1" si="2"/>
        <v>0.79706401046284592</v>
      </c>
      <c r="BN26" s="1">
        <v>18</v>
      </c>
      <c r="BO26" s="1">
        <f t="shared" ca="1" si="3"/>
        <v>0.32823853989070906</v>
      </c>
    </row>
    <row r="27" spans="2:67" x14ac:dyDescent="0.25">
      <c r="B27" s="1">
        <v>33</v>
      </c>
      <c r="C27" s="3">
        <f t="shared" si="5"/>
        <v>0.93333333333333335</v>
      </c>
      <c r="D27" s="1">
        <v>33</v>
      </c>
      <c r="E27" s="3">
        <f t="shared" si="5"/>
        <v>0.93333333333333335</v>
      </c>
      <c r="O27" s="104"/>
      <c r="P27" s="2">
        <v>18</v>
      </c>
      <c r="Q27" s="3">
        <f t="shared" si="1"/>
        <v>0</v>
      </c>
      <c r="R27" s="3">
        <f t="shared" si="7"/>
        <v>2.8686868686868691E-2</v>
      </c>
      <c r="S27" s="3">
        <f t="shared" si="7"/>
        <v>5.672176308539946E-2</v>
      </c>
      <c r="T27" s="3">
        <f t="shared" si="7"/>
        <v>8.4104683195592292E-2</v>
      </c>
      <c r="U27" s="3">
        <f t="shared" si="7"/>
        <v>0.1108356290174472</v>
      </c>
      <c r="V27" s="3">
        <f t="shared" si="7"/>
        <v>0.13691460055096419</v>
      </c>
      <c r="W27" s="3">
        <f t="shared" si="7"/>
        <v>0.16234159779614327</v>
      </c>
      <c r="X27" s="3">
        <f t="shared" si="7"/>
        <v>0.18711662075298438</v>
      </c>
      <c r="Y27" s="3">
        <f t="shared" si="7"/>
        <v>0.21123966942148761</v>
      </c>
      <c r="Z27" s="3">
        <f t="shared" si="7"/>
        <v>0.23471074380165291</v>
      </c>
      <c r="AA27" s="3">
        <f t="shared" si="7"/>
        <v>0.25752984389348027</v>
      </c>
      <c r="AB27" s="3">
        <f t="shared" si="7"/>
        <v>0.27969696969696972</v>
      </c>
      <c r="AC27" s="3">
        <f t="shared" si="7"/>
        <v>0.30121212121212126</v>
      </c>
      <c r="AD27" s="3">
        <f t="shared" si="7"/>
        <v>0.32207529843893484</v>
      </c>
      <c r="AE27" s="3">
        <f t="shared" si="7"/>
        <v>0.34228650137741046</v>
      </c>
      <c r="AF27" s="3">
        <f t="shared" si="7"/>
        <v>0.36184573002754822</v>
      </c>
      <c r="AG27" s="3">
        <f t="shared" si="7"/>
        <v>0.38075298438934807</v>
      </c>
      <c r="AH27" s="3">
        <f t="shared" si="7"/>
        <v>0.39900826446280996</v>
      </c>
      <c r="AI27" s="3">
        <f t="shared" si="7"/>
        <v>0.41661157024793394</v>
      </c>
      <c r="AJ27" s="3">
        <f t="shared" si="7"/>
        <v>0.43356290174471995</v>
      </c>
      <c r="AK27" s="3">
        <f t="shared" si="7"/>
        <v>0.44986225895316811</v>
      </c>
      <c r="AL27" s="3">
        <f t="shared" si="7"/>
        <v>0.46550964187327826</v>
      </c>
      <c r="AM27" s="3">
        <f t="shared" si="7"/>
        <v>0.48050505050505055</v>
      </c>
      <c r="AN27" s="3">
        <f t="shared" si="7"/>
        <v>0.49484848484848487</v>
      </c>
      <c r="AO27" s="3">
        <f t="shared" si="7"/>
        <v>0.50853994490358123</v>
      </c>
      <c r="AP27" s="3">
        <f t="shared" si="7"/>
        <v>0.52157943067033985</v>
      </c>
      <c r="AQ27" s="3">
        <f t="shared" si="7"/>
        <v>0.53396694214876039</v>
      </c>
      <c r="AR27" s="3">
        <f t="shared" si="7"/>
        <v>0.54570247933884297</v>
      </c>
      <c r="AS27" s="3">
        <f t="shared" si="7"/>
        <v>0.5567860422405877</v>
      </c>
      <c r="AT27" s="3">
        <f t="shared" si="7"/>
        <v>0.56721763085399457</v>
      </c>
      <c r="AU27" s="3">
        <f t="shared" si="7"/>
        <v>0.57699724517906337</v>
      </c>
      <c r="AV27" s="3">
        <f t="shared" si="7"/>
        <v>0.58612488521579431</v>
      </c>
      <c r="AW27" s="3">
        <f t="shared" si="7"/>
        <v>0.5946005509641874</v>
      </c>
      <c r="AX27" s="3">
        <f t="shared" si="7"/>
        <v>0.60242424242424253</v>
      </c>
      <c r="AY27" s="3">
        <f t="shared" si="7"/>
        <v>0.60959595959595958</v>
      </c>
      <c r="AZ27" s="3">
        <f t="shared" si="7"/>
        <v>0.61611570247933889</v>
      </c>
      <c r="BA27" s="3">
        <f t="shared" si="7"/>
        <v>0.62198347107438023</v>
      </c>
      <c r="BB27" s="3">
        <f t="shared" si="7"/>
        <v>0.62719926538108361</v>
      </c>
      <c r="BC27" s="3">
        <f t="shared" si="7"/>
        <v>0.63176308539944903</v>
      </c>
      <c r="BD27" s="3">
        <f t="shared" si="7"/>
        <v>0.63567493112947659</v>
      </c>
      <c r="BE27" s="3">
        <f t="shared" si="7"/>
        <v>0.63893480257116619</v>
      </c>
      <c r="BF27" s="3">
        <f t="shared" si="7"/>
        <v>0.64154269972451794</v>
      </c>
      <c r="BG27" s="3">
        <f t="shared" si="7"/>
        <v>0.64349862258953172</v>
      </c>
      <c r="BH27" s="3">
        <f t="shared" si="7"/>
        <v>0.64480257116620765</v>
      </c>
      <c r="BI27" s="3">
        <f t="shared" si="7"/>
        <v>0.6454545454545455</v>
      </c>
      <c r="BJ27" s="3">
        <f t="shared" si="7"/>
        <v>0.6454545454545455</v>
      </c>
      <c r="BL27" s="1">
        <v>19</v>
      </c>
      <c r="BM27" s="1">
        <f t="shared" ca="1" si="2"/>
        <v>0.37166295628035961</v>
      </c>
      <c r="BN27" s="1">
        <v>19</v>
      </c>
      <c r="BO27" s="1">
        <f t="shared" ca="1" si="3"/>
        <v>0.49864249612179568</v>
      </c>
    </row>
    <row r="28" spans="2:67" x14ac:dyDescent="0.25">
      <c r="B28" s="1">
        <v>32</v>
      </c>
      <c r="C28" s="3">
        <f t="shared" si="5"/>
        <v>0.92121212121212126</v>
      </c>
      <c r="D28" s="1">
        <v>32</v>
      </c>
      <c r="E28" s="3">
        <f t="shared" si="5"/>
        <v>0.92121212121212126</v>
      </c>
      <c r="O28" s="104"/>
      <c r="P28" s="2">
        <v>19</v>
      </c>
      <c r="Q28" s="3">
        <f t="shared" si="1"/>
        <v>0</v>
      </c>
      <c r="R28" s="3">
        <f t="shared" si="7"/>
        <v>2.985409652076319E-2</v>
      </c>
      <c r="S28" s="3">
        <f t="shared" si="7"/>
        <v>5.9029690847872671E-2</v>
      </c>
      <c r="T28" s="3">
        <f t="shared" si="7"/>
        <v>8.7526782981328446E-2</v>
      </c>
      <c r="U28" s="3">
        <f t="shared" si="7"/>
        <v>0.11534537292113049</v>
      </c>
      <c r="V28" s="3">
        <f t="shared" si="7"/>
        <v>0.14248546066727882</v>
      </c>
      <c r="W28" s="3">
        <f t="shared" si="7"/>
        <v>0.16894704621977349</v>
      </c>
      <c r="X28" s="3">
        <f t="shared" si="7"/>
        <v>0.19473012957861441</v>
      </c>
      <c r="Y28" s="3">
        <f t="shared" si="7"/>
        <v>0.21983471074380165</v>
      </c>
      <c r="Z28" s="3">
        <f t="shared" si="7"/>
        <v>0.24426078971533519</v>
      </c>
      <c r="AA28" s="3">
        <f t="shared" si="7"/>
        <v>0.26800836649321497</v>
      </c>
      <c r="AB28" s="3">
        <f t="shared" si="7"/>
        <v>0.2910774410774411</v>
      </c>
      <c r="AC28" s="3">
        <f t="shared" si="7"/>
        <v>0.31346801346801345</v>
      </c>
      <c r="AD28" s="3">
        <f t="shared" si="7"/>
        <v>0.33518008366493213</v>
      </c>
      <c r="AE28" s="3">
        <f t="shared" si="7"/>
        <v>0.35621365166819713</v>
      </c>
      <c r="AF28" s="3">
        <f t="shared" si="7"/>
        <v>0.37656871747780835</v>
      </c>
      <c r="AG28" s="3">
        <f t="shared" si="7"/>
        <v>0.39624528109376594</v>
      </c>
      <c r="AH28" s="3">
        <f t="shared" si="7"/>
        <v>0.41524334251606976</v>
      </c>
      <c r="AI28" s="3">
        <f t="shared" si="7"/>
        <v>0.43356290174471995</v>
      </c>
      <c r="AJ28" s="3">
        <f t="shared" si="7"/>
        <v>0.45120395877971636</v>
      </c>
      <c r="AK28" s="3">
        <f t="shared" si="7"/>
        <v>0.4681665136210591</v>
      </c>
      <c r="AL28" s="3">
        <f t="shared" si="7"/>
        <v>0.48445056626874805</v>
      </c>
      <c r="AM28" s="3">
        <f t="shared" si="7"/>
        <v>0.50005611672278338</v>
      </c>
      <c r="AN28" s="3">
        <f t="shared" si="7"/>
        <v>0.51498316498316499</v>
      </c>
      <c r="AO28" s="3">
        <f t="shared" si="7"/>
        <v>0.52923171104989286</v>
      </c>
      <c r="AP28" s="3">
        <f t="shared" si="7"/>
        <v>0.54280175492296712</v>
      </c>
      <c r="AQ28" s="3">
        <f t="shared" si="7"/>
        <v>0.55569329660238753</v>
      </c>
      <c r="AR28" s="3">
        <f t="shared" si="7"/>
        <v>0.56790633608815422</v>
      </c>
      <c r="AS28" s="3">
        <f t="shared" si="7"/>
        <v>0.57944087338026729</v>
      </c>
      <c r="AT28" s="3">
        <f t="shared" si="7"/>
        <v>0.59029690847872673</v>
      </c>
      <c r="AU28" s="3">
        <f t="shared" si="7"/>
        <v>0.60047444138353223</v>
      </c>
      <c r="AV28" s="3">
        <f t="shared" si="7"/>
        <v>0.60997347209468422</v>
      </c>
      <c r="AW28" s="3">
        <f t="shared" si="7"/>
        <v>0.61879400061218248</v>
      </c>
      <c r="AX28" s="3">
        <f t="shared" si="7"/>
        <v>0.6269360269360269</v>
      </c>
      <c r="AY28" s="3">
        <f t="shared" si="7"/>
        <v>0.6343995510662177</v>
      </c>
      <c r="AZ28" s="3">
        <f t="shared" si="7"/>
        <v>0.64118457300275489</v>
      </c>
      <c r="BA28" s="3">
        <f t="shared" si="7"/>
        <v>0.64729109274563823</v>
      </c>
      <c r="BB28" s="3">
        <f t="shared" si="7"/>
        <v>0.65271911029486784</v>
      </c>
      <c r="BC28" s="3">
        <f t="shared" si="7"/>
        <v>0.65746862565044384</v>
      </c>
      <c r="BD28" s="3">
        <f t="shared" si="7"/>
        <v>0.6615396388123661</v>
      </c>
      <c r="BE28" s="3">
        <f t="shared" si="7"/>
        <v>0.66493214978063453</v>
      </c>
      <c r="BF28" s="3">
        <f t="shared" si="7"/>
        <v>0.66764615855524945</v>
      </c>
      <c r="BG28" s="3">
        <f t="shared" si="7"/>
        <v>0.66968166513621052</v>
      </c>
      <c r="BH28" s="3">
        <f t="shared" si="7"/>
        <v>0.67103866952351809</v>
      </c>
      <c r="BI28" s="3">
        <f t="shared" si="7"/>
        <v>0.67171717171717171</v>
      </c>
      <c r="BJ28" s="3">
        <f t="shared" si="7"/>
        <v>0.67171717171717171</v>
      </c>
      <c r="BL28" s="1">
        <v>20</v>
      </c>
      <c r="BM28" s="1">
        <f t="shared" ca="1" si="2"/>
        <v>0.55800554122409918</v>
      </c>
      <c r="BN28" s="1">
        <v>20</v>
      </c>
      <c r="BO28" s="1">
        <f t="shared" ca="1" si="3"/>
        <v>0.43952764800186583</v>
      </c>
    </row>
    <row r="29" spans="2:67" x14ac:dyDescent="0.25">
      <c r="B29" s="1">
        <v>31</v>
      </c>
      <c r="C29" s="3">
        <f t="shared" si="5"/>
        <v>0.90808080808080804</v>
      </c>
      <c r="D29" s="1">
        <v>31</v>
      </c>
      <c r="E29" s="3">
        <f t="shared" si="5"/>
        <v>0.90808080808080804</v>
      </c>
      <c r="O29" s="104"/>
      <c r="P29" s="2">
        <v>20</v>
      </c>
      <c r="Q29" s="3">
        <f t="shared" si="1"/>
        <v>0</v>
      </c>
      <c r="R29" s="3">
        <f t="shared" si="7"/>
        <v>3.097643097643098E-2</v>
      </c>
      <c r="S29" s="3">
        <f t="shared" si="7"/>
        <v>6.1248852157943082E-2</v>
      </c>
      <c r="T29" s="3">
        <f t="shared" si="7"/>
        <v>9.0817263544536286E-2</v>
      </c>
      <c r="U29" s="3">
        <f t="shared" si="7"/>
        <v>0.11968166513621059</v>
      </c>
      <c r="V29" s="3">
        <f t="shared" si="7"/>
        <v>0.14784205693296601</v>
      </c>
      <c r="W29" s="3">
        <f t="shared" si="7"/>
        <v>0.1752984389348026</v>
      </c>
      <c r="X29" s="3">
        <f t="shared" si="7"/>
        <v>0.20205081114172024</v>
      </c>
      <c r="Y29" s="3">
        <f t="shared" si="7"/>
        <v>0.22809917355371903</v>
      </c>
      <c r="Z29" s="3">
        <f t="shared" si="7"/>
        <v>0.25344352617079891</v>
      </c>
      <c r="AA29" s="3">
        <f t="shared" si="7"/>
        <v>0.27808386899295995</v>
      </c>
      <c r="AB29" s="3">
        <f t="shared" si="7"/>
        <v>0.30202020202020208</v>
      </c>
      <c r="AC29" s="3">
        <f t="shared" si="7"/>
        <v>0.32525252525252529</v>
      </c>
      <c r="AD29" s="3">
        <f t="shared" si="7"/>
        <v>0.34778083868992959</v>
      </c>
      <c r="AE29" s="3">
        <f t="shared" si="7"/>
        <v>0.36960514233241509</v>
      </c>
      <c r="AF29" s="3">
        <f t="shared" si="7"/>
        <v>0.39072543617998162</v>
      </c>
      <c r="AG29" s="3">
        <f t="shared" si="7"/>
        <v>0.41114172023262935</v>
      </c>
      <c r="AH29" s="3">
        <f t="shared" si="7"/>
        <v>0.43085399449035816</v>
      </c>
      <c r="AI29" s="3">
        <f t="shared" si="7"/>
        <v>0.44986225895316811</v>
      </c>
      <c r="AJ29" s="3">
        <f t="shared" si="7"/>
        <v>0.4681665136210591</v>
      </c>
      <c r="AK29" s="3">
        <f t="shared" si="7"/>
        <v>0.48576675849403128</v>
      </c>
      <c r="AL29" s="3">
        <f t="shared" si="7"/>
        <v>0.50266299357208455</v>
      </c>
      <c r="AM29" s="3">
        <f t="shared" si="7"/>
        <v>0.5188552188552189</v>
      </c>
      <c r="AN29" s="3">
        <f t="shared" si="7"/>
        <v>0.53434343434343434</v>
      </c>
      <c r="AO29" s="3">
        <f t="shared" si="7"/>
        <v>0.54912764003673098</v>
      </c>
      <c r="AP29" s="3">
        <f t="shared" si="7"/>
        <v>0.56320783593510881</v>
      </c>
      <c r="AQ29" s="3">
        <f t="shared" si="7"/>
        <v>0.57658402203856751</v>
      </c>
      <c r="AR29" s="3">
        <f t="shared" si="7"/>
        <v>0.58925619834710752</v>
      </c>
      <c r="AS29" s="3">
        <f t="shared" si="7"/>
        <v>0.6012243648607285</v>
      </c>
      <c r="AT29" s="3">
        <f t="shared" si="7"/>
        <v>0.61248852157943079</v>
      </c>
      <c r="AU29" s="3">
        <f t="shared" si="7"/>
        <v>0.62304866850321394</v>
      </c>
      <c r="AV29" s="3">
        <f t="shared" si="7"/>
        <v>0.6329048056320784</v>
      </c>
      <c r="AW29" s="3">
        <f t="shared" si="7"/>
        <v>0.64205693296602395</v>
      </c>
      <c r="AX29" s="3">
        <f t="shared" si="7"/>
        <v>0.65050505050505059</v>
      </c>
      <c r="AY29" s="3">
        <f t="shared" si="7"/>
        <v>0.65824915824915831</v>
      </c>
      <c r="AZ29" s="3">
        <f t="shared" si="7"/>
        <v>0.66528925619834722</v>
      </c>
      <c r="BA29" s="3">
        <f t="shared" si="7"/>
        <v>0.67162534435261723</v>
      </c>
      <c r="BB29" s="3">
        <f t="shared" si="7"/>
        <v>0.6772574227119682</v>
      </c>
      <c r="BC29" s="3">
        <f t="shared" si="7"/>
        <v>0.68218549127640038</v>
      </c>
      <c r="BD29" s="3">
        <f t="shared" si="7"/>
        <v>0.68640955004591375</v>
      </c>
      <c r="BE29" s="3">
        <f t="shared" si="7"/>
        <v>0.6899295990205081</v>
      </c>
      <c r="BF29" s="3">
        <f t="shared" si="7"/>
        <v>0.69274563820018364</v>
      </c>
      <c r="BG29" s="3">
        <f t="shared" si="7"/>
        <v>0.69485766758494039</v>
      </c>
      <c r="BH29" s="3">
        <f t="shared" si="7"/>
        <v>0.69626568717477821</v>
      </c>
      <c r="BI29" s="3">
        <f t="shared" si="7"/>
        <v>0.69696969696969702</v>
      </c>
      <c r="BJ29" s="3">
        <f t="shared" si="7"/>
        <v>0.69696969696969702</v>
      </c>
      <c r="BL29" s="1">
        <v>21</v>
      </c>
      <c r="BM29" s="1">
        <f t="shared" ca="1" si="2"/>
        <v>0.28855780958897603</v>
      </c>
      <c r="BN29" s="1">
        <v>21</v>
      </c>
      <c r="BO29" s="1">
        <f t="shared" ca="1" si="3"/>
        <v>0.65220956618440729</v>
      </c>
    </row>
    <row r="30" spans="2:67" x14ac:dyDescent="0.25">
      <c r="B30" s="1">
        <v>30</v>
      </c>
      <c r="C30" s="3">
        <f t="shared" si="5"/>
        <v>0.89393939393939381</v>
      </c>
      <c r="D30" s="1">
        <v>30</v>
      </c>
      <c r="E30" s="3">
        <f t="shared" si="5"/>
        <v>0.89393939393939381</v>
      </c>
      <c r="O30" s="104"/>
      <c r="P30" s="2">
        <v>21</v>
      </c>
      <c r="Q30" s="3">
        <f t="shared" si="1"/>
        <v>0</v>
      </c>
      <c r="R30" s="3">
        <f t="shared" si="7"/>
        <v>3.2053872053872057E-2</v>
      </c>
      <c r="S30" s="3">
        <f t="shared" si="7"/>
        <v>6.3379247015610651E-2</v>
      </c>
      <c r="T30" s="3">
        <f t="shared" si="7"/>
        <v>9.3976124885215798E-2</v>
      </c>
      <c r="U30" s="3">
        <f t="shared" si="7"/>
        <v>0.12384450566268747</v>
      </c>
      <c r="V30" s="3">
        <f t="shared" si="7"/>
        <v>0.15298438934802569</v>
      </c>
      <c r="W30" s="3">
        <f t="shared" si="7"/>
        <v>0.18139577594123049</v>
      </c>
      <c r="X30" s="3">
        <f t="shared" si="7"/>
        <v>0.20907866544230178</v>
      </c>
      <c r="Y30" s="3">
        <f t="shared" si="7"/>
        <v>0.23603305785123965</v>
      </c>
      <c r="Z30" s="3">
        <f t="shared" si="7"/>
        <v>0.2622589531680441</v>
      </c>
      <c r="AA30" s="3">
        <f t="shared" si="7"/>
        <v>0.28775635139271505</v>
      </c>
      <c r="AB30" s="3">
        <f t="shared" si="7"/>
        <v>0.31252525252525254</v>
      </c>
      <c r="AC30" s="3">
        <f t="shared" si="7"/>
        <v>0.33656565656565657</v>
      </c>
      <c r="AD30" s="3">
        <f t="shared" si="7"/>
        <v>0.35987756351392713</v>
      </c>
      <c r="AE30" s="3">
        <f t="shared" si="7"/>
        <v>0.38246097337006424</v>
      </c>
      <c r="AF30" s="3">
        <f t="shared" si="7"/>
        <v>0.40431588613406788</v>
      </c>
      <c r="AG30" s="3">
        <f t="shared" si="7"/>
        <v>0.42544230180593817</v>
      </c>
      <c r="AH30" s="3">
        <f t="shared" si="7"/>
        <v>0.44584022038567489</v>
      </c>
      <c r="AI30" s="3">
        <f t="shared" si="7"/>
        <v>0.46550964187327826</v>
      </c>
      <c r="AJ30" s="3">
        <f t="shared" si="7"/>
        <v>0.48445056626874805</v>
      </c>
      <c r="AK30" s="3">
        <f t="shared" si="7"/>
        <v>0.50266299357208455</v>
      </c>
      <c r="AL30" s="3">
        <f t="shared" si="7"/>
        <v>0.52014692378328742</v>
      </c>
      <c r="AM30" s="3">
        <f t="shared" si="7"/>
        <v>0.53690235690235688</v>
      </c>
      <c r="AN30" s="3">
        <f t="shared" si="7"/>
        <v>0.55292929292929283</v>
      </c>
      <c r="AO30" s="3">
        <f t="shared" si="7"/>
        <v>0.56822773186409548</v>
      </c>
      <c r="AP30" s="3">
        <f t="shared" si="7"/>
        <v>0.58279767370676472</v>
      </c>
      <c r="AQ30" s="3">
        <f t="shared" si="7"/>
        <v>0.59663911845730022</v>
      </c>
      <c r="AR30" s="3">
        <f t="shared" si="7"/>
        <v>0.60975206611570243</v>
      </c>
      <c r="AS30" s="3">
        <f t="shared" si="7"/>
        <v>0.62213651668197123</v>
      </c>
      <c r="AT30" s="3">
        <f t="shared" si="7"/>
        <v>0.63379247015610662</v>
      </c>
      <c r="AU30" s="3">
        <f t="shared" si="7"/>
        <v>0.64471992653810828</v>
      </c>
      <c r="AV30" s="3">
        <f t="shared" si="7"/>
        <v>0.65491888582797675</v>
      </c>
      <c r="AW30" s="3">
        <f t="shared" si="7"/>
        <v>0.6643893480257117</v>
      </c>
      <c r="AX30" s="3">
        <f t="shared" si="7"/>
        <v>0.67313131313131314</v>
      </c>
      <c r="AY30" s="3">
        <f t="shared" si="7"/>
        <v>0.68114478114478116</v>
      </c>
      <c r="AZ30" s="3">
        <f t="shared" si="7"/>
        <v>0.68842975206611567</v>
      </c>
      <c r="BA30" s="3">
        <f t="shared" si="7"/>
        <v>0.69498622589531689</v>
      </c>
      <c r="BB30" s="3">
        <f t="shared" si="7"/>
        <v>0.70081420263238448</v>
      </c>
      <c r="BC30" s="3">
        <f t="shared" si="7"/>
        <v>0.70591368227731865</v>
      </c>
      <c r="BD30" s="3">
        <f t="shared" si="7"/>
        <v>0.71028466483011932</v>
      </c>
      <c r="BE30" s="3">
        <f t="shared" si="7"/>
        <v>0.71392715029078657</v>
      </c>
      <c r="BF30" s="3">
        <f t="shared" si="7"/>
        <v>0.71684113865932042</v>
      </c>
      <c r="BG30" s="3">
        <f t="shared" si="7"/>
        <v>0.71902662993572086</v>
      </c>
      <c r="BH30" s="3">
        <f t="shared" si="7"/>
        <v>0.72048362411998779</v>
      </c>
      <c r="BI30" s="3">
        <f t="shared" si="7"/>
        <v>0.72121212121212119</v>
      </c>
      <c r="BJ30" s="3">
        <f t="shared" si="7"/>
        <v>0.72121212121212119</v>
      </c>
      <c r="BL30" s="1">
        <v>22</v>
      </c>
      <c r="BM30" s="1">
        <f t="shared" ca="1" si="2"/>
        <v>0.37697825207843694</v>
      </c>
      <c r="BN30" s="1">
        <v>22</v>
      </c>
      <c r="BO30" s="1">
        <f t="shared" ca="1" si="3"/>
        <v>0.62275301151954332</v>
      </c>
    </row>
    <row r="31" spans="2:67" x14ac:dyDescent="0.25">
      <c r="B31" s="1">
        <v>29</v>
      </c>
      <c r="C31" s="3">
        <f t="shared" si="5"/>
        <v>0.8787878787878789</v>
      </c>
      <c r="D31" s="1">
        <v>29</v>
      </c>
      <c r="E31" s="3">
        <f t="shared" si="5"/>
        <v>0.8787878787878789</v>
      </c>
      <c r="O31" s="104"/>
      <c r="P31" s="2">
        <v>22</v>
      </c>
      <c r="Q31" s="3">
        <f t="shared" si="1"/>
        <v>0</v>
      </c>
      <c r="R31" s="3">
        <f t="shared" si="7"/>
        <v>3.3086419753086418E-2</v>
      </c>
      <c r="S31" s="3">
        <f t="shared" si="7"/>
        <v>6.5420875420875435E-2</v>
      </c>
      <c r="T31" s="3">
        <f t="shared" si="7"/>
        <v>9.7003367003367008E-2</v>
      </c>
      <c r="U31" s="3">
        <f t="shared" si="7"/>
        <v>0.12783389450056118</v>
      </c>
      <c r="V31" s="3">
        <f t="shared" si="7"/>
        <v>0.15791245791245789</v>
      </c>
      <c r="W31" s="3">
        <f t="shared" si="7"/>
        <v>0.18723905723905726</v>
      </c>
      <c r="X31" s="3">
        <f t="shared" si="7"/>
        <v>0.21581369248035914</v>
      </c>
      <c r="Y31" s="3">
        <f t="shared" si="7"/>
        <v>0.24363636363636365</v>
      </c>
      <c r="Z31" s="3">
        <f t="shared" si="7"/>
        <v>0.27070707070707073</v>
      </c>
      <c r="AA31" s="3">
        <f t="shared" si="7"/>
        <v>0.29702581369248038</v>
      </c>
      <c r="AB31" s="3">
        <f t="shared" si="7"/>
        <v>0.3225925925925926</v>
      </c>
      <c r="AC31" s="3">
        <f t="shared" si="7"/>
        <v>0.34740740740740744</v>
      </c>
      <c r="AD31" s="3">
        <f t="shared" si="7"/>
        <v>0.3714702581369248</v>
      </c>
      <c r="AE31" s="3">
        <f t="shared" si="7"/>
        <v>0.39478114478114479</v>
      </c>
      <c r="AF31" s="3">
        <f t="shared" si="7"/>
        <v>0.41734006734006729</v>
      </c>
      <c r="AG31" s="3">
        <f t="shared" si="7"/>
        <v>0.43914702581369253</v>
      </c>
      <c r="AH31" s="3">
        <f t="shared" si="7"/>
        <v>0.46020202020202022</v>
      </c>
      <c r="AI31" s="3">
        <f t="shared" si="7"/>
        <v>0.48050505050505055</v>
      </c>
      <c r="AJ31" s="3">
        <f t="shared" si="7"/>
        <v>0.50005611672278338</v>
      </c>
      <c r="AK31" s="3">
        <f t="shared" si="7"/>
        <v>0.5188552188552189</v>
      </c>
      <c r="AL31" s="3">
        <f t="shared" si="7"/>
        <v>0.53690235690235688</v>
      </c>
      <c r="AM31" s="3">
        <f t="shared" si="7"/>
        <v>0.55419753086419754</v>
      </c>
      <c r="AN31" s="3">
        <f t="shared" si="7"/>
        <v>0.57074074074074066</v>
      </c>
      <c r="AO31" s="3">
        <f t="shared" si="7"/>
        <v>0.58653198653198657</v>
      </c>
      <c r="AP31" s="3">
        <f t="shared" si="7"/>
        <v>0.60157126823793494</v>
      </c>
      <c r="AQ31" s="3">
        <f t="shared" si="7"/>
        <v>0.61585858585858588</v>
      </c>
      <c r="AR31" s="3">
        <f t="shared" si="7"/>
        <v>0.62939393939393939</v>
      </c>
      <c r="AS31" s="3">
        <f t="shared" si="7"/>
        <v>0.64217732884399548</v>
      </c>
      <c r="AT31" s="3">
        <f t="shared" si="7"/>
        <v>0.65420875420875435</v>
      </c>
      <c r="AU31" s="3">
        <f t="shared" si="7"/>
        <v>0.66548821548821546</v>
      </c>
      <c r="AV31" s="3">
        <f t="shared" si="7"/>
        <v>0.67601571268237937</v>
      </c>
      <c r="AW31" s="3">
        <f t="shared" si="7"/>
        <v>0.68579124579124584</v>
      </c>
      <c r="AX31" s="3">
        <f t="shared" si="7"/>
        <v>0.69481481481481489</v>
      </c>
      <c r="AY31" s="3">
        <f t="shared" si="7"/>
        <v>0.70308641975308639</v>
      </c>
      <c r="AZ31" s="3">
        <f t="shared" si="7"/>
        <v>0.71060606060606069</v>
      </c>
      <c r="BA31" s="3">
        <f t="shared" si="7"/>
        <v>0.71737373737373744</v>
      </c>
      <c r="BB31" s="3">
        <f t="shared" si="7"/>
        <v>0.72338945005611677</v>
      </c>
      <c r="BC31" s="3">
        <f t="shared" si="7"/>
        <v>0.72865319865319866</v>
      </c>
      <c r="BD31" s="3">
        <f t="shared" si="7"/>
        <v>0.73316498316498324</v>
      </c>
      <c r="BE31" s="3">
        <f t="shared" si="7"/>
        <v>0.73692480359147028</v>
      </c>
      <c r="BF31" s="3">
        <f t="shared" si="7"/>
        <v>0.73993265993265989</v>
      </c>
      <c r="BG31" s="3">
        <f t="shared" si="7"/>
        <v>0.74218855218855218</v>
      </c>
      <c r="BH31" s="3">
        <f t="shared" si="7"/>
        <v>0.74369248035914715</v>
      </c>
      <c r="BI31" s="3">
        <f t="shared" si="7"/>
        <v>0.74444444444444446</v>
      </c>
      <c r="BJ31" s="3">
        <f t="shared" si="7"/>
        <v>0.74444444444444446</v>
      </c>
      <c r="BL31" s="1">
        <v>23</v>
      </c>
      <c r="BM31" s="1">
        <f t="shared" ca="1" si="2"/>
        <v>0.51122063657806571</v>
      </c>
      <c r="BN31" s="1">
        <v>23</v>
      </c>
      <c r="BO31" s="1">
        <f t="shared" ca="1" si="3"/>
        <v>0.31645376646147905</v>
      </c>
    </row>
    <row r="32" spans="2:67" x14ac:dyDescent="0.25">
      <c r="B32" s="1">
        <v>28</v>
      </c>
      <c r="C32" s="3">
        <f t="shared" si="5"/>
        <v>0.86262626262626263</v>
      </c>
      <c r="D32" s="1">
        <v>28</v>
      </c>
      <c r="E32" s="3">
        <f t="shared" si="5"/>
        <v>0.86262626262626263</v>
      </c>
      <c r="O32" s="104"/>
      <c r="P32" s="2">
        <v>23</v>
      </c>
      <c r="Q32" s="3">
        <f t="shared" si="1"/>
        <v>0</v>
      </c>
      <c r="R32" s="3">
        <f t="shared" ref="R32:BJ37" si="8">VLOOKUP($P32,$D$15:$E$60,2,FALSE)*VLOOKUP(R$8,$B$15:$C$60,2,FALSE)</f>
        <v>3.4074074074074076E-2</v>
      </c>
      <c r="S32" s="3">
        <f t="shared" si="8"/>
        <v>6.7373737373737377E-2</v>
      </c>
      <c r="T32" s="3">
        <f t="shared" si="8"/>
        <v>9.989898989898989E-2</v>
      </c>
      <c r="U32" s="3">
        <f t="shared" si="8"/>
        <v>0.13164983164983163</v>
      </c>
      <c r="V32" s="3">
        <f t="shared" si="8"/>
        <v>0.16262626262626259</v>
      </c>
      <c r="W32" s="3">
        <f t="shared" si="8"/>
        <v>0.19282828282828282</v>
      </c>
      <c r="X32" s="3">
        <f t="shared" si="8"/>
        <v>0.22225589225589223</v>
      </c>
      <c r="Y32" s="3">
        <f t="shared" si="8"/>
        <v>0.25090909090909091</v>
      </c>
      <c r="Z32" s="3">
        <f t="shared" si="8"/>
        <v>0.27878787878787875</v>
      </c>
      <c r="AA32" s="3">
        <f t="shared" si="8"/>
        <v>0.30589225589225588</v>
      </c>
      <c r="AB32" s="3">
        <f t="shared" si="8"/>
        <v>0.3322222222222222</v>
      </c>
      <c r="AC32" s="3">
        <f t="shared" si="8"/>
        <v>0.35777777777777775</v>
      </c>
      <c r="AD32" s="3">
        <f t="shared" si="8"/>
        <v>0.38255892255892254</v>
      </c>
      <c r="AE32" s="3">
        <f t="shared" si="8"/>
        <v>0.40656565656565652</v>
      </c>
      <c r="AF32" s="3">
        <f t="shared" si="8"/>
        <v>0.42979797979797973</v>
      </c>
      <c r="AG32" s="3">
        <f t="shared" si="8"/>
        <v>0.45225589225589224</v>
      </c>
      <c r="AH32" s="3">
        <f t="shared" si="8"/>
        <v>0.47393939393939388</v>
      </c>
      <c r="AI32" s="3">
        <f t="shared" si="8"/>
        <v>0.49484848484848487</v>
      </c>
      <c r="AJ32" s="3">
        <f t="shared" si="8"/>
        <v>0.51498316498316499</v>
      </c>
      <c r="AK32" s="3">
        <f t="shared" si="8"/>
        <v>0.53434343434343434</v>
      </c>
      <c r="AL32" s="3">
        <f t="shared" si="8"/>
        <v>0.55292929292929283</v>
      </c>
      <c r="AM32" s="3">
        <f t="shared" si="8"/>
        <v>0.57074074074074066</v>
      </c>
      <c r="AN32" s="3">
        <f t="shared" si="8"/>
        <v>0.58777777777777773</v>
      </c>
      <c r="AO32" s="3">
        <f t="shared" si="8"/>
        <v>0.60404040404040393</v>
      </c>
      <c r="AP32" s="3">
        <f t="shared" si="8"/>
        <v>0.6195286195286196</v>
      </c>
      <c r="AQ32" s="3">
        <f t="shared" si="8"/>
        <v>0.63424242424242416</v>
      </c>
      <c r="AR32" s="3">
        <f t="shared" si="8"/>
        <v>0.64818181818181808</v>
      </c>
      <c r="AS32" s="3">
        <f t="shared" si="8"/>
        <v>0.66134680134680135</v>
      </c>
      <c r="AT32" s="3">
        <f t="shared" si="8"/>
        <v>0.67373737373737375</v>
      </c>
      <c r="AU32" s="3">
        <f t="shared" si="8"/>
        <v>0.68535353535353516</v>
      </c>
      <c r="AV32" s="3">
        <f t="shared" si="8"/>
        <v>0.69619528619528614</v>
      </c>
      <c r="AW32" s="3">
        <f t="shared" si="8"/>
        <v>0.70626262626262626</v>
      </c>
      <c r="AX32" s="3">
        <f t="shared" si="8"/>
        <v>0.7155555555555555</v>
      </c>
      <c r="AY32" s="3">
        <f t="shared" si="8"/>
        <v>0.72407407407407398</v>
      </c>
      <c r="AZ32" s="3">
        <f t="shared" si="8"/>
        <v>0.73181818181818181</v>
      </c>
      <c r="BA32" s="3">
        <f t="shared" si="8"/>
        <v>0.73878787878787877</v>
      </c>
      <c r="BB32" s="3">
        <f t="shared" si="8"/>
        <v>0.74498316498316497</v>
      </c>
      <c r="BC32" s="3">
        <f t="shared" si="8"/>
        <v>0.7504040404040403</v>
      </c>
      <c r="BD32" s="3">
        <f t="shared" si="8"/>
        <v>0.75505050505050497</v>
      </c>
      <c r="BE32" s="3">
        <f t="shared" si="8"/>
        <v>0.75892255892255878</v>
      </c>
      <c r="BF32" s="3">
        <f t="shared" si="8"/>
        <v>0.76202020202020193</v>
      </c>
      <c r="BG32" s="3">
        <f t="shared" si="8"/>
        <v>0.76434343434343432</v>
      </c>
      <c r="BH32" s="3">
        <f t="shared" si="8"/>
        <v>0.76589225589225596</v>
      </c>
      <c r="BI32" s="3">
        <f t="shared" si="8"/>
        <v>0.76666666666666661</v>
      </c>
      <c r="BJ32" s="3">
        <f t="shared" si="8"/>
        <v>0.76666666666666661</v>
      </c>
      <c r="BL32" s="1">
        <v>24</v>
      </c>
      <c r="BM32" s="1">
        <f t="shared" ca="1" si="2"/>
        <v>0.4427138978609102</v>
      </c>
      <c r="BN32" s="1">
        <v>24</v>
      </c>
      <c r="BO32" s="1">
        <f t="shared" ca="1" si="3"/>
        <v>0.79374445763032297</v>
      </c>
    </row>
    <row r="33" spans="2:67" x14ac:dyDescent="0.25">
      <c r="B33" s="1">
        <v>27</v>
      </c>
      <c r="C33" s="3">
        <f t="shared" si="5"/>
        <v>0.84545454545454546</v>
      </c>
      <c r="D33" s="1">
        <v>27</v>
      </c>
      <c r="E33" s="3">
        <f t="shared" si="5"/>
        <v>0.84545454545454546</v>
      </c>
      <c r="O33" s="104"/>
      <c r="P33" s="2">
        <v>24</v>
      </c>
      <c r="Q33" s="3">
        <f t="shared" si="1"/>
        <v>0</v>
      </c>
      <c r="R33" s="3">
        <f t="shared" si="8"/>
        <v>3.5016835016835016E-2</v>
      </c>
      <c r="S33" s="3">
        <f t="shared" si="8"/>
        <v>6.923783287419652E-2</v>
      </c>
      <c r="T33" s="3">
        <f t="shared" si="8"/>
        <v>0.10266299357208448</v>
      </c>
      <c r="U33" s="3">
        <f t="shared" si="8"/>
        <v>0.13529231711049891</v>
      </c>
      <c r="V33" s="3">
        <f t="shared" si="8"/>
        <v>0.16712580348943984</v>
      </c>
      <c r="W33" s="3">
        <f t="shared" si="8"/>
        <v>0.19816345270890726</v>
      </c>
      <c r="X33" s="3">
        <f t="shared" si="8"/>
        <v>0.22840526476890111</v>
      </c>
      <c r="Y33" s="3">
        <f t="shared" si="8"/>
        <v>0.25785123966942147</v>
      </c>
      <c r="Z33" s="3">
        <f t="shared" si="8"/>
        <v>0.28650137741046833</v>
      </c>
      <c r="AA33" s="3">
        <f t="shared" si="8"/>
        <v>0.31435567799204162</v>
      </c>
      <c r="AB33" s="3">
        <f t="shared" si="8"/>
        <v>0.34141414141414139</v>
      </c>
      <c r="AC33" s="3">
        <f t="shared" si="8"/>
        <v>0.36767676767676766</v>
      </c>
      <c r="AD33" s="3">
        <f t="shared" si="8"/>
        <v>0.39314355677992041</v>
      </c>
      <c r="AE33" s="3">
        <f t="shared" si="8"/>
        <v>0.4178145087235996</v>
      </c>
      <c r="AF33" s="3">
        <f t="shared" si="8"/>
        <v>0.44168962350780527</v>
      </c>
      <c r="AG33" s="3">
        <f t="shared" si="8"/>
        <v>0.46476890113253749</v>
      </c>
      <c r="AH33" s="3">
        <f t="shared" si="8"/>
        <v>0.48705234159779609</v>
      </c>
      <c r="AI33" s="3">
        <f t="shared" si="8"/>
        <v>0.50853994490358123</v>
      </c>
      <c r="AJ33" s="3">
        <f t="shared" si="8"/>
        <v>0.52923171104989286</v>
      </c>
      <c r="AK33" s="3">
        <f t="shared" si="8"/>
        <v>0.54912764003673098</v>
      </c>
      <c r="AL33" s="3">
        <f t="shared" si="8"/>
        <v>0.56822773186409548</v>
      </c>
      <c r="AM33" s="3">
        <f t="shared" si="8"/>
        <v>0.58653198653198657</v>
      </c>
      <c r="AN33" s="3">
        <f t="shared" si="8"/>
        <v>0.60404040404040393</v>
      </c>
      <c r="AO33" s="3">
        <f t="shared" si="8"/>
        <v>0.62075298438934801</v>
      </c>
      <c r="AP33" s="3">
        <f t="shared" si="8"/>
        <v>0.63666972757881857</v>
      </c>
      <c r="AQ33" s="3">
        <f t="shared" si="8"/>
        <v>0.6517906336088154</v>
      </c>
      <c r="AR33" s="3">
        <f t="shared" si="8"/>
        <v>0.66611570247933882</v>
      </c>
      <c r="AS33" s="3">
        <f t="shared" si="8"/>
        <v>0.67964493419038874</v>
      </c>
      <c r="AT33" s="3">
        <f t="shared" si="8"/>
        <v>0.69237832874196514</v>
      </c>
      <c r="AU33" s="3">
        <f t="shared" si="8"/>
        <v>0.70431588613406781</v>
      </c>
      <c r="AV33" s="3">
        <f t="shared" si="8"/>
        <v>0.7154576063666972</v>
      </c>
      <c r="AW33" s="3">
        <f t="shared" si="8"/>
        <v>0.72580348943985307</v>
      </c>
      <c r="AX33" s="3">
        <f t="shared" si="8"/>
        <v>0.73535353535353531</v>
      </c>
      <c r="AY33" s="3">
        <f t="shared" si="8"/>
        <v>0.74410774410774405</v>
      </c>
      <c r="AZ33" s="3">
        <f t="shared" si="8"/>
        <v>0.75206611570247939</v>
      </c>
      <c r="BA33" s="3">
        <f t="shared" si="8"/>
        <v>0.7592286501377411</v>
      </c>
      <c r="BB33" s="3">
        <f t="shared" si="8"/>
        <v>0.76559534741352919</v>
      </c>
      <c r="BC33" s="3">
        <f t="shared" si="8"/>
        <v>0.77116620752984388</v>
      </c>
      <c r="BD33" s="3">
        <f t="shared" si="8"/>
        <v>0.77594123048668506</v>
      </c>
      <c r="BE33" s="3">
        <f t="shared" si="8"/>
        <v>0.77992041628405251</v>
      </c>
      <c r="BF33" s="3">
        <f t="shared" si="8"/>
        <v>0.78310376492194667</v>
      </c>
      <c r="BG33" s="3">
        <f t="shared" si="8"/>
        <v>0.78549127640036731</v>
      </c>
      <c r="BH33" s="3">
        <f t="shared" si="8"/>
        <v>0.78708295071931444</v>
      </c>
      <c r="BI33" s="3">
        <f t="shared" si="8"/>
        <v>0.78787878787878785</v>
      </c>
      <c r="BJ33" s="3">
        <f t="shared" si="8"/>
        <v>0.78787878787878785</v>
      </c>
      <c r="BL33" s="1">
        <v>25</v>
      </c>
      <c r="BM33" s="1">
        <f t="shared" ca="1" si="2"/>
        <v>0.63987113698706932</v>
      </c>
      <c r="BN33" s="1">
        <v>25</v>
      </c>
      <c r="BO33" s="1">
        <f t="shared" ca="1" si="3"/>
        <v>0.56944136082241559</v>
      </c>
    </row>
    <row r="34" spans="2:67" x14ac:dyDescent="0.25">
      <c r="B34" s="1">
        <v>26</v>
      </c>
      <c r="C34" s="3">
        <f t="shared" si="5"/>
        <v>0.82727272727272727</v>
      </c>
      <c r="D34" s="1">
        <v>26</v>
      </c>
      <c r="E34" s="3">
        <f t="shared" si="5"/>
        <v>0.82727272727272727</v>
      </c>
      <c r="O34" s="104"/>
      <c r="P34" s="2">
        <v>25</v>
      </c>
      <c r="Q34" s="3">
        <f t="shared" si="1"/>
        <v>0</v>
      </c>
      <c r="R34" s="3">
        <f t="shared" si="8"/>
        <v>3.5914702581369251E-2</v>
      </c>
      <c r="S34" s="3">
        <f t="shared" si="8"/>
        <v>7.1013161922252849E-2</v>
      </c>
      <c r="T34" s="3">
        <f t="shared" si="8"/>
        <v>0.10529537802265077</v>
      </c>
      <c r="U34" s="3">
        <f t="shared" si="8"/>
        <v>0.13876135088256303</v>
      </c>
      <c r="V34" s="3">
        <f t="shared" si="8"/>
        <v>0.17141108050198958</v>
      </c>
      <c r="W34" s="3">
        <f t="shared" si="8"/>
        <v>0.20324456688093054</v>
      </c>
      <c r="X34" s="3">
        <f t="shared" si="8"/>
        <v>0.23426181001938579</v>
      </c>
      <c r="Y34" s="3">
        <f t="shared" si="8"/>
        <v>0.26446280991735538</v>
      </c>
      <c r="Z34" s="3">
        <f t="shared" si="8"/>
        <v>0.29384756657483935</v>
      </c>
      <c r="AA34" s="3">
        <f t="shared" si="8"/>
        <v>0.32241607999183763</v>
      </c>
      <c r="AB34" s="3">
        <f t="shared" si="8"/>
        <v>0.35016835016835024</v>
      </c>
      <c r="AC34" s="3">
        <f t="shared" si="8"/>
        <v>0.37710437710437716</v>
      </c>
      <c r="AD34" s="3">
        <f t="shared" si="8"/>
        <v>0.40322416079991841</v>
      </c>
      <c r="AE34" s="3">
        <f t="shared" si="8"/>
        <v>0.42852770125497402</v>
      </c>
      <c r="AF34" s="3">
        <f t="shared" si="8"/>
        <v>0.45301499846954396</v>
      </c>
      <c r="AG34" s="3">
        <f t="shared" si="8"/>
        <v>0.47668605244362827</v>
      </c>
      <c r="AH34" s="3">
        <f t="shared" si="8"/>
        <v>0.49954086317722685</v>
      </c>
      <c r="AI34" s="3">
        <f t="shared" si="8"/>
        <v>0.52157943067033985</v>
      </c>
      <c r="AJ34" s="3">
        <f t="shared" si="8"/>
        <v>0.54280175492296712</v>
      </c>
      <c r="AK34" s="3">
        <f t="shared" si="8"/>
        <v>0.56320783593510881</v>
      </c>
      <c r="AL34" s="3">
        <f t="shared" si="8"/>
        <v>0.58279767370676472</v>
      </c>
      <c r="AM34" s="3">
        <f t="shared" si="8"/>
        <v>0.60157126823793494</v>
      </c>
      <c r="AN34" s="3">
        <f t="shared" si="8"/>
        <v>0.6195286195286196</v>
      </c>
      <c r="AO34" s="3">
        <f t="shared" si="8"/>
        <v>0.63666972757881857</v>
      </c>
      <c r="AP34" s="3">
        <f t="shared" si="8"/>
        <v>0.65299459238853197</v>
      </c>
      <c r="AQ34" s="3">
        <f t="shared" si="8"/>
        <v>0.66850321395775947</v>
      </c>
      <c r="AR34" s="3">
        <f t="shared" si="8"/>
        <v>0.68319559228650151</v>
      </c>
      <c r="AS34" s="3">
        <f t="shared" si="8"/>
        <v>0.69707172737475775</v>
      </c>
      <c r="AT34" s="3">
        <f t="shared" si="8"/>
        <v>0.71013161922252843</v>
      </c>
      <c r="AU34" s="3">
        <f t="shared" si="8"/>
        <v>0.72237526782981332</v>
      </c>
      <c r="AV34" s="3">
        <f t="shared" si="8"/>
        <v>0.73380267319661263</v>
      </c>
      <c r="AW34" s="3">
        <f t="shared" si="8"/>
        <v>0.74441383532292638</v>
      </c>
      <c r="AX34" s="3">
        <f t="shared" si="8"/>
        <v>0.75420875420875433</v>
      </c>
      <c r="AY34" s="3">
        <f t="shared" si="8"/>
        <v>0.7631874298540966</v>
      </c>
      <c r="AZ34" s="3">
        <f t="shared" si="8"/>
        <v>0.7713498622589533</v>
      </c>
      <c r="BA34" s="3">
        <f t="shared" si="8"/>
        <v>0.77869605142332432</v>
      </c>
      <c r="BB34" s="3">
        <f t="shared" si="8"/>
        <v>0.78522599734720955</v>
      </c>
      <c r="BC34" s="3">
        <f t="shared" si="8"/>
        <v>0.79093970003060921</v>
      </c>
      <c r="BD34" s="3">
        <f t="shared" si="8"/>
        <v>0.79583715947352318</v>
      </c>
      <c r="BE34" s="3">
        <f t="shared" si="8"/>
        <v>0.79991837567595148</v>
      </c>
      <c r="BF34" s="3">
        <f t="shared" si="8"/>
        <v>0.8031833486378942</v>
      </c>
      <c r="BG34" s="3">
        <f t="shared" si="8"/>
        <v>0.80563207835935113</v>
      </c>
      <c r="BH34" s="3">
        <f t="shared" si="8"/>
        <v>0.80726456484032261</v>
      </c>
      <c r="BI34" s="3">
        <f t="shared" si="8"/>
        <v>0.80808080808080818</v>
      </c>
      <c r="BJ34" s="3">
        <f t="shared" si="8"/>
        <v>0.80808080808080818</v>
      </c>
      <c r="BL34" s="1">
        <v>26</v>
      </c>
      <c r="BM34" s="1">
        <f t="shared" ca="1" si="2"/>
        <v>6.708996845063131E-2</v>
      </c>
      <c r="BN34" s="1">
        <v>26</v>
      </c>
      <c r="BO34" s="1">
        <f t="shared" ca="1" si="3"/>
        <v>0.52184941497705328</v>
      </c>
    </row>
    <row r="35" spans="2:67" x14ac:dyDescent="0.25">
      <c r="B35" s="1">
        <v>25</v>
      </c>
      <c r="C35" s="3">
        <f t="shared" si="5"/>
        <v>0.80808080808080818</v>
      </c>
      <c r="D35" s="1">
        <v>25</v>
      </c>
      <c r="E35" s="3">
        <f t="shared" si="5"/>
        <v>0.80808080808080818</v>
      </c>
      <c r="O35" s="104"/>
      <c r="P35" s="2">
        <v>26</v>
      </c>
      <c r="Q35" s="3">
        <f t="shared" si="1"/>
        <v>0</v>
      </c>
      <c r="R35" s="3">
        <f t="shared" si="8"/>
        <v>3.6767676767676769E-2</v>
      </c>
      <c r="S35" s="3">
        <f t="shared" si="8"/>
        <v>7.269972451790635E-2</v>
      </c>
      <c r="T35" s="3">
        <f t="shared" si="8"/>
        <v>0.10779614325068872</v>
      </c>
      <c r="U35" s="3">
        <f t="shared" si="8"/>
        <v>0.14205693296602387</v>
      </c>
      <c r="V35" s="3">
        <f t="shared" si="8"/>
        <v>0.17548209366391182</v>
      </c>
      <c r="W35" s="3">
        <f t="shared" si="8"/>
        <v>0.20807162534435261</v>
      </c>
      <c r="X35" s="3">
        <f t="shared" si="8"/>
        <v>0.23982552800734616</v>
      </c>
      <c r="Y35" s="3">
        <f t="shared" si="8"/>
        <v>0.27074380165289258</v>
      </c>
      <c r="Z35" s="3">
        <f t="shared" si="8"/>
        <v>0.30082644628099175</v>
      </c>
      <c r="AA35" s="3">
        <f t="shared" si="8"/>
        <v>0.33007346189164372</v>
      </c>
      <c r="AB35" s="3">
        <f t="shared" si="8"/>
        <v>0.35848484848484852</v>
      </c>
      <c r="AC35" s="3">
        <f t="shared" si="8"/>
        <v>0.38606060606060605</v>
      </c>
      <c r="AD35" s="3">
        <f t="shared" si="8"/>
        <v>0.41280073461891642</v>
      </c>
      <c r="AE35" s="3">
        <f t="shared" si="8"/>
        <v>0.43870523415977958</v>
      </c>
      <c r="AF35" s="3">
        <f t="shared" si="8"/>
        <v>0.46377410468319552</v>
      </c>
      <c r="AG35" s="3">
        <f t="shared" si="8"/>
        <v>0.48800734618916441</v>
      </c>
      <c r="AH35" s="3">
        <f t="shared" si="8"/>
        <v>0.51140495867768598</v>
      </c>
      <c r="AI35" s="3">
        <f t="shared" si="8"/>
        <v>0.53396694214876039</v>
      </c>
      <c r="AJ35" s="3">
        <f t="shared" si="8"/>
        <v>0.55569329660238753</v>
      </c>
      <c r="AK35" s="3">
        <f t="shared" si="8"/>
        <v>0.57658402203856751</v>
      </c>
      <c r="AL35" s="3">
        <f t="shared" si="8"/>
        <v>0.59663911845730022</v>
      </c>
      <c r="AM35" s="3">
        <f t="shared" si="8"/>
        <v>0.61585858585858588</v>
      </c>
      <c r="AN35" s="3">
        <f t="shared" si="8"/>
        <v>0.63424242424242416</v>
      </c>
      <c r="AO35" s="3">
        <f t="shared" si="8"/>
        <v>0.6517906336088154</v>
      </c>
      <c r="AP35" s="3">
        <f t="shared" si="8"/>
        <v>0.66850321395775947</v>
      </c>
      <c r="AQ35" s="3">
        <f t="shared" si="8"/>
        <v>0.68438016528925616</v>
      </c>
      <c r="AR35" s="3">
        <f t="shared" si="8"/>
        <v>0.6994214876033058</v>
      </c>
      <c r="AS35" s="3">
        <f t="shared" si="8"/>
        <v>0.71362718089990818</v>
      </c>
      <c r="AT35" s="3">
        <f t="shared" si="8"/>
        <v>0.7269972451790635</v>
      </c>
      <c r="AU35" s="3">
        <f t="shared" si="8"/>
        <v>0.73953168044077122</v>
      </c>
      <c r="AV35" s="3">
        <f t="shared" si="8"/>
        <v>0.75123048668503212</v>
      </c>
      <c r="AW35" s="3">
        <f t="shared" si="8"/>
        <v>0.76209366391184574</v>
      </c>
      <c r="AX35" s="3">
        <f t="shared" si="8"/>
        <v>0.7721212121212121</v>
      </c>
      <c r="AY35" s="3">
        <f t="shared" si="8"/>
        <v>0.78131313131313129</v>
      </c>
      <c r="AZ35" s="3">
        <f t="shared" si="8"/>
        <v>0.78966942148760333</v>
      </c>
      <c r="BA35" s="3">
        <f t="shared" si="8"/>
        <v>0.79719008264462821</v>
      </c>
      <c r="BB35" s="3">
        <f t="shared" si="8"/>
        <v>0.8038751147842057</v>
      </c>
      <c r="BC35" s="3">
        <f t="shared" si="8"/>
        <v>0.80972451790633604</v>
      </c>
      <c r="BD35" s="3">
        <f t="shared" si="8"/>
        <v>0.81473829201101933</v>
      </c>
      <c r="BE35" s="3">
        <f t="shared" si="8"/>
        <v>0.81891643709825523</v>
      </c>
      <c r="BF35" s="3">
        <f t="shared" si="8"/>
        <v>0.82225895316804409</v>
      </c>
      <c r="BG35" s="3">
        <f t="shared" si="8"/>
        <v>0.82476584022038568</v>
      </c>
      <c r="BH35" s="3">
        <f t="shared" si="8"/>
        <v>0.82643709825528011</v>
      </c>
      <c r="BI35" s="3">
        <f t="shared" si="8"/>
        <v>0.82727272727272727</v>
      </c>
      <c r="BJ35" s="3">
        <f t="shared" si="8"/>
        <v>0.82727272727272727</v>
      </c>
      <c r="BL35" s="1">
        <v>27</v>
      </c>
      <c r="BM35" s="1">
        <f t="shared" ca="1" si="2"/>
        <v>0.51084950545125296</v>
      </c>
      <c r="BN35" s="1">
        <v>27</v>
      </c>
      <c r="BO35" s="1">
        <f t="shared" ca="1" si="3"/>
        <v>0.63017171017565587</v>
      </c>
    </row>
    <row r="36" spans="2:67" x14ac:dyDescent="0.25">
      <c r="B36" s="1">
        <v>24</v>
      </c>
      <c r="C36" s="3">
        <f t="shared" si="5"/>
        <v>0.78787878787878785</v>
      </c>
      <c r="D36" s="1">
        <v>24</v>
      </c>
      <c r="E36" s="3">
        <f t="shared" si="5"/>
        <v>0.78787878787878785</v>
      </c>
      <c r="O36" s="104"/>
      <c r="P36" s="2">
        <v>27</v>
      </c>
      <c r="Q36" s="3">
        <f t="shared" si="1"/>
        <v>0</v>
      </c>
      <c r="R36" s="3">
        <f t="shared" si="8"/>
        <v>3.7575757575757575E-2</v>
      </c>
      <c r="S36" s="3">
        <f t="shared" si="8"/>
        <v>7.4297520661157038E-2</v>
      </c>
      <c r="T36" s="3">
        <f t="shared" si="8"/>
        <v>0.11016528925619835</v>
      </c>
      <c r="U36" s="3">
        <f t="shared" si="8"/>
        <v>0.14517906336088154</v>
      </c>
      <c r="V36" s="3">
        <f t="shared" si="8"/>
        <v>0.17933884297520658</v>
      </c>
      <c r="W36" s="3">
        <f t="shared" si="8"/>
        <v>0.21264462809917356</v>
      </c>
      <c r="X36" s="3">
        <f t="shared" si="8"/>
        <v>0.24509641873278235</v>
      </c>
      <c r="Y36" s="3">
        <f t="shared" si="8"/>
        <v>0.27669421487603307</v>
      </c>
      <c r="Z36" s="3">
        <f t="shared" si="8"/>
        <v>0.30743801652892561</v>
      </c>
      <c r="AA36" s="3">
        <f t="shared" si="8"/>
        <v>0.33732782369146008</v>
      </c>
      <c r="AB36" s="3">
        <f t="shared" si="8"/>
        <v>0.36636363636363639</v>
      </c>
      <c r="AC36" s="3">
        <f t="shared" si="8"/>
        <v>0.39454545454545453</v>
      </c>
      <c r="AD36" s="3">
        <f t="shared" si="8"/>
        <v>0.42187327823691462</v>
      </c>
      <c r="AE36" s="3">
        <f t="shared" si="8"/>
        <v>0.44834710743801653</v>
      </c>
      <c r="AF36" s="3">
        <f t="shared" si="8"/>
        <v>0.47396694214876028</v>
      </c>
      <c r="AG36" s="3">
        <f t="shared" si="8"/>
        <v>0.49873278236914603</v>
      </c>
      <c r="AH36" s="3">
        <f t="shared" si="8"/>
        <v>0.52264462809917356</v>
      </c>
      <c r="AI36" s="3">
        <f t="shared" si="8"/>
        <v>0.54570247933884297</v>
      </c>
      <c r="AJ36" s="3">
        <f t="shared" si="8"/>
        <v>0.56790633608815422</v>
      </c>
      <c r="AK36" s="3">
        <f t="shared" si="8"/>
        <v>0.58925619834710752</v>
      </c>
      <c r="AL36" s="3">
        <f t="shared" si="8"/>
        <v>0.60975206611570243</v>
      </c>
      <c r="AM36" s="3">
        <f t="shared" si="8"/>
        <v>0.62939393939393939</v>
      </c>
      <c r="AN36" s="3">
        <f t="shared" si="8"/>
        <v>0.64818181818181808</v>
      </c>
      <c r="AO36" s="3">
        <f t="shared" si="8"/>
        <v>0.66611570247933882</v>
      </c>
      <c r="AP36" s="3">
        <f t="shared" si="8"/>
        <v>0.68319559228650151</v>
      </c>
      <c r="AQ36" s="3">
        <f t="shared" si="8"/>
        <v>0.6994214876033058</v>
      </c>
      <c r="AR36" s="3">
        <f t="shared" si="8"/>
        <v>0.71479338842975204</v>
      </c>
      <c r="AS36" s="3">
        <f t="shared" si="8"/>
        <v>0.72931129476584022</v>
      </c>
      <c r="AT36" s="3">
        <f t="shared" si="8"/>
        <v>0.74297520661157035</v>
      </c>
      <c r="AU36" s="3">
        <f t="shared" si="8"/>
        <v>0.75578512396694209</v>
      </c>
      <c r="AV36" s="3">
        <f t="shared" si="8"/>
        <v>0.76774104683195588</v>
      </c>
      <c r="AW36" s="3">
        <f t="shared" si="8"/>
        <v>0.77884297520661161</v>
      </c>
      <c r="AX36" s="3">
        <f t="shared" si="8"/>
        <v>0.78909090909090907</v>
      </c>
      <c r="AY36" s="3">
        <f t="shared" si="8"/>
        <v>0.79848484848484846</v>
      </c>
      <c r="AZ36" s="3">
        <f t="shared" si="8"/>
        <v>0.80702479338842981</v>
      </c>
      <c r="BA36" s="3">
        <f t="shared" si="8"/>
        <v>0.81471074380165298</v>
      </c>
      <c r="BB36" s="3">
        <f t="shared" si="8"/>
        <v>0.82154269972451799</v>
      </c>
      <c r="BC36" s="3">
        <f t="shared" si="8"/>
        <v>0.82752066115702483</v>
      </c>
      <c r="BD36" s="3">
        <f t="shared" si="8"/>
        <v>0.83264462809917361</v>
      </c>
      <c r="BE36" s="3">
        <f t="shared" si="8"/>
        <v>0.83691460055096412</v>
      </c>
      <c r="BF36" s="3">
        <f t="shared" si="8"/>
        <v>0.84033057851239668</v>
      </c>
      <c r="BG36" s="3">
        <f t="shared" si="8"/>
        <v>0.84289256198347107</v>
      </c>
      <c r="BH36" s="3">
        <f t="shared" si="8"/>
        <v>0.8446005509641874</v>
      </c>
      <c r="BI36" s="3">
        <f t="shared" si="8"/>
        <v>0.84545454545454546</v>
      </c>
      <c r="BJ36" s="3">
        <f t="shared" si="8"/>
        <v>0.84545454545454546</v>
      </c>
      <c r="BL36" s="1">
        <v>28</v>
      </c>
      <c r="BM36" s="1">
        <f t="shared" ca="1" si="2"/>
        <v>0.45729788198349197</v>
      </c>
      <c r="BN36" s="1">
        <v>28</v>
      </c>
      <c r="BO36" s="1">
        <f t="shared" ca="1" si="3"/>
        <v>0.4602332729563724</v>
      </c>
    </row>
    <row r="37" spans="2:67" x14ac:dyDescent="0.25">
      <c r="B37" s="1">
        <v>23</v>
      </c>
      <c r="C37" s="3">
        <f t="shared" si="5"/>
        <v>0.76666666666666661</v>
      </c>
      <c r="D37" s="1">
        <v>23</v>
      </c>
      <c r="E37" s="3">
        <f t="shared" si="5"/>
        <v>0.76666666666666661</v>
      </c>
      <c r="O37" s="104"/>
      <c r="P37" s="2">
        <v>28</v>
      </c>
      <c r="Q37" s="3">
        <f t="shared" si="1"/>
        <v>0</v>
      </c>
      <c r="R37" s="3">
        <f t="shared" si="8"/>
        <v>3.8338945005611677E-2</v>
      </c>
      <c r="S37" s="3">
        <f t="shared" si="8"/>
        <v>7.5806550352004912E-2</v>
      </c>
      <c r="T37" s="3">
        <f t="shared" si="8"/>
        <v>0.11240281603917968</v>
      </c>
      <c r="U37" s="3">
        <f t="shared" si="8"/>
        <v>0.148127742067136</v>
      </c>
      <c r="V37" s="3">
        <f t="shared" si="8"/>
        <v>0.18298132843587386</v>
      </c>
      <c r="W37" s="3">
        <f t="shared" si="8"/>
        <v>0.21696357514539333</v>
      </c>
      <c r="X37" s="3">
        <f t="shared" si="8"/>
        <v>0.25007448219569428</v>
      </c>
      <c r="Y37" s="3">
        <f t="shared" si="8"/>
        <v>0.28231404958677686</v>
      </c>
      <c r="Z37" s="3">
        <f t="shared" si="8"/>
        <v>0.31368227731864096</v>
      </c>
      <c r="AA37" s="3">
        <f t="shared" si="8"/>
        <v>0.34417916539128662</v>
      </c>
      <c r="AB37" s="3">
        <f t="shared" si="8"/>
        <v>0.37380471380471381</v>
      </c>
      <c r="AC37" s="3">
        <f t="shared" si="8"/>
        <v>0.40255892255892256</v>
      </c>
      <c r="AD37" s="3">
        <f t="shared" si="8"/>
        <v>0.43044179165391289</v>
      </c>
      <c r="AE37" s="3">
        <f t="shared" si="8"/>
        <v>0.45745332108968473</v>
      </c>
      <c r="AF37" s="3">
        <f t="shared" si="8"/>
        <v>0.48359351086623809</v>
      </c>
      <c r="AG37" s="3">
        <f t="shared" si="8"/>
        <v>0.50886236098357318</v>
      </c>
      <c r="AH37" s="3">
        <f t="shared" si="8"/>
        <v>0.53325987144168963</v>
      </c>
      <c r="AI37" s="3">
        <f t="shared" si="8"/>
        <v>0.5567860422405877</v>
      </c>
      <c r="AJ37" s="3">
        <f t="shared" si="8"/>
        <v>0.57944087338026729</v>
      </c>
      <c r="AK37" s="3">
        <f t="shared" si="8"/>
        <v>0.6012243648607285</v>
      </c>
      <c r="AL37" s="3">
        <f t="shared" si="8"/>
        <v>0.62213651668197123</v>
      </c>
      <c r="AM37" s="3">
        <f t="shared" si="8"/>
        <v>0.64217732884399548</v>
      </c>
      <c r="AN37" s="3">
        <f t="shared" si="8"/>
        <v>0.66134680134680135</v>
      </c>
      <c r="AO37" s="3">
        <f t="shared" si="8"/>
        <v>0.67964493419038874</v>
      </c>
      <c r="AP37" s="3">
        <f t="shared" si="8"/>
        <v>0.69707172737475775</v>
      </c>
      <c r="AQ37" s="3">
        <f t="shared" si="8"/>
        <v>0.71362718089990818</v>
      </c>
      <c r="AR37" s="3">
        <f t="shared" si="8"/>
        <v>0.72931129476584022</v>
      </c>
      <c r="AS37" s="3">
        <f t="shared" si="8"/>
        <v>0.74412406897255379</v>
      </c>
      <c r="AT37" s="3">
        <f t="shared" si="8"/>
        <v>0.75806550352004909</v>
      </c>
      <c r="AU37" s="3">
        <f t="shared" si="8"/>
        <v>0.77113559840832557</v>
      </c>
      <c r="AV37" s="3">
        <f t="shared" ref="R37:BJ43" si="9">VLOOKUP($P37,$D$15:$E$60,2,FALSE)*VLOOKUP(AV$8,$B$15:$C$60,2,FALSE)</f>
        <v>0.78333435363738391</v>
      </c>
      <c r="AW37" s="3">
        <f t="shared" si="9"/>
        <v>0.79466176920722376</v>
      </c>
      <c r="AX37" s="3">
        <f t="shared" si="9"/>
        <v>0.80511784511784512</v>
      </c>
      <c r="AY37" s="3">
        <f t="shared" si="9"/>
        <v>0.814702581369248</v>
      </c>
      <c r="AZ37" s="3">
        <f t="shared" si="9"/>
        <v>0.82341597796143251</v>
      </c>
      <c r="BA37" s="3">
        <f t="shared" si="9"/>
        <v>0.83125803489439865</v>
      </c>
      <c r="BB37" s="3">
        <f t="shared" si="9"/>
        <v>0.83822875216814619</v>
      </c>
      <c r="BC37" s="3">
        <f t="shared" si="9"/>
        <v>0.84432812978267524</v>
      </c>
      <c r="BD37" s="3">
        <f t="shared" si="9"/>
        <v>0.84955616773798592</v>
      </c>
      <c r="BE37" s="3">
        <f t="shared" si="9"/>
        <v>0.85391286603407812</v>
      </c>
      <c r="BF37" s="3">
        <f t="shared" si="9"/>
        <v>0.85739822467095195</v>
      </c>
      <c r="BG37" s="3">
        <f t="shared" si="9"/>
        <v>0.86001224364860729</v>
      </c>
      <c r="BH37" s="3">
        <f t="shared" si="9"/>
        <v>0.86175492296704426</v>
      </c>
      <c r="BI37" s="3">
        <f t="shared" si="9"/>
        <v>0.86262626262626263</v>
      </c>
      <c r="BJ37" s="3">
        <f t="shared" si="9"/>
        <v>0.86262626262626263</v>
      </c>
      <c r="BL37" s="1">
        <v>29</v>
      </c>
      <c r="BM37" s="1">
        <f t="shared" ca="1" si="2"/>
        <v>0.58847405906632455</v>
      </c>
      <c r="BN37" s="1">
        <v>29</v>
      </c>
      <c r="BO37" s="1">
        <f t="shared" ca="1" si="3"/>
        <v>0.2210982239259639</v>
      </c>
    </row>
    <row r="38" spans="2:67" x14ac:dyDescent="0.25">
      <c r="B38" s="1">
        <v>22</v>
      </c>
      <c r="C38" s="3">
        <f t="shared" si="5"/>
        <v>0.74444444444444446</v>
      </c>
      <c r="D38" s="1">
        <v>22</v>
      </c>
      <c r="E38" s="3">
        <f t="shared" si="5"/>
        <v>0.74444444444444446</v>
      </c>
      <c r="O38" s="104"/>
      <c r="P38" s="1">
        <v>29</v>
      </c>
      <c r="Q38" s="3">
        <f t="shared" si="1"/>
        <v>0</v>
      </c>
      <c r="R38" s="3">
        <f t="shared" si="9"/>
        <v>3.9057239057239061E-2</v>
      </c>
      <c r="S38" s="3">
        <f t="shared" si="9"/>
        <v>7.7226813590449972E-2</v>
      </c>
      <c r="T38" s="3">
        <f t="shared" si="9"/>
        <v>0.11450872359963271</v>
      </c>
      <c r="U38" s="3">
        <f t="shared" si="9"/>
        <v>0.15090296908478729</v>
      </c>
      <c r="V38" s="3">
        <f t="shared" si="9"/>
        <v>0.1864095500459137</v>
      </c>
      <c r="W38" s="3">
        <f t="shared" si="9"/>
        <v>0.22102846648301197</v>
      </c>
      <c r="X38" s="3">
        <f t="shared" si="9"/>
        <v>0.25475971839608202</v>
      </c>
      <c r="Y38" s="3">
        <f t="shared" si="9"/>
        <v>0.287603305785124</v>
      </c>
      <c r="Z38" s="3">
        <f t="shared" si="9"/>
        <v>0.31955922865013781</v>
      </c>
      <c r="AA38" s="3">
        <f t="shared" si="9"/>
        <v>0.35062748699112339</v>
      </c>
      <c r="AB38" s="3">
        <f t="shared" si="9"/>
        <v>0.38080808080808087</v>
      </c>
      <c r="AC38" s="3">
        <f t="shared" si="9"/>
        <v>0.41010101010101013</v>
      </c>
      <c r="AD38" s="3">
        <f t="shared" si="9"/>
        <v>0.43850627486991128</v>
      </c>
      <c r="AE38" s="3">
        <f t="shared" si="9"/>
        <v>0.46602387511478421</v>
      </c>
      <c r="AF38" s="3">
        <f t="shared" si="9"/>
        <v>0.49265381083562904</v>
      </c>
      <c r="AG38" s="3">
        <f t="shared" si="9"/>
        <v>0.5183960820324458</v>
      </c>
      <c r="AH38" s="3">
        <f t="shared" si="9"/>
        <v>0.54325068870523419</v>
      </c>
      <c r="AI38" s="3">
        <f t="shared" si="9"/>
        <v>0.56721763085399457</v>
      </c>
      <c r="AJ38" s="3">
        <f t="shared" si="9"/>
        <v>0.59029690847872673</v>
      </c>
      <c r="AK38" s="3">
        <f t="shared" si="9"/>
        <v>0.61248852157943079</v>
      </c>
      <c r="AL38" s="3">
        <f t="shared" si="9"/>
        <v>0.63379247015610662</v>
      </c>
      <c r="AM38" s="3">
        <f t="shared" si="9"/>
        <v>0.65420875420875435</v>
      </c>
      <c r="AN38" s="3">
        <f t="shared" si="9"/>
        <v>0.67373737373737375</v>
      </c>
      <c r="AO38" s="3">
        <f t="shared" si="9"/>
        <v>0.69237832874196514</v>
      </c>
      <c r="AP38" s="3">
        <f t="shared" si="9"/>
        <v>0.71013161922252843</v>
      </c>
      <c r="AQ38" s="3">
        <f t="shared" si="9"/>
        <v>0.7269972451790635</v>
      </c>
      <c r="AR38" s="3">
        <f t="shared" si="9"/>
        <v>0.74297520661157035</v>
      </c>
      <c r="AS38" s="3">
        <f t="shared" si="9"/>
        <v>0.75806550352004909</v>
      </c>
      <c r="AT38" s="3">
        <f t="shared" si="9"/>
        <v>0.77226813590449972</v>
      </c>
      <c r="AU38" s="3">
        <f t="shared" si="9"/>
        <v>0.78558310376492191</v>
      </c>
      <c r="AV38" s="3">
        <f t="shared" si="9"/>
        <v>0.79801040710131621</v>
      </c>
      <c r="AW38" s="3">
        <f t="shared" si="9"/>
        <v>0.8095500459136824</v>
      </c>
      <c r="AX38" s="3">
        <f t="shared" si="9"/>
        <v>0.82020202020202027</v>
      </c>
      <c r="AY38" s="3">
        <f t="shared" si="9"/>
        <v>0.82996632996633002</v>
      </c>
      <c r="AZ38" s="3">
        <f t="shared" si="9"/>
        <v>0.83884297520661166</v>
      </c>
      <c r="BA38" s="3">
        <f t="shared" si="9"/>
        <v>0.8468319559228652</v>
      </c>
      <c r="BB38" s="3">
        <f t="shared" si="9"/>
        <v>0.8539332721150904</v>
      </c>
      <c r="BC38" s="3">
        <f t="shared" si="9"/>
        <v>0.8601469237832875</v>
      </c>
      <c r="BD38" s="3">
        <f t="shared" si="9"/>
        <v>0.86547291092745648</v>
      </c>
      <c r="BE38" s="3">
        <f t="shared" si="9"/>
        <v>0.86991123354759725</v>
      </c>
      <c r="BF38" s="3">
        <f t="shared" si="9"/>
        <v>0.87346189164370991</v>
      </c>
      <c r="BG38" s="3">
        <f t="shared" si="9"/>
        <v>0.87612488521579435</v>
      </c>
      <c r="BH38" s="3">
        <f t="shared" si="9"/>
        <v>0.87790021426385079</v>
      </c>
      <c r="BI38" s="3">
        <f t="shared" si="9"/>
        <v>0.8787878787878789</v>
      </c>
      <c r="BJ38" s="3">
        <f t="shared" si="9"/>
        <v>0.8787878787878789</v>
      </c>
      <c r="BL38" s="1">
        <v>30</v>
      </c>
      <c r="BM38" s="1">
        <f t="shared" ca="1" si="2"/>
        <v>0.96607492637011338</v>
      </c>
      <c r="BN38" s="1">
        <v>30</v>
      </c>
      <c r="BO38" s="1">
        <f t="shared" ca="1" si="3"/>
        <v>0.44119505407806248</v>
      </c>
    </row>
    <row r="39" spans="2:67" x14ac:dyDescent="0.25">
      <c r="B39" s="1">
        <v>21</v>
      </c>
      <c r="C39" s="3">
        <f t="shared" si="5"/>
        <v>0.72121212121212119</v>
      </c>
      <c r="D39" s="1">
        <v>21</v>
      </c>
      <c r="E39" s="3">
        <f t="shared" si="5"/>
        <v>0.72121212121212119</v>
      </c>
      <c r="O39" s="104"/>
      <c r="P39" s="2">
        <v>30</v>
      </c>
      <c r="Q39" s="3">
        <f t="shared" si="1"/>
        <v>0</v>
      </c>
      <c r="R39" s="3">
        <f t="shared" si="9"/>
        <v>3.9730639730639727E-2</v>
      </c>
      <c r="S39" s="3">
        <f t="shared" si="9"/>
        <v>7.8558310376492191E-2</v>
      </c>
      <c r="T39" s="3">
        <f t="shared" si="9"/>
        <v>0.11648301193755738</v>
      </c>
      <c r="U39" s="3">
        <f t="shared" si="9"/>
        <v>0.1535047444138353</v>
      </c>
      <c r="V39" s="3">
        <f t="shared" si="9"/>
        <v>0.18962350780532594</v>
      </c>
      <c r="W39" s="3">
        <f t="shared" si="9"/>
        <v>0.22483930211202935</v>
      </c>
      <c r="X39" s="3">
        <f t="shared" si="9"/>
        <v>0.25915212733394544</v>
      </c>
      <c r="Y39" s="3">
        <f t="shared" si="9"/>
        <v>0.29256198347107432</v>
      </c>
      <c r="Z39" s="3">
        <f t="shared" si="9"/>
        <v>0.32506887052341593</v>
      </c>
      <c r="AA39" s="3">
        <f t="shared" si="9"/>
        <v>0.35667278849097028</v>
      </c>
      <c r="AB39" s="3">
        <f t="shared" si="9"/>
        <v>0.38737373737373731</v>
      </c>
      <c r="AC39" s="3">
        <f t="shared" si="9"/>
        <v>0.41717171717171714</v>
      </c>
      <c r="AD39" s="3">
        <f t="shared" si="9"/>
        <v>0.44606672788490964</v>
      </c>
      <c r="AE39" s="3">
        <f t="shared" si="9"/>
        <v>0.47405876951331488</v>
      </c>
      <c r="AF39" s="3">
        <f t="shared" si="9"/>
        <v>0.50114784205693286</v>
      </c>
      <c r="AG39" s="3">
        <f t="shared" si="9"/>
        <v>0.52733394551576362</v>
      </c>
      <c r="AH39" s="3">
        <f t="shared" si="9"/>
        <v>0.55261707988980702</v>
      </c>
      <c r="AI39" s="3">
        <f t="shared" si="9"/>
        <v>0.57699724517906337</v>
      </c>
      <c r="AJ39" s="3">
        <f t="shared" si="9"/>
        <v>0.60047444138353223</v>
      </c>
      <c r="AK39" s="3">
        <f t="shared" si="9"/>
        <v>0.62304866850321394</v>
      </c>
      <c r="AL39" s="3">
        <f t="shared" si="9"/>
        <v>0.64471992653810828</v>
      </c>
      <c r="AM39" s="3">
        <f t="shared" si="9"/>
        <v>0.66548821548821546</v>
      </c>
      <c r="AN39" s="3">
        <f t="shared" si="9"/>
        <v>0.68535353535353516</v>
      </c>
      <c r="AO39" s="3">
        <f t="shared" si="9"/>
        <v>0.70431588613406781</v>
      </c>
      <c r="AP39" s="3">
        <f t="shared" si="9"/>
        <v>0.72237526782981332</v>
      </c>
      <c r="AQ39" s="3">
        <f t="shared" si="9"/>
        <v>0.73953168044077122</v>
      </c>
      <c r="AR39" s="3">
        <f t="shared" si="9"/>
        <v>0.75578512396694209</v>
      </c>
      <c r="AS39" s="3">
        <f t="shared" si="9"/>
        <v>0.77113559840832557</v>
      </c>
      <c r="AT39" s="3">
        <f t="shared" si="9"/>
        <v>0.78558310376492191</v>
      </c>
      <c r="AU39" s="3">
        <f t="shared" si="9"/>
        <v>0.79912764003673076</v>
      </c>
      <c r="AV39" s="3">
        <f t="shared" si="9"/>
        <v>0.81176920722375256</v>
      </c>
      <c r="AW39" s="3">
        <f t="shared" si="9"/>
        <v>0.82350780532598711</v>
      </c>
      <c r="AX39" s="3">
        <f t="shared" si="9"/>
        <v>0.83434343434343428</v>
      </c>
      <c r="AY39" s="3">
        <f t="shared" si="9"/>
        <v>0.84427609427609418</v>
      </c>
      <c r="AZ39" s="3">
        <f t="shared" si="9"/>
        <v>0.85330578512396682</v>
      </c>
      <c r="BA39" s="3">
        <f t="shared" si="9"/>
        <v>0.86143250688705231</v>
      </c>
      <c r="BB39" s="3">
        <f t="shared" si="9"/>
        <v>0.86865625956535042</v>
      </c>
      <c r="BC39" s="3">
        <f t="shared" si="9"/>
        <v>0.87497704315886116</v>
      </c>
      <c r="BD39" s="3">
        <f t="shared" si="9"/>
        <v>0.88039485766758485</v>
      </c>
      <c r="BE39" s="3">
        <f t="shared" si="9"/>
        <v>0.88490970309152106</v>
      </c>
      <c r="BF39" s="3">
        <f t="shared" si="9"/>
        <v>0.88852157943067023</v>
      </c>
      <c r="BG39" s="3">
        <f t="shared" si="9"/>
        <v>0.89123048668503202</v>
      </c>
      <c r="BH39" s="3">
        <f t="shared" si="9"/>
        <v>0.89303642485460666</v>
      </c>
      <c r="BI39" s="3">
        <f t="shared" si="9"/>
        <v>0.89393939393939381</v>
      </c>
      <c r="BJ39" s="3">
        <f t="shared" si="9"/>
        <v>0.89393939393939381</v>
      </c>
      <c r="BL39" s="1">
        <v>31</v>
      </c>
      <c r="BM39" s="1">
        <f t="shared" ca="1" si="2"/>
        <v>0.11970900900169767</v>
      </c>
      <c r="BN39" s="1">
        <v>31</v>
      </c>
      <c r="BO39" s="1">
        <f t="shared" ca="1" si="3"/>
        <v>0.1185344318868492</v>
      </c>
    </row>
    <row r="40" spans="2:67" x14ac:dyDescent="0.25">
      <c r="B40" s="1">
        <v>20</v>
      </c>
      <c r="C40" s="3">
        <f t="shared" si="5"/>
        <v>0.69696969696969702</v>
      </c>
      <c r="D40" s="1">
        <v>20</v>
      </c>
      <c r="E40" s="3">
        <f t="shared" si="5"/>
        <v>0.69696969696969702</v>
      </c>
      <c r="O40" s="104"/>
      <c r="P40" s="1">
        <v>31</v>
      </c>
      <c r="Q40" s="3">
        <f t="shared" si="1"/>
        <v>0</v>
      </c>
      <c r="R40" s="3">
        <f t="shared" si="9"/>
        <v>4.0359147025813689E-2</v>
      </c>
      <c r="S40" s="3">
        <f t="shared" si="9"/>
        <v>7.9801040710131624E-2</v>
      </c>
      <c r="T40" s="3">
        <f t="shared" si="9"/>
        <v>0.11832568105295378</v>
      </c>
      <c r="U40" s="3">
        <f t="shared" si="9"/>
        <v>0.15593306805428017</v>
      </c>
      <c r="V40" s="3">
        <f t="shared" si="9"/>
        <v>0.19262320171411076</v>
      </c>
      <c r="W40" s="3">
        <f t="shared" si="9"/>
        <v>0.22839608203244566</v>
      </c>
      <c r="X40" s="3">
        <f t="shared" si="9"/>
        <v>0.26325170900928474</v>
      </c>
      <c r="Y40" s="3">
        <f t="shared" si="9"/>
        <v>0.2971900826446281</v>
      </c>
      <c r="Z40" s="3">
        <f t="shared" si="9"/>
        <v>0.33021120293847567</v>
      </c>
      <c r="AA40" s="3">
        <f t="shared" si="9"/>
        <v>0.36231506989082746</v>
      </c>
      <c r="AB40" s="3">
        <f t="shared" si="9"/>
        <v>0.39350168350168352</v>
      </c>
      <c r="AC40" s="3">
        <f t="shared" si="9"/>
        <v>0.42377104377104374</v>
      </c>
      <c r="AD40" s="3">
        <f t="shared" si="9"/>
        <v>0.45312315069890824</v>
      </c>
      <c r="AE40" s="3">
        <f t="shared" si="9"/>
        <v>0.48155800428527695</v>
      </c>
      <c r="AF40" s="3">
        <f t="shared" si="9"/>
        <v>0.50907560453014988</v>
      </c>
      <c r="AG40" s="3">
        <f t="shared" si="9"/>
        <v>0.5356759514335272</v>
      </c>
      <c r="AH40" s="3">
        <f t="shared" si="9"/>
        <v>0.56135904499540856</v>
      </c>
      <c r="AI40" s="3">
        <f t="shared" si="9"/>
        <v>0.58612488521579431</v>
      </c>
      <c r="AJ40" s="3">
        <f t="shared" si="9"/>
        <v>0.60997347209468422</v>
      </c>
      <c r="AK40" s="3">
        <f t="shared" si="9"/>
        <v>0.6329048056320784</v>
      </c>
      <c r="AL40" s="3">
        <f t="shared" si="9"/>
        <v>0.65491888582797675</v>
      </c>
      <c r="AM40" s="3">
        <f t="shared" si="9"/>
        <v>0.67601571268237937</v>
      </c>
      <c r="AN40" s="3">
        <f t="shared" si="9"/>
        <v>0.69619528619528614</v>
      </c>
      <c r="AO40" s="3">
        <f t="shared" si="9"/>
        <v>0.7154576063666972</v>
      </c>
      <c r="AP40" s="3">
        <f t="shared" si="9"/>
        <v>0.73380267319661263</v>
      </c>
      <c r="AQ40" s="3">
        <f t="shared" si="9"/>
        <v>0.75123048668503212</v>
      </c>
      <c r="AR40" s="3">
        <f t="shared" si="9"/>
        <v>0.76774104683195588</v>
      </c>
      <c r="AS40" s="3">
        <f t="shared" si="9"/>
        <v>0.78333435363738391</v>
      </c>
      <c r="AT40" s="3">
        <f t="shared" si="9"/>
        <v>0.79801040710131621</v>
      </c>
      <c r="AU40" s="3">
        <f t="shared" si="9"/>
        <v>0.81176920722375256</v>
      </c>
      <c r="AV40" s="3">
        <f t="shared" si="9"/>
        <v>0.8246107540046933</v>
      </c>
      <c r="AW40" s="3">
        <f t="shared" si="9"/>
        <v>0.83653504744413831</v>
      </c>
      <c r="AX40" s="3">
        <f t="shared" si="9"/>
        <v>0.84754208754208749</v>
      </c>
      <c r="AY40" s="3">
        <f t="shared" si="9"/>
        <v>0.85763187429854093</v>
      </c>
      <c r="AZ40" s="3">
        <f t="shared" si="9"/>
        <v>0.86680440771349865</v>
      </c>
      <c r="BA40" s="3">
        <f t="shared" si="9"/>
        <v>0.87505968778696053</v>
      </c>
      <c r="BB40" s="3">
        <f t="shared" si="9"/>
        <v>0.88239771451892668</v>
      </c>
      <c r="BC40" s="3">
        <f t="shared" si="9"/>
        <v>0.88881848790939699</v>
      </c>
      <c r="BD40" s="3">
        <f t="shared" si="9"/>
        <v>0.89432200795837158</v>
      </c>
      <c r="BE40" s="3">
        <f t="shared" si="9"/>
        <v>0.89890827466585033</v>
      </c>
      <c r="BF40" s="3">
        <f t="shared" si="9"/>
        <v>0.90257728803183346</v>
      </c>
      <c r="BG40" s="3">
        <f t="shared" si="9"/>
        <v>0.90532904805632075</v>
      </c>
      <c r="BH40" s="3">
        <f t="shared" si="9"/>
        <v>0.90716355473931243</v>
      </c>
      <c r="BI40" s="3">
        <f t="shared" si="9"/>
        <v>0.90808080808080804</v>
      </c>
      <c r="BJ40" s="3">
        <f t="shared" si="9"/>
        <v>0.90808080808080804</v>
      </c>
      <c r="BL40" s="1">
        <v>32</v>
      </c>
      <c r="BM40" s="1">
        <f t="shared" ca="1" si="2"/>
        <v>0.98453967286283361</v>
      </c>
      <c r="BN40" s="1">
        <v>32</v>
      </c>
      <c r="BO40" s="1">
        <f t="shared" ca="1" si="3"/>
        <v>0.7233366052126925</v>
      </c>
    </row>
    <row r="41" spans="2:67" x14ac:dyDescent="0.25">
      <c r="B41" s="1">
        <v>19</v>
      </c>
      <c r="C41" s="3">
        <f t="shared" si="5"/>
        <v>0.67171717171717171</v>
      </c>
      <c r="D41" s="1">
        <v>19</v>
      </c>
      <c r="E41" s="3">
        <f t="shared" si="5"/>
        <v>0.67171717171717171</v>
      </c>
      <c r="O41" s="104"/>
      <c r="P41" s="2">
        <v>32</v>
      </c>
      <c r="Q41" s="3">
        <f t="shared" si="1"/>
        <v>0</v>
      </c>
      <c r="R41" s="3">
        <f t="shared" si="9"/>
        <v>4.0942760942760947E-2</v>
      </c>
      <c r="S41" s="3">
        <f t="shared" si="9"/>
        <v>8.0955004591368243E-2</v>
      </c>
      <c r="T41" s="3">
        <f t="shared" si="9"/>
        <v>0.12003673094582187</v>
      </c>
      <c r="U41" s="3">
        <f t="shared" si="9"/>
        <v>0.15818794000612182</v>
      </c>
      <c r="V41" s="3">
        <f t="shared" si="9"/>
        <v>0.19540863177226814</v>
      </c>
      <c r="W41" s="3">
        <f t="shared" si="9"/>
        <v>0.23169880624426081</v>
      </c>
      <c r="X41" s="3">
        <f t="shared" si="9"/>
        <v>0.26705846342209977</v>
      </c>
      <c r="Y41" s="3">
        <f t="shared" si="9"/>
        <v>0.30148760330578511</v>
      </c>
      <c r="Z41" s="3">
        <f t="shared" si="9"/>
        <v>0.33498622589531685</v>
      </c>
      <c r="AA41" s="3">
        <f t="shared" si="9"/>
        <v>0.36755433119069486</v>
      </c>
      <c r="AB41" s="3">
        <f t="shared" si="9"/>
        <v>0.39919191919191921</v>
      </c>
      <c r="AC41" s="3">
        <f t="shared" si="9"/>
        <v>0.42989898989898995</v>
      </c>
      <c r="AD41" s="3">
        <f t="shared" si="9"/>
        <v>0.45967554331190696</v>
      </c>
      <c r="AE41" s="3">
        <f t="shared" si="9"/>
        <v>0.48852157943067032</v>
      </c>
      <c r="AF41" s="3">
        <f t="shared" si="9"/>
        <v>0.51643709825528006</v>
      </c>
      <c r="AG41" s="3">
        <f t="shared" si="9"/>
        <v>0.54342209978573619</v>
      </c>
      <c r="AH41" s="3">
        <f t="shared" si="9"/>
        <v>0.5694765840220386</v>
      </c>
      <c r="AI41" s="3">
        <f t="shared" si="9"/>
        <v>0.5946005509641874</v>
      </c>
      <c r="AJ41" s="3">
        <f t="shared" si="9"/>
        <v>0.61879400061218248</v>
      </c>
      <c r="AK41" s="3">
        <f t="shared" si="9"/>
        <v>0.64205693296602395</v>
      </c>
      <c r="AL41" s="3">
        <f t="shared" si="9"/>
        <v>0.6643893480257117</v>
      </c>
      <c r="AM41" s="3">
        <f t="shared" si="9"/>
        <v>0.68579124579124584</v>
      </c>
      <c r="AN41" s="3">
        <f t="shared" si="9"/>
        <v>0.70626262626262626</v>
      </c>
      <c r="AO41" s="3">
        <f t="shared" si="9"/>
        <v>0.72580348943985307</v>
      </c>
      <c r="AP41" s="3">
        <f t="shared" si="9"/>
        <v>0.74441383532292638</v>
      </c>
      <c r="AQ41" s="3">
        <f t="shared" si="9"/>
        <v>0.76209366391184574</v>
      </c>
      <c r="AR41" s="3">
        <f t="shared" si="9"/>
        <v>0.77884297520661161</v>
      </c>
      <c r="AS41" s="3">
        <f t="shared" si="9"/>
        <v>0.79466176920722376</v>
      </c>
      <c r="AT41" s="3">
        <f t="shared" si="9"/>
        <v>0.8095500459136824</v>
      </c>
      <c r="AU41" s="3">
        <f t="shared" si="9"/>
        <v>0.82350780532598711</v>
      </c>
      <c r="AV41" s="3">
        <f t="shared" si="9"/>
        <v>0.83653504744413831</v>
      </c>
      <c r="AW41" s="3">
        <f t="shared" si="9"/>
        <v>0.84863177226813602</v>
      </c>
      <c r="AX41" s="3">
        <f t="shared" si="9"/>
        <v>0.85979797979797989</v>
      </c>
      <c r="AY41" s="3">
        <f t="shared" si="9"/>
        <v>0.87003367003367005</v>
      </c>
      <c r="AZ41" s="3">
        <f t="shared" si="9"/>
        <v>0.8793388429752067</v>
      </c>
      <c r="BA41" s="3">
        <f t="shared" si="9"/>
        <v>0.88771349862258964</v>
      </c>
      <c r="BB41" s="3">
        <f t="shared" si="9"/>
        <v>0.89515763697581885</v>
      </c>
      <c r="BC41" s="3">
        <f t="shared" si="9"/>
        <v>0.90167125803489445</v>
      </c>
      <c r="BD41" s="3">
        <f t="shared" si="9"/>
        <v>0.90725436179981644</v>
      </c>
      <c r="BE41" s="3">
        <f t="shared" si="9"/>
        <v>0.91190694827058461</v>
      </c>
      <c r="BF41" s="3">
        <f t="shared" si="9"/>
        <v>0.91562901744719927</v>
      </c>
      <c r="BG41" s="3">
        <f t="shared" si="9"/>
        <v>0.91842056932966032</v>
      </c>
      <c r="BH41" s="3">
        <f t="shared" si="9"/>
        <v>0.92028160391796765</v>
      </c>
      <c r="BI41" s="3">
        <f t="shared" si="9"/>
        <v>0.92121212121212126</v>
      </c>
      <c r="BJ41" s="3">
        <f t="shared" si="9"/>
        <v>0.92121212121212126</v>
      </c>
      <c r="BL41" s="1">
        <v>33</v>
      </c>
      <c r="BM41" s="1">
        <f t="shared" ca="1" si="2"/>
        <v>0.82483639509213857</v>
      </c>
      <c r="BN41" s="1">
        <v>33</v>
      </c>
      <c r="BO41" s="1">
        <f t="shared" ca="1" si="3"/>
        <v>0.10673745201060969</v>
      </c>
    </row>
    <row r="42" spans="2:67" x14ac:dyDescent="0.25">
      <c r="B42" s="1">
        <v>18</v>
      </c>
      <c r="C42" s="3">
        <f t="shared" si="5"/>
        <v>0.6454545454545455</v>
      </c>
      <c r="D42" s="1">
        <v>18</v>
      </c>
      <c r="E42" s="3">
        <f t="shared" si="5"/>
        <v>0.6454545454545455</v>
      </c>
      <c r="O42" s="104"/>
      <c r="P42" s="1">
        <v>33</v>
      </c>
      <c r="Q42" s="3">
        <f t="shared" si="1"/>
        <v>0</v>
      </c>
      <c r="R42" s="3">
        <f t="shared" si="9"/>
        <v>4.148148148148148E-2</v>
      </c>
      <c r="S42" s="3">
        <f t="shared" si="9"/>
        <v>8.2020202020202035E-2</v>
      </c>
      <c r="T42" s="3">
        <f t="shared" si="9"/>
        <v>0.12161616161616162</v>
      </c>
      <c r="U42" s="3">
        <f t="shared" si="9"/>
        <v>0.16026936026936026</v>
      </c>
      <c r="V42" s="3">
        <f t="shared" si="9"/>
        <v>0.19797979797979795</v>
      </c>
      <c r="W42" s="3">
        <f t="shared" si="9"/>
        <v>0.23474747474747476</v>
      </c>
      <c r="X42" s="3">
        <f t="shared" si="9"/>
        <v>0.27057239057239058</v>
      </c>
      <c r="Y42" s="3">
        <f t="shared" si="9"/>
        <v>0.30545454545454548</v>
      </c>
      <c r="Z42" s="3">
        <f t="shared" si="9"/>
        <v>0.33939393939393941</v>
      </c>
      <c r="AA42" s="3">
        <f t="shared" si="9"/>
        <v>0.37239057239057244</v>
      </c>
      <c r="AB42" s="3">
        <f t="shared" si="9"/>
        <v>0.40444444444444444</v>
      </c>
      <c r="AC42" s="3">
        <f t="shared" si="9"/>
        <v>0.43555555555555558</v>
      </c>
      <c r="AD42" s="3">
        <f t="shared" si="9"/>
        <v>0.46572390572390571</v>
      </c>
      <c r="AE42" s="3">
        <f t="shared" si="9"/>
        <v>0.49494949494949492</v>
      </c>
      <c r="AF42" s="3">
        <f t="shared" si="9"/>
        <v>0.52323232323232316</v>
      </c>
      <c r="AG42" s="3">
        <f t="shared" si="9"/>
        <v>0.5505723905723906</v>
      </c>
      <c r="AH42" s="3">
        <f t="shared" si="9"/>
        <v>0.57696969696969691</v>
      </c>
      <c r="AI42" s="3">
        <f t="shared" si="9"/>
        <v>0.60242424242424253</v>
      </c>
      <c r="AJ42" s="3">
        <f t="shared" si="9"/>
        <v>0.6269360269360269</v>
      </c>
      <c r="AK42" s="3">
        <f t="shared" si="9"/>
        <v>0.65050505050505059</v>
      </c>
      <c r="AL42" s="3">
        <f t="shared" si="9"/>
        <v>0.67313131313131314</v>
      </c>
      <c r="AM42" s="3">
        <f t="shared" si="9"/>
        <v>0.69481481481481489</v>
      </c>
      <c r="AN42" s="3">
        <f t="shared" si="9"/>
        <v>0.7155555555555555</v>
      </c>
      <c r="AO42" s="3">
        <f t="shared" si="9"/>
        <v>0.73535353535353531</v>
      </c>
      <c r="AP42" s="3">
        <f t="shared" si="9"/>
        <v>0.75420875420875433</v>
      </c>
      <c r="AQ42" s="3">
        <f t="shared" si="9"/>
        <v>0.7721212121212121</v>
      </c>
      <c r="AR42" s="3">
        <f t="shared" si="9"/>
        <v>0.78909090909090907</v>
      </c>
      <c r="AS42" s="3">
        <f t="shared" si="9"/>
        <v>0.80511784511784512</v>
      </c>
      <c r="AT42" s="3">
        <f t="shared" si="9"/>
        <v>0.82020202020202027</v>
      </c>
      <c r="AU42" s="3">
        <f t="shared" si="9"/>
        <v>0.83434343434343428</v>
      </c>
      <c r="AV42" s="3">
        <f t="shared" si="9"/>
        <v>0.84754208754208749</v>
      </c>
      <c r="AW42" s="3">
        <f t="shared" si="9"/>
        <v>0.85979797979797989</v>
      </c>
      <c r="AX42" s="3">
        <f t="shared" si="9"/>
        <v>0.87111111111111117</v>
      </c>
      <c r="AY42" s="3">
        <f t="shared" si="9"/>
        <v>0.88148148148148142</v>
      </c>
      <c r="AZ42" s="3">
        <f t="shared" si="9"/>
        <v>0.89090909090909098</v>
      </c>
      <c r="BA42" s="3">
        <f t="shared" si="9"/>
        <v>0.89939393939393952</v>
      </c>
      <c r="BB42" s="3">
        <f t="shared" si="9"/>
        <v>0.90693602693602704</v>
      </c>
      <c r="BC42" s="3">
        <f t="shared" si="9"/>
        <v>0.91353535353535353</v>
      </c>
      <c r="BD42" s="3">
        <f t="shared" si="9"/>
        <v>0.91919191919191923</v>
      </c>
      <c r="BE42" s="3">
        <f t="shared" si="9"/>
        <v>0.9239057239057239</v>
      </c>
      <c r="BF42" s="3">
        <f t="shared" si="9"/>
        <v>0.92767676767676766</v>
      </c>
      <c r="BG42" s="3">
        <f t="shared" si="9"/>
        <v>0.9305050505050505</v>
      </c>
      <c r="BH42" s="3">
        <f t="shared" si="9"/>
        <v>0.93239057239057255</v>
      </c>
      <c r="BI42" s="3">
        <f t="shared" si="9"/>
        <v>0.93333333333333335</v>
      </c>
      <c r="BJ42" s="3">
        <f t="shared" si="9"/>
        <v>0.93333333333333335</v>
      </c>
      <c r="BL42" s="1">
        <v>34</v>
      </c>
      <c r="BM42" s="1">
        <f t="shared" ca="1" si="2"/>
        <v>0.27627608716049923</v>
      </c>
      <c r="BN42" s="1">
        <v>34</v>
      </c>
      <c r="BO42" s="1">
        <f t="shared" ca="1" si="3"/>
        <v>0.66350924446480819</v>
      </c>
    </row>
    <row r="43" spans="2:67" x14ac:dyDescent="0.25">
      <c r="B43" s="1">
        <v>17</v>
      </c>
      <c r="C43" s="3">
        <f t="shared" si="5"/>
        <v>0.61818181818181817</v>
      </c>
      <c r="D43" s="1">
        <v>17</v>
      </c>
      <c r="E43" s="3">
        <f t="shared" si="5"/>
        <v>0.61818181818181817</v>
      </c>
      <c r="O43" s="104"/>
      <c r="P43" s="2">
        <v>34</v>
      </c>
      <c r="Q43" s="3">
        <f t="shared" si="1"/>
        <v>0</v>
      </c>
      <c r="R43" s="3">
        <f t="shared" si="9"/>
        <v>4.1975308641975309E-2</v>
      </c>
      <c r="S43" s="3">
        <f t="shared" si="9"/>
        <v>8.2996632996632999E-2</v>
      </c>
      <c r="T43" s="3">
        <f t="shared" si="9"/>
        <v>0.12306397306397307</v>
      </c>
      <c r="U43" s="3">
        <f t="shared" si="9"/>
        <v>0.16217732884399549</v>
      </c>
      <c r="V43" s="3">
        <f t="shared" si="9"/>
        <v>0.20033670033670031</v>
      </c>
      <c r="W43" s="3">
        <f t="shared" si="9"/>
        <v>0.23754208754208755</v>
      </c>
      <c r="X43" s="3">
        <f t="shared" si="9"/>
        <v>0.27379349046015711</v>
      </c>
      <c r="Y43" s="3">
        <f t="shared" si="9"/>
        <v>0.30909090909090908</v>
      </c>
      <c r="Z43" s="3">
        <f t="shared" si="9"/>
        <v>0.34343434343434343</v>
      </c>
      <c r="AA43" s="3">
        <f t="shared" si="9"/>
        <v>0.37682379349046013</v>
      </c>
      <c r="AB43" s="3">
        <f t="shared" si="9"/>
        <v>0.40925925925925927</v>
      </c>
      <c r="AC43" s="3">
        <f t="shared" si="9"/>
        <v>0.44074074074074071</v>
      </c>
      <c r="AD43" s="3">
        <f t="shared" si="9"/>
        <v>0.47126823793490458</v>
      </c>
      <c r="AE43" s="3">
        <f t="shared" si="9"/>
        <v>0.50084175084175075</v>
      </c>
      <c r="AF43" s="3">
        <f t="shared" si="9"/>
        <v>0.52946127946127941</v>
      </c>
      <c r="AG43" s="3">
        <f t="shared" ref="R43:BJ48" si="10">VLOOKUP($P43,$D$15:$E$60,2,FALSE)*VLOOKUP(AG$8,$B$15:$C$60,2,FALSE)</f>
        <v>0.55712682379349043</v>
      </c>
      <c r="AH43" s="3">
        <f t="shared" si="10"/>
        <v>0.58383838383838382</v>
      </c>
      <c r="AI43" s="3">
        <f t="shared" si="10"/>
        <v>0.60959595959595958</v>
      </c>
      <c r="AJ43" s="3">
        <f t="shared" si="10"/>
        <v>0.6343995510662177</v>
      </c>
      <c r="AK43" s="3">
        <f t="shared" si="10"/>
        <v>0.65824915824915831</v>
      </c>
      <c r="AL43" s="3">
        <f t="shared" si="10"/>
        <v>0.68114478114478116</v>
      </c>
      <c r="AM43" s="3">
        <f t="shared" si="10"/>
        <v>0.70308641975308639</v>
      </c>
      <c r="AN43" s="3">
        <f t="shared" si="10"/>
        <v>0.72407407407407398</v>
      </c>
      <c r="AO43" s="3">
        <f t="shared" si="10"/>
        <v>0.74410774410774405</v>
      </c>
      <c r="AP43" s="3">
        <f t="shared" si="10"/>
        <v>0.7631874298540966</v>
      </c>
      <c r="AQ43" s="3">
        <f t="shared" si="10"/>
        <v>0.78131313131313129</v>
      </c>
      <c r="AR43" s="3">
        <f t="shared" si="10"/>
        <v>0.79848484848484846</v>
      </c>
      <c r="AS43" s="3">
        <f t="shared" si="10"/>
        <v>0.814702581369248</v>
      </c>
      <c r="AT43" s="3">
        <f t="shared" si="10"/>
        <v>0.82996632996633002</v>
      </c>
      <c r="AU43" s="3">
        <f t="shared" si="10"/>
        <v>0.84427609427609418</v>
      </c>
      <c r="AV43" s="3">
        <f t="shared" si="10"/>
        <v>0.85763187429854093</v>
      </c>
      <c r="AW43" s="3">
        <f t="shared" si="10"/>
        <v>0.87003367003367005</v>
      </c>
      <c r="AX43" s="3">
        <f t="shared" si="10"/>
        <v>0.88148148148148142</v>
      </c>
      <c r="AY43" s="3">
        <f t="shared" si="10"/>
        <v>0.89197530864197527</v>
      </c>
      <c r="AZ43" s="3">
        <f t="shared" si="10"/>
        <v>0.90151515151515149</v>
      </c>
      <c r="BA43" s="3">
        <f t="shared" si="10"/>
        <v>0.91010101010101019</v>
      </c>
      <c r="BB43" s="3">
        <f t="shared" si="10"/>
        <v>0.91773288439955103</v>
      </c>
      <c r="BC43" s="3">
        <f t="shared" si="10"/>
        <v>0.92441077441077435</v>
      </c>
      <c r="BD43" s="3">
        <f t="shared" si="10"/>
        <v>0.93013468013468015</v>
      </c>
      <c r="BE43" s="3">
        <f t="shared" si="10"/>
        <v>0.9349046015712682</v>
      </c>
      <c r="BF43" s="3">
        <f t="shared" si="10"/>
        <v>0.93872053872053862</v>
      </c>
      <c r="BG43" s="3">
        <f t="shared" si="10"/>
        <v>0.94158249158249152</v>
      </c>
      <c r="BH43" s="3">
        <f t="shared" si="10"/>
        <v>0.9434904601571269</v>
      </c>
      <c r="BI43" s="3">
        <f t="shared" si="10"/>
        <v>0.94444444444444442</v>
      </c>
      <c r="BJ43" s="3">
        <f t="shared" si="10"/>
        <v>0.94444444444444442</v>
      </c>
      <c r="BL43" s="1">
        <v>35</v>
      </c>
      <c r="BM43" s="1">
        <f t="shared" ca="1" si="2"/>
        <v>0.2253223487401449</v>
      </c>
      <c r="BN43" s="1">
        <v>35</v>
      </c>
      <c r="BO43" s="1">
        <f t="shared" ca="1" si="3"/>
        <v>0.20373526103590689</v>
      </c>
    </row>
    <row r="44" spans="2:67" x14ac:dyDescent="0.25">
      <c r="B44" s="1">
        <v>16</v>
      </c>
      <c r="C44" s="3">
        <f t="shared" si="5"/>
        <v>0.58989898989898992</v>
      </c>
      <c r="D44" s="1">
        <v>16</v>
      </c>
      <c r="E44" s="3">
        <f t="shared" si="5"/>
        <v>0.58989898989898992</v>
      </c>
      <c r="O44" s="104"/>
      <c r="P44" s="1">
        <v>35</v>
      </c>
      <c r="Q44" s="3">
        <f t="shared" si="1"/>
        <v>0</v>
      </c>
      <c r="R44" s="3">
        <f t="shared" si="10"/>
        <v>4.2424242424242427E-2</v>
      </c>
      <c r="S44" s="3">
        <f t="shared" si="10"/>
        <v>8.3884297520661177E-2</v>
      </c>
      <c r="T44" s="3">
        <f t="shared" si="10"/>
        <v>0.1243801652892562</v>
      </c>
      <c r="U44" s="3">
        <f t="shared" si="10"/>
        <v>0.16391184573002754</v>
      </c>
      <c r="V44" s="3">
        <f t="shared" si="10"/>
        <v>0.2024793388429752</v>
      </c>
      <c r="W44" s="3">
        <f t="shared" si="10"/>
        <v>0.2400826446280992</v>
      </c>
      <c r="X44" s="3">
        <f t="shared" si="10"/>
        <v>0.27672176308539942</v>
      </c>
      <c r="Y44" s="3">
        <f t="shared" si="10"/>
        <v>0.31239669421487604</v>
      </c>
      <c r="Z44" s="3">
        <f t="shared" si="10"/>
        <v>0.34710743801652894</v>
      </c>
      <c r="AA44" s="3">
        <f t="shared" si="10"/>
        <v>0.38085399449035817</v>
      </c>
      <c r="AB44" s="3">
        <f t="shared" si="10"/>
        <v>0.41363636363636369</v>
      </c>
      <c r="AC44" s="3">
        <f t="shared" si="10"/>
        <v>0.44545454545454549</v>
      </c>
      <c r="AD44" s="3">
        <f t="shared" si="10"/>
        <v>0.47630853994490358</v>
      </c>
      <c r="AE44" s="3">
        <f t="shared" si="10"/>
        <v>0.50619834710743805</v>
      </c>
      <c r="AF44" s="3">
        <f t="shared" si="10"/>
        <v>0.5351239669421487</v>
      </c>
      <c r="AG44" s="3">
        <f t="shared" si="10"/>
        <v>0.56308539944903591</v>
      </c>
      <c r="AH44" s="3">
        <f t="shared" si="10"/>
        <v>0.59008264462809923</v>
      </c>
      <c r="AI44" s="3">
        <f t="shared" si="10"/>
        <v>0.61611570247933889</v>
      </c>
      <c r="AJ44" s="3">
        <f t="shared" si="10"/>
        <v>0.64118457300275489</v>
      </c>
      <c r="AK44" s="3">
        <f t="shared" si="10"/>
        <v>0.66528925619834722</v>
      </c>
      <c r="AL44" s="3">
        <f t="shared" si="10"/>
        <v>0.68842975206611567</v>
      </c>
      <c r="AM44" s="3">
        <f t="shared" si="10"/>
        <v>0.71060606060606069</v>
      </c>
      <c r="AN44" s="3">
        <f t="shared" si="10"/>
        <v>0.73181818181818181</v>
      </c>
      <c r="AO44" s="3">
        <f t="shared" si="10"/>
        <v>0.75206611570247939</v>
      </c>
      <c r="AP44" s="3">
        <f t="shared" si="10"/>
        <v>0.7713498622589533</v>
      </c>
      <c r="AQ44" s="3">
        <f t="shared" si="10"/>
        <v>0.78966942148760333</v>
      </c>
      <c r="AR44" s="3">
        <f t="shared" si="10"/>
        <v>0.80702479338842981</v>
      </c>
      <c r="AS44" s="3">
        <f t="shared" si="10"/>
        <v>0.82341597796143251</v>
      </c>
      <c r="AT44" s="3">
        <f t="shared" si="10"/>
        <v>0.83884297520661166</v>
      </c>
      <c r="AU44" s="3">
        <f t="shared" si="10"/>
        <v>0.85330578512396682</v>
      </c>
      <c r="AV44" s="3">
        <f t="shared" si="10"/>
        <v>0.86680440771349865</v>
      </c>
      <c r="AW44" s="3">
        <f t="shared" si="10"/>
        <v>0.8793388429752067</v>
      </c>
      <c r="AX44" s="3">
        <f t="shared" si="10"/>
        <v>0.89090909090909098</v>
      </c>
      <c r="AY44" s="3">
        <f t="shared" si="10"/>
        <v>0.90151515151515149</v>
      </c>
      <c r="AZ44" s="3">
        <f t="shared" si="10"/>
        <v>0.91115702479338856</v>
      </c>
      <c r="BA44" s="3">
        <f t="shared" si="10"/>
        <v>0.91983471074380174</v>
      </c>
      <c r="BB44" s="3">
        <f t="shared" si="10"/>
        <v>0.92754820936639126</v>
      </c>
      <c r="BC44" s="3">
        <f t="shared" si="10"/>
        <v>0.93429752066115701</v>
      </c>
      <c r="BD44" s="3">
        <f t="shared" si="10"/>
        <v>0.94008264462809921</v>
      </c>
      <c r="BE44" s="3">
        <f t="shared" si="10"/>
        <v>0.94490358126721763</v>
      </c>
      <c r="BF44" s="3">
        <f t="shared" si="10"/>
        <v>0.94876033057851239</v>
      </c>
      <c r="BG44" s="3">
        <f t="shared" si="10"/>
        <v>0.95165289256198349</v>
      </c>
      <c r="BH44" s="3">
        <f t="shared" si="10"/>
        <v>0.95358126721763103</v>
      </c>
      <c r="BI44" s="3">
        <f t="shared" si="10"/>
        <v>0.95454545454545459</v>
      </c>
      <c r="BJ44" s="3">
        <f t="shared" si="10"/>
        <v>0.95454545454545459</v>
      </c>
      <c r="BL44" s="1">
        <v>36</v>
      </c>
      <c r="BM44" s="1">
        <f t="shared" ca="1" si="2"/>
        <v>0.68663480341841143</v>
      </c>
      <c r="BN44" s="1">
        <v>36</v>
      </c>
      <c r="BO44" s="1">
        <f t="shared" ca="1" si="3"/>
        <v>0.27784824688175447</v>
      </c>
    </row>
    <row r="45" spans="2:67" x14ac:dyDescent="0.25">
      <c r="B45" s="1">
        <v>15</v>
      </c>
      <c r="C45" s="3">
        <f t="shared" si="5"/>
        <v>0.56060606060606055</v>
      </c>
      <c r="D45" s="1">
        <v>15</v>
      </c>
      <c r="E45" s="3">
        <f t="shared" si="5"/>
        <v>0.56060606060606055</v>
      </c>
      <c r="O45" s="104"/>
      <c r="P45" s="2">
        <v>36</v>
      </c>
      <c r="Q45" s="3">
        <f t="shared" si="1"/>
        <v>0</v>
      </c>
      <c r="R45" s="3">
        <f t="shared" si="10"/>
        <v>4.2828282828282833E-2</v>
      </c>
      <c r="S45" s="3">
        <f t="shared" si="10"/>
        <v>8.4683195592286514E-2</v>
      </c>
      <c r="T45" s="3">
        <f t="shared" si="10"/>
        <v>0.12556473829201104</v>
      </c>
      <c r="U45" s="3">
        <f t="shared" si="10"/>
        <v>0.16547291092745639</v>
      </c>
      <c r="V45" s="3">
        <f t="shared" si="10"/>
        <v>0.20440771349862258</v>
      </c>
      <c r="W45" s="3">
        <f t="shared" si="10"/>
        <v>0.24236914600550968</v>
      </c>
      <c r="X45" s="3">
        <f t="shared" si="10"/>
        <v>0.27935720844811757</v>
      </c>
      <c r="Y45" s="3">
        <f t="shared" si="10"/>
        <v>0.31537190082644634</v>
      </c>
      <c r="Z45" s="3">
        <f t="shared" si="10"/>
        <v>0.35041322314049589</v>
      </c>
      <c r="AA45" s="3">
        <f t="shared" si="10"/>
        <v>0.38448117539026633</v>
      </c>
      <c r="AB45" s="3">
        <f t="shared" si="10"/>
        <v>0.41757575757575766</v>
      </c>
      <c r="AC45" s="3">
        <f t="shared" si="10"/>
        <v>0.44969696969696976</v>
      </c>
      <c r="AD45" s="3">
        <f t="shared" si="10"/>
        <v>0.4808448117539027</v>
      </c>
      <c r="AE45" s="3">
        <f t="shared" si="10"/>
        <v>0.51101928374655647</v>
      </c>
      <c r="AF45" s="3">
        <f t="shared" si="10"/>
        <v>0.54022038567493114</v>
      </c>
      <c r="AG45" s="3">
        <f t="shared" si="10"/>
        <v>0.56844811753902669</v>
      </c>
      <c r="AH45" s="3">
        <f t="shared" si="10"/>
        <v>0.59570247933884302</v>
      </c>
      <c r="AI45" s="3">
        <f t="shared" si="10"/>
        <v>0.62198347107438023</v>
      </c>
      <c r="AJ45" s="3">
        <f t="shared" si="10"/>
        <v>0.64729109274563823</v>
      </c>
      <c r="AK45" s="3">
        <f t="shared" si="10"/>
        <v>0.67162534435261723</v>
      </c>
      <c r="AL45" s="3">
        <f t="shared" si="10"/>
        <v>0.69498622589531689</v>
      </c>
      <c r="AM45" s="3">
        <f t="shared" si="10"/>
        <v>0.71737373737373744</v>
      </c>
      <c r="AN45" s="3">
        <f t="shared" si="10"/>
        <v>0.73878787878787877</v>
      </c>
      <c r="AO45" s="3">
        <f t="shared" si="10"/>
        <v>0.7592286501377411</v>
      </c>
      <c r="AP45" s="3">
        <f t="shared" si="10"/>
        <v>0.77869605142332432</v>
      </c>
      <c r="AQ45" s="3">
        <f t="shared" si="10"/>
        <v>0.79719008264462821</v>
      </c>
      <c r="AR45" s="3">
        <f t="shared" si="10"/>
        <v>0.81471074380165298</v>
      </c>
      <c r="AS45" s="3">
        <f t="shared" si="10"/>
        <v>0.83125803489439865</v>
      </c>
      <c r="AT45" s="3">
        <f t="shared" si="10"/>
        <v>0.8468319559228652</v>
      </c>
      <c r="AU45" s="3">
        <f t="shared" si="10"/>
        <v>0.86143250688705231</v>
      </c>
      <c r="AV45" s="3">
        <f t="shared" si="10"/>
        <v>0.87505968778696053</v>
      </c>
      <c r="AW45" s="3">
        <f t="shared" si="10"/>
        <v>0.88771349862258964</v>
      </c>
      <c r="AX45" s="3">
        <f t="shared" si="10"/>
        <v>0.89939393939393952</v>
      </c>
      <c r="AY45" s="3">
        <f t="shared" si="10"/>
        <v>0.91010101010101019</v>
      </c>
      <c r="AZ45" s="3">
        <f t="shared" si="10"/>
        <v>0.91983471074380174</v>
      </c>
      <c r="BA45" s="3">
        <f t="shared" si="10"/>
        <v>0.92859504132231419</v>
      </c>
      <c r="BB45" s="3">
        <f t="shared" si="10"/>
        <v>0.93638200183654741</v>
      </c>
      <c r="BC45" s="3">
        <f t="shared" si="10"/>
        <v>0.94319559228650141</v>
      </c>
      <c r="BD45" s="3">
        <f t="shared" si="10"/>
        <v>0.9490358126721764</v>
      </c>
      <c r="BE45" s="3">
        <f t="shared" si="10"/>
        <v>0.95390266299357207</v>
      </c>
      <c r="BF45" s="3">
        <f t="shared" si="10"/>
        <v>0.95779614325068874</v>
      </c>
      <c r="BG45" s="3">
        <f t="shared" si="10"/>
        <v>0.96071625344352629</v>
      </c>
      <c r="BH45" s="3">
        <f t="shared" si="10"/>
        <v>0.96266299357208474</v>
      </c>
      <c r="BI45" s="3">
        <f t="shared" si="10"/>
        <v>0.96363636363636374</v>
      </c>
      <c r="BJ45" s="3">
        <f t="shared" si="10"/>
        <v>0.96363636363636374</v>
      </c>
      <c r="BL45" s="1">
        <v>37</v>
      </c>
      <c r="BM45" s="1">
        <f t="shared" ca="1" si="2"/>
        <v>0.39839273781798379</v>
      </c>
      <c r="BN45" s="1">
        <v>37</v>
      </c>
      <c r="BO45" s="1">
        <f t="shared" ca="1" si="3"/>
        <v>0.40729356472024458</v>
      </c>
    </row>
    <row r="46" spans="2:67" x14ac:dyDescent="0.25">
      <c r="B46" s="1">
        <v>14</v>
      </c>
      <c r="C46" s="3">
        <f t="shared" si="5"/>
        <v>0.53030303030303028</v>
      </c>
      <c r="D46" s="1">
        <v>14</v>
      </c>
      <c r="E46" s="3">
        <f t="shared" si="5"/>
        <v>0.53030303030303028</v>
      </c>
      <c r="O46" s="104"/>
      <c r="P46" s="1">
        <v>37</v>
      </c>
      <c r="Q46" s="3">
        <f t="shared" si="1"/>
        <v>0</v>
      </c>
      <c r="R46" s="3">
        <f t="shared" si="10"/>
        <v>4.3187429854096522E-2</v>
      </c>
      <c r="S46" s="3">
        <f t="shared" si="10"/>
        <v>8.5393327211509037E-2</v>
      </c>
      <c r="T46" s="3">
        <f t="shared" si="10"/>
        <v>0.12661769207223753</v>
      </c>
      <c r="U46" s="3">
        <f t="shared" si="10"/>
        <v>0.16686052443628202</v>
      </c>
      <c r="V46" s="3">
        <f t="shared" si="10"/>
        <v>0.20612182430364248</v>
      </c>
      <c r="W46" s="3">
        <f t="shared" si="10"/>
        <v>0.24440159167431896</v>
      </c>
      <c r="X46" s="3">
        <f t="shared" si="10"/>
        <v>0.28169982654831138</v>
      </c>
      <c r="Y46" s="3">
        <f t="shared" si="10"/>
        <v>0.31801652892561982</v>
      </c>
      <c r="Z46" s="3">
        <f t="shared" si="10"/>
        <v>0.35335169880624429</v>
      </c>
      <c r="AA46" s="3">
        <f t="shared" si="10"/>
        <v>0.38770533619018471</v>
      </c>
      <c r="AB46" s="3">
        <f t="shared" si="10"/>
        <v>0.42107744107744111</v>
      </c>
      <c r="AC46" s="3">
        <f t="shared" si="10"/>
        <v>0.45346801346801352</v>
      </c>
      <c r="AD46" s="3">
        <f t="shared" si="10"/>
        <v>0.48487705336190184</v>
      </c>
      <c r="AE46" s="3">
        <f t="shared" si="10"/>
        <v>0.51530456075910624</v>
      </c>
      <c r="AF46" s="3">
        <f t="shared" si="10"/>
        <v>0.5447505356596265</v>
      </c>
      <c r="AG46" s="3">
        <f t="shared" si="10"/>
        <v>0.573214978063463</v>
      </c>
      <c r="AH46" s="3">
        <f t="shared" si="10"/>
        <v>0.6006978879706153</v>
      </c>
      <c r="AI46" s="3">
        <f t="shared" si="10"/>
        <v>0.62719926538108361</v>
      </c>
      <c r="AJ46" s="3">
        <f t="shared" si="10"/>
        <v>0.65271911029486784</v>
      </c>
      <c r="AK46" s="3">
        <f t="shared" si="10"/>
        <v>0.6772574227119682</v>
      </c>
      <c r="AL46" s="3">
        <f t="shared" si="10"/>
        <v>0.70081420263238448</v>
      </c>
      <c r="AM46" s="3">
        <f t="shared" si="10"/>
        <v>0.72338945005611677</v>
      </c>
      <c r="AN46" s="3">
        <f t="shared" si="10"/>
        <v>0.74498316498316497</v>
      </c>
      <c r="AO46" s="3">
        <f t="shared" si="10"/>
        <v>0.76559534741352919</v>
      </c>
      <c r="AP46" s="3">
        <f t="shared" si="10"/>
        <v>0.78522599734720955</v>
      </c>
      <c r="AQ46" s="3">
        <f t="shared" si="10"/>
        <v>0.8038751147842057</v>
      </c>
      <c r="AR46" s="3">
        <f t="shared" si="10"/>
        <v>0.82154269972451799</v>
      </c>
      <c r="AS46" s="3">
        <f t="shared" si="10"/>
        <v>0.83822875216814619</v>
      </c>
      <c r="AT46" s="3">
        <f t="shared" si="10"/>
        <v>0.8539332721150904</v>
      </c>
      <c r="AU46" s="3">
        <f t="shared" si="10"/>
        <v>0.86865625956535042</v>
      </c>
      <c r="AV46" s="3">
        <f t="shared" si="10"/>
        <v>0.88239771451892668</v>
      </c>
      <c r="AW46" s="3">
        <f t="shared" si="10"/>
        <v>0.89515763697581885</v>
      </c>
      <c r="AX46" s="3">
        <f t="shared" si="10"/>
        <v>0.90693602693602704</v>
      </c>
      <c r="AY46" s="3">
        <f t="shared" si="10"/>
        <v>0.91773288439955103</v>
      </c>
      <c r="AZ46" s="3">
        <f t="shared" si="10"/>
        <v>0.92754820936639126</v>
      </c>
      <c r="BA46" s="3">
        <f t="shared" si="10"/>
        <v>0.93638200183654741</v>
      </c>
      <c r="BB46" s="3">
        <f t="shared" si="10"/>
        <v>0.94423426181001946</v>
      </c>
      <c r="BC46" s="3">
        <f t="shared" si="10"/>
        <v>0.95110498928680753</v>
      </c>
      <c r="BD46" s="3">
        <f t="shared" si="10"/>
        <v>0.95699418426691163</v>
      </c>
      <c r="BE46" s="3">
        <f t="shared" si="10"/>
        <v>0.96190184675033152</v>
      </c>
      <c r="BF46" s="3">
        <f t="shared" si="10"/>
        <v>0.96582797673706766</v>
      </c>
      <c r="BG46" s="3">
        <f t="shared" si="10"/>
        <v>0.96877257422711971</v>
      </c>
      <c r="BH46" s="3">
        <f t="shared" si="10"/>
        <v>0.97073563922048789</v>
      </c>
      <c r="BI46" s="3">
        <f t="shared" si="10"/>
        <v>0.97171717171717176</v>
      </c>
      <c r="BJ46" s="3">
        <f t="shared" si="10"/>
        <v>0.97171717171717176</v>
      </c>
      <c r="BL46" s="1">
        <v>38</v>
      </c>
      <c r="BM46" s="1">
        <f t="shared" ca="1" si="2"/>
        <v>4.1521675613919506E-2</v>
      </c>
      <c r="BN46" s="1">
        <v>38</v>
      </c>
      <c r="BO46" s="1">
        <f t="shared" ca="1" si="3"/>
        <v>0.97195273868607779</v>
      </c>
    </row>
    <row r="47" spans="2:67" x14ac:dyDescent="0.25">
      <c r="B47" s="1">
        <v>13</v>
      </c>
      <c r="C47" s="3">
        <f t="shared" si="5"/>
        <v>0.49898989898989898</v>
      </c>
      <c r="D47" s="1">
        <v>13</v>
      </c>
      <c r="E47" s="3">
        <f t="shared" si="5"/>
        <v>0.49898989898989898</v>
      </c>
      <c r="O47" s="104"/>
      <c r="P47" s="2">
        <v>38</v>
      </c>
      <c r="Q47" s="3">
        <f t="shared" si="1"/>
        <v>0</v>
      </c>
      <c r="R47" s="3">
        <f t="shared" si="10"/>
        <v>4.35016835016835E-2</v>
      </c>
      <c r="S47" s="3">
        <f t="shared" si="10"/>
        <v>8.6014692378328747E-2</v>
      </c>
      <c r="T47" s="3">
        <f t="shared" si="10"/>
        <v>0.12753902662993571</v>
      </c>
      <c r="U47" s="3">
        <f t="shared" si="10"/>
        <v>0.16807468625650443</v>
      </c>
      <c r="V47" s="3">
        <f t="shared" si="10"/>
        <v>0.20762167125803488</v>
      </c>
      <c r="W47" s="3">
        <f t="shared" si="10"/>
        <v>0.24617998163452709</v>
      </c>
      <c r="X47" s="3">
        <f t="shared" si="10"/>
        <v>0.28374961738598098</v>
      </c>
      <c r="Y47" s="3">
        <f t="shared" si="10"/>
        <v>0.32033057851239666</v>
      </c>
      <c r="Z47" s="3">
        <f t="shared" si="10"/>
        <v>0.35592286501377413</v>
      </c>
      <c r="AA47" s="3">
        <f t="shared" si="10"/>
        <v>0.39052647689011327</v>
      </c>
      <c r="AB47" s="3">
        <f t="shared" si="10"/>
        <v>0.42414141414141415</v>
      </c>
      <c r="AC47" s="3">
        <f t="shared" si="10"/>
        <v>0.45676767676767677</v>
      </c>
      <c r="AD47" s="3">
        <f t="shared" si="10"/>
        <v>0.48840526476890112</v>
      </c>
      <c r="AE47" s="3">
        <f t="shared" si="10"/>
        <v>0.51905417814508714</v>
      </c>
      <c r="AF47" s="3">
        <f t="shared" si="10"/>
        <v>0.54871441689623501</v>
      </c>
      <c r="AG47" s="3">
        <f t="shared" si="10"/>
        <v>0.57738598102234462</v>
      </c>
      <c r="AH47" s="3">
        <f t="shared" si="10"/>
        <v>0.60506887052341596</v>
      </c>
      <c r="AI47" s="3">
        <f t="shared" si="10"/>
        <v>0.63176308539944903</v>
      </c>
      <c r="AJ47" s="3">
        <f t="shared" si="10"/>
        <v>0.65746862565044384</v>
      </c>
      <c r="AK47" s="3">
        <f t="shared" si="10"/>
        <v>0.68218549127640038</v>
      </c>
      <c r="AL47" s="3">
        <f t="shared" si="10"/>
        <v>0.70591368227731865</v>
      </c>
      <c r="AM47" s="3">
        <f t="shared" si="10"/>
        <v>0.72865319865319866</v>
      </c>
      <c r="AN47" s="3">
        <f t="shared" si="10"/>
        <v>0.7504040404040403</v>
      </c>
      <c r="AO47" s="3">
        <f t="shared" si="10"/>
        <v>0.77116620752984388</v>
      </c>
      <c r="AP47" s="3">
        <f t="shared" si="10"/>
        <v>0.79093970003060921</v>
      </c>
      <c r="AQ47" s="3">
        <f t="shared" si="10"/>
        <v>0.80972451790633604</v>
      </c>
      <c r="AR47" s="3">
        <f t="shared" si="10"/>
        <v>0.82752066115702483</v>
      </c>
      <c r="AS47" s="3">
        <f t="shared" si="10"/>
        <v>0.84432812978267524</v>
      </c>
      <c r="AT47" s="3">
        <f t="shared" si="10"/>
        <v>0.8601469237832875</v>
      </c>
      <c r="AU47" s="3">
        <f t="shared" si="10"/>
        <v>0.87497704315886116</v>
      </c>
      <c r="AV47" s="3">
        <f t="shared" si="10"/>
        <v>0.88881848790939699</v>
      </c>
      <c r="AW47" s="3">
        <f t="shared" si="10"/>
        <v>0.90167125803489445</v>
      </c>
      <c r="AX47" s="3">
        <f t="shared" si="10"/>
        <v>0.91353535353535353</v>
      </c>
      <c r="AY47" s="3">
        <f t="shared" si="10"/>
        <v>0.92441077441077435</v>
      </c>
      <c r="AZ47" s="3">
        <f t="shared" si="10"/>
        <v>0.93429752066115701</v>
      </c>
      <c r="BA47" s="3">
        <f t="shared" si="10"/>
        <v>0.94319559228650141</v>
      </c>
      <c r="BB47" s="3">
        <f t="shared" si="10"/>
        <v>0.95110498928680753</v>
      </c>
      <c r="BC47" s="3">
        <f t="shared" si="10"/>
        <v>0.95802571166207529</v>
      </c>
      <c r="BD47" s="3">
        <f t="shared" si="10"/>
        <v>0.96395775941230488</v>
      </c>
      <c r="BE47" s="3">
        <f t="shared" si="10"/>
        <v>0.9689011325374961</v>
      </c>
      <c r="BF47" s="3">
        <f t="shared" si="10"/>
        <v>0.97285583103764917</v>
      </c>
      <c r="BG47" s="3">
        <f t="shared" si="10"/>
        <v>0.97582185491276396</v>
      </c>
      <c r="BH47" s="3">
        <f t="shared" si="10"/>
        <v>0.97779920416284061</v>
      </c>
      <c r="BI47" s="3">
        <f t="shared" si="10"/>
        <v>0.97878787878787876</v>
      </c>
      <c r="BJ47" s="3">
        <f t="shared" si="10"/>
        <v>0.97878787878787876</v>
      </c>
      <c r="BL47" s="1">
        <v>39</v>
      </c>
      <c r="BM47" s="1">
        <f t="shared" ca="1" si="2"/>
        <v>0.43866165092417575</v>
      </c>
      <c r="BN47" s="1">
        <v>39</v>
      </c>
      <c r="BO47" s="1">
        <f t="shared" ca="1" si="3"/>
        <v>0.67679290305464923</v>
      </c>
    </row>
    <row r="48" spans="2:67" x14ac:dyDescent="0.25">
      <c r="B48" s="1">
        <v>12</v>
      </c>
      <c r="C48" s="3">
        <f t="shared" si="5"/>
        <v>0.46666666666666667</v>
      </c>
      <c r="D48" s="1">
        <v>12</v>
      </c>
      <c r="E48" s="3">
        <f t="shared" si="5"/>
        <v>0.46666666666666667</v>
      </c>
      <c r="O48" s="104"/>
      <c r="P48" s="1">
        <v>39</v>
      </c>
      <c r="Q48" s="3">
        <f t="shared" si="1"/>
        <v>0</v>
      </c>
      <c r="R48" s="3">
        <f t="shared" si="10"/>
        <v>4.3771043771043773E-2</v>
      </c>
      <c r="S48" s="3">
        <f t="shared" si="10"/>
        <v>8.6547291092745657E-2</v>
      </c>
      <c r="T48" s="3">
        <f t="shared" si="10"/>
        <v>0.1283287419651056</v>
      </c>
      <c r="U48" s="3">
        <f t="shared" si="10"/>
        <v>0.16911539638812365</v>
      </c>
      <c r="V48" s="3">
        <f t="shared" si="10"/>
        <v>0.2089072543617998</v>
      </c>
      <c r="W48" s="3">
        <f t="shared" si="10"/>
        <v>0.24770431588613409</v>
      </c>
      <c r="X48" s="3">
        <f t="shared" si="10"/>
        <v>0.28550658096112641</v>
      </c>
      <c r="Y48" s="3">
        <f t="shared" si="10"/>
        <v>0.32231404958677684</v>
      </c>
      <c r="Z48" s="3">
        <f t="shared" si="10"/>
        <v>0.35812672176308541</v>
      </c>
      <c r="AA48" s="3">
        <f t="shared" si="10"/>
        <v>0.39294459749005206</v>
      </c>
      <c r="AB48" s="3">
        <f t="shared" si="10"/>
        <v>0.4267676767676768</v>
      </c>
      <c r="AC48" s="3">
        <f t="shared" si="10"/>
        <v>0.45959595959595961</v>
      </c>
      <c r="AD48" s="3">
        <f t="shared" si="10"/>
        <v>0.49142944597490051</v>
      </c>
      <c r="AE48" s="3">
        <f t="shared" si="10"/>
        <v>0.5222681359044995</v>
      </c>
      <c r="AF48" s="3">
        <f t="shared" si="10"/>
        <v>0.55211202938475656</v>
      </c>
      <c r="AG48" s="3">
        <f t="shared" si="10"/>
        <v>0.58096112641567188</v>
      </c>
      <c r="AH48" s="3">
        <f t="shared" si="10"/>
        <v>0.60881542699724522</v>
      </c>
      <c r="AI48" s="3">
        <f t="shared" si="10"/>
        <v>0.63567493112947659</v>
      </c>
      <c r="AJ48" s="3">
        <f t="shared" si="10"/>
        <v>0.6615396388123661</v>
      </c>
      <c r="AK48" s="3">
        <f t="shared" si="10"/>
        <v>0.68640955004591375</v>
      </c>
      <c r="AL48" s="3">
        <f t="shared" si="10"/>
        <v>0.71028466483011932</v>
      </c>
      <c r="AM48" s="3">
        <f t="shared" si="10"/>
        <v>0.73316498316498324</v>
      </c>
      <c r="AN48" s="3">
        <f t="shared" si="10"/>
        <v>0.75505050505050497</v>
      </c>
      <c r="AO48" s="3">
        <f t="shared" si="10"/>
        <v>0.77594123048668506</v>
      </c>
      <c r="AP48" s="3">
        <f t="shared" si="10"/>
        <v>0.79583715947352318</v>
      </c>
      <c r="AQ48" s="3">
        <f t="shared" si="10"/>
        <v>0.81473829201101933</v>
      </c>
      <c r="AR48" s="3">
        <f t="shared" si="10"/>
        <v>0.83264462809917361</v>
      </c>
      <c r="AS48" s="3">
        <f t="shared" si="10"/>
        <v>0.84955616773798592</v>
      </c>
      <c r="AT48" s="3">
        <f t="shared" si="10"/>
        <v>0.86547291092745648</v>
      </c>
      <c r="AU48" s="3">
        <f t="shared" si="10"/>
        <v>0.88039485766758485</v>
      </c>
      <c r="AV48" s="3">
        <f t="shared" si="10"/>
        <v>0.89432200795837158</v>
      </c>
      <c r="AW48" s="3">
        <f t="shared" si="10"/>
        <v>0.90725436179981644</v>
      </c>
      <c r="AX48" s="3">
        <f t="shared" si="10"/>
        <v>0.91919191919191923</v>
      </c>
      <c r="AY48" s="3">
        <f t="shared" si="10"/>
        <v>0.93013468013468015</v>
      </c>
      <c r="AZ48" s="3">
        <f t="shared" si="10"/>
        <v>0.94008264462809921</v>
      </c>
      <c r="BA48" s="3">
        <f t="shared" si="10"/>
        <v>0.9490358126721764</v>
      </c>
      <c r="BB48" s="3">
        <f t="shared" si="10"/>
        <v>0.95699418426691163</v>
      </c>
      <c r="BC48" s="3">
        <f t="shared" si="10"/>
        <v>0.96395775941230488</v>
      </c>
      <c r="BD48" s="3">
        <f t="shared" si="10"/>
        <v>0.96992653810835627</v>
      </c>
      <c r="BE48" s="3">
        <f t="shared" si="10"/>
        <v>0.9749005203550658</v>
      </c>
      <c r="BF48" s="3">
        <f t="shared" si="10"/>
        <v>0.97887970615243336</v>
      </c>
      <c r="BG48" s="3">
        <f t="shared" si="10"/>
        <v>0.98186409550045917</v>
      </c>
      <c r="BH48" s="3">
        <f t="shared" si="10"/>
        <v>0.98385368839914311</v>
      </c>
      <c r="BI48" s="3">
        <f t="shared" si="10"/>
        <v>0.98484848484848486</v>
      </c>
      <c r="BJ48" s="3">
        <f t="shared" si="10"/>
        <v>0.98484848484848486</v>
      </c>
      <c r="BL48" s="1">
        <v>40</v>
      </c>
      <c r="BM48" s="1">
        <f t="shared" ca="1" si="2"/>
        <v>0.49141616545400435</v>
      </c>
      <c r="BN48" s="1">
        <v>40</v>
      </c>
      <c r="BO48" s="1">
        <f t="shared" ca="1" si="3"/>
        <v>0.94099158386286708</v>
      </c>
    </row>
    <row r="49" spans="2:67" x14ac:dyDescent="0.25">
      <c r="B49" s="1">
        <v>11</v>
      </c>
      <c r="C49" s="3">
        <f t="shared" si="5"/>
        <v>0.43333333333333335</v>
      </c>
      <c r="D49" s="1">
        <v>11</v>
      </c>
      <c r="E49" s="3">
        <f t="shared" si="5"/>
        <v>0.43333333333333335</v>
      </c>
      <c r="O49" s="104"/>
      <c r="P49" s="2">
        <v>40</v>
      </c>
      <c r="Q49" s="3">
        <f t="shared" si="1"/>
        <v>0</v>
      </c>
      <c r="R49" s="3">
        <f t="shared" ref="R49:BJ54" si="11">VLOOKUP($P49,$D$15:$E$60,2,FALSE)*VLOOKUP(R$8,$B$15:$C$60,2,FALSE)</f>
        <v>4.3995510662177328E-2</v>
      </c>
      <c r="S49" s="3">
        <f t="shared" si="11"/>
        <v>8.6991123354759725E-2</v>
      </c>
      <c r="T49" s="3">
        <f t="shared" si="11"/>
        <v>0.12898683807774716</v>
      </c>
      <c r="U49" s="3">
        <f t="shared" si="11"/>
        <v>0.16998265483113967</v>
      </c>
      <c r="V49" s="3">
        <f t="shared" si="11"/>
        <v>0.20997857361493721</v>
      </c>
      <c r="W49" s="3">
        <f t="shared" si="11"/>
        <v>0.24897459442913988</v>
      </c>
      <c r="X49" s="3">
        <f t="shared" si="11"/>
        <v>0.28697071727374751</v>
      </c>
      <c r="Y49" s="3">
        <f t="shared" si="11"/>
        <v>0.32396694214876032</v>
      </c>
      <c r="Z49" s="3">
        <f t="shared" si="11"/>
        <v>0.35996326905417814</v>
      </c>
      <c r="AA49" s="3">
        <f t="shared" si="11"/>
        <v>0.39495969799000102</v>
      </c>
      <c r="AB49" s="3">
        <f t="shared" si="11"/>
        <v>0.42895622895622892</v>
      </c>
      <c r="AC49" s="3">
        <f t="shared" si="11"/>
        <v>0.46195286195286195</v>
      </c>
      <c r="AD49" s="3">
        <f t="shared" si="11"/>
        <v>0.49394959697989999</v>
      </c>
      <c r="AE49" s="3">
        <f t="shared" si="11"/>
        <v>0.52494643403734309</v>
      </c>
      <c r="AF49" s="3">
        <f t="shared" si="11"/>
        <v>0.55494337312519126</v>
      </c>
      <c r="AG49" s="3">
        <f t="shared" si="11"/>
        <v>0.58394041424344456</v>
      </c>
      <c r="AH49" s="3">
        <f t="shared" si="11"/>
        <v>0.61193755739210276</v>
      </c>
      <c r="AI49" s="3">
        <f t="shared" si="11"/>
        <v>0.63893480257116619</v>
      </c>
      <c r="AJ49" s="3">
        <f t="shared" si="11"/>
        <v>0.66493214978063453</v>
      </c>
      <c r="AK49" s="3">
        <f t="shared" si="11"/>
        <v>0.6899295990205081</v>
      </c>
      <c r="AL49" s="3">
        <f t="shared" si="11"/>
        <v>0.71392715029078657</v>
      </c>
      <c r="AM49" s="3">
        <f t="shared" si="11"/>
        <v>0.73692480359147028</v>
      </c>
      <c r="AN49" s="3">
        <f t="shared" si="11"/>
        <v>0.75892255892255878</v>
      </c>
      <c r="AO49" s="3">
        <f t="shared" si="11"/>
        <v>0.77992041628405251</v>
      </c>
      <c r="AP49" s="3">
        <f t="shared" si="11"/>
        <v>0.79991837567595148</v>
      </c>
      <c r="AQ49" s="3">
        <f t="shared" si="11"/>
        <v>0.81891643709825523</v>
      </c>
      <c r="AR49" s="3">
        <f t="shared" si="11"/>
        <v>0.83691460055096412</v>
      </c>
      <c r="AS49" s="3">
        <f t="shared" si="11"/>
        <v>0.85391286603407812</v>
      </c>
      <c r="AT49" s="3">
        <f t="shared" si="11"/>
        <v>0.86991123354759725</v>
      </c>
      <c r="AU49" s="3">
        <f t="shared" si="11"/>
        <v>0.88490970309152106</v>
      </c>
      <c r="AV49" s="3">
        <f t="shared" si="11"/>
        <v>0.89890827466585033</v>
      </c>
      <c r="AW49" s="3">
        <f t="shared" si="11"/>
        <v>0.91190694827058461</v>
      </c>
      <c r="AX49" s="3">
        <f t="shared" si="11"/>
        <v>0.9239057239057239</v>
      </c>
      <c r="AY49" s="3">
        <f t="shared" si="11"/>
        <v>0.9349046015712682</v>
      </c>
      <c r="AZ49" s="3">
        <f t="shared" si="11"/>
        <v>0.94490358126721763</v>
      </c>
      <c r="BA49" s="3">
        <f t="shared" si="11"/>
        <v>0.95390266299357207</v>
      </c>
      <c r="BB49" s="3">
        <f t="shared" si="11"/>
        <v>0.96190184675033152</v>
      </c>
      <c r="BC49" s="3">
        <f t="shared" si="11"/>
        <v>0.9689011325374961</v>
      </c>
      <c r="BD49" s="3">
        <f t="shared" si="11"/>
        <v>0.9749005203550658</v>
      </c>
      <c r="BE49" s="3">
        <f t="shared" si="11"/>
        <v>0.97990001020304041</v>
      </c>
      <c r="BF49" s="3">
        <f t="shared" si="11"/>
        <v>0.98389960208142013</v>
      </c>
      <c r="BG49" s="3">
        <f t="shared" si="11"/>
        <v>0.98689929599020498</v>
      </c>
      <c r="BH49" s="3">
        <f t="shared" si="11"/>
        <v>0.98889909192939496</v>
      </c>
      <c r="BI49" s="3">
        <f t="shared" si="11"/>
        <v>0.98989898989898983</v>
      </c>
      <c r="BJ49" s="3">
        <f t="shared" si="11"/>
        <v>0.98989898989898983</v>
      </c>
      <c r="BL49" s="1">
        <v>41</v>
      </c>
      <c r="BM49" s="1">
        <f t="shared" ca="1" si="2"/>
        <v>0.23110418485192541</v>
      </c>
      <c r="BN49" s="1">
        <v>41</v>
      </c>
      <c r="BO49" s="1">
        <f t="shared" ca="1" si="3"/>
        <v>0.13212207607882631</v>
      </c>
    </row>
    <row r="50" spans="2:67" x14ac:dyDescent="0.25">
      <c r="B50" s="1">
        <v>10</v>
      </c>
      <c r="C50" s="3">
        <f t="shared" si="5"/>
        <v>0.39898989898989901</v>
      </c>
      <c r="D50" s="1">
        <v>10</v>
      </c>
      <c r="E50" s="3">
        <f t="shared" si="5"/>
        <v>0.39898989898989901</v>
      </c>
      <c r="O50" s="104"/>
      <c r="P50" s="1">
        <v>41</v>
      </c>
      <c r="Q50" s="3">
        <f t="shared" si="1"/>
        <v>0</v>
      </c>
      <c r="R50" s="3">
        <f t="shared" si="11"/>
        <v>4.4175084175084173E-2</v>
      </c>
      <c r="S50" s="3">
        <f t="shared" si="11"/>
        <v>8.7346189164370994E-2</v>
      </c>
      <c r="T50" s="3">
        <f t="shared" si="11"/>
        <v>0.12951331496786042</v>
      </c>
      <c r="U50" s="3">
        <f t="shared" si="11"/>
        <v>0.1706764615855525</v>
      </c>
      <c r="V50" s="3">
        <f t="shared" si="11"/>
        <v>0.21083562901744718</v>
      </c>
      <c r="W50" s="3">
        <f t="shared" si="11"/>
        <v>0.24999081726354452</v>
      </c>
      <c r="X50" s="3">
        <f t="shared" si="11"/>
        <v>0.28814202632384445</v>
      </c>
      <c r="Y50" s="3">
        <f t="shared" si="11"/>
        <v>0.32528925619834709</v>
      </c>
      <c r="Z50" s="3">
        <f t="shared" si="11"/>
        <v>0.36143250688705236</v>
      </c>
      <c r="AA50" s="3">
        <f t="shared" si="11"/>
        <v>0.39657177838996022</v>
      </c>
      <c r="AB50" s="3">
        <f t="shared" si="11"/>
        <v>0.4307070707070707</v>
      </c>
      <c r="AC50" s="3">
        <f t="shared" si="11"/>
        <v>0.46383838383838383</v>
      </c>
      <c r="AD50" s="3">
        <f t="shared" si="11"/>
        <v>0.49596571778389958</v>
      </c>
      <c r="AE50" s="3">
        <f t="shared" si="11"/>
        <v>0.52708907254361792</v>
      </c>
      <c r="AF50" s="3">
        <f t="shared" si="11"/>
        <v>0.557208448117539</v>
      </c>
      <c r="AG50" s="3">
        <f t="shared" si="11"/>
        <v>0.58632384450566266</v>
      </c>
      <c r="AH50" s="3">
        <f t="shared" si="11"/>
        <v>0.6144352617079889</v>
      </c>
      <c r="AI50" s="3">
        <f t="shared" si="11"/>
        <v>0.64154269972451794</v>
      </c>
      <c r="AJ50" s="3">
        <f t="shared" si="11"/>
        <v>0.66764615855524945</v>
      </c>
      <c r="AK50" s="3">
        <f t="shared" si="11"/>
        <v>0.69274563820018364</v>
      </c>
      <c r="AL50" s="3">
        <f t="shared" si="11"/>
        <v>0.71684113865932042</v>
      </c>
      <c r="AM50" s="3">
        <f t="shared" si="11"/>
        <v>0.73993265993265989</v>
      </c>
      <c r="AN50" s="3">
        <f t="shared" si="11"/>
        <v>0.76202020202020193</v>
      </c>
      <c r="AO50" s="3">
        <f t="shared" si="11"/>
        <v>0.78310376492194667</v>
      </c>
      <c r="AP50" s="3">
        <f t="shared" si="11"/>
        <v>0.8031833486378942</v>
      </c>
      <c r="AQ50" s="3">
        <f t="shared" si="11"/>
        <v>0.82225895316804409</v>
      </c>
      <c r="AR50" s="3">
        <f t="shared" si="11"/>
        <v>0.84033057851239668</v>
      </c>
      <c r="AS50" s="3">
        <f t="shared" si="11"/>
        <v>0.85739822467095195</v>
      </c>
      <c r="AT50" s="3">
        <f t="shared" si="11"/>
        <v>0.87346189164370991</v>
      </c>
      <c r="AU50" s="3">
        <f t="shared" si="11"/>
        <v>0.88852157943067023</v>
      </c>
      <c r="AV50" s="3">
        <f t="shared" si="11"/>
        <v>0.90257728803183346</v>
      </c>
      <c r="AW50" s="3">
        <f t="shared" si="11"/>
        <v>0.91562901744719927</v>
      </c>
      <c r="AX50" s="3">
        <f t="shared" si="11"/>
        <v>0.92767676767676766</v>
      </c>
      <c r="AY50" s="3">
        <f t="shared" si="11"/>
        <v>0.93872053872053862</v>
      </c>
      <c r="AZ50" s="3">
        <f t="shared" si="11"/>
        <v>0.94876033057851239</v>
      </c>
      <c r="BA50" s="3">
        <f t="shared" si="11"/>
        <v>0.95779614325068874</v>
      </c>
      <c r="BB50" s="3">
        <f t="shared" si="11"/>
        <v>0.96582797673706766</v>
      </c>
      <c r="BC50" s="3">
        <f t="shared" si="11"/>
        <v>0.97285583103764917</v>
      </c>
      <c r="BD50" s="3">
        <f t="shared" si="11"/>
        <v>0.97887970615243336</v>
      </c>
      <c r="BE50" s="3">
        <f t="shared" si="11"/>
        <v>0.98389960208142013</v>
      </c>
      <c r="BF50" s="3">
        <f t="shared" si="11"/>
        <v>0.98791551882460971</v>
      </c>
      <c r="BG50" s="3">
        <f t="shared" si="11"/>
        <v>0.99092745638200175</v>
      </c>
      <c r="BH50" s="3">
        <f t="shared" si="11"/>
        <v>0.99293541475359659</v>
      </c>
      <c r="BI50" s="3">
        <f t="shared" si="11"/>
        <v>0.9939393939393939</v>
      </c>
      <c r="BJ50" s="3">
        <f t="shared" si="11"/>
        <v>0.9939393939393939</v>
      </c>
      <c r="BL50" s="1">
        <v>42</v>
      </c>
      <c r="BM50" s="1">
        <f t="shared" ca="1" si="2"/>
        <v>0.49432057033413213</v>
      </c>
      <c r="BN50" s="1">
        <v>42</v>
      </c>
      <c r="BO50" s="1">
        <f t="shared" ca="1" si="3"/>
        <v>0.83906025462789235</v>
      </c>
    </row>
    <row r="51" spans="2:67" x14ac:dyDescent="0.25">
      <c r="B51" s="1">
        <v>9</v>
      </c>
      <c r="C51" s="3">
        <f t="shared" si="5"/>
        <v>0.36363636363636365</v>
      </c>
      <c r="D51" s="1">
        <v>9</v>
      </c>
      <c r="E51" s="3">
        <f t="shared" si="5"/>
        <v>0.36363636363636365</v>
      </c>
      <c r="O51" s="104"/>
      <c r="P51" s="2">
        <v>42</v>
      </c>
      <c r="Q51" s="3">
        <f t="shared" si="1"/>
        <v>0</v>
      </c>
      <c r="R51" s="3">
        <f t="shared" si="11"/>
        <v>4.4309764309764313E-2</v>
      </c>
      <c r="S51" s="3">
        <f t="shared" si="11"/>
        <v>8.7612488521579435E-2</v>
      </c>
      <c r="T51" s="3">
        <f t="shared" si="11"/>
        <v>0.12990817263544538</v>
      </c>
      <c r="U51" s="3">
        <f t="shared" si="11"/>
        <v>0.1711968166513621</v>
      </c>
      <c r="V51" s="3">
        <f t="shared" si="11"/>
        <v>0.21147842056932964</v>
      </c>
      <c r="W51" s="3">
        <f t="shared" si="11"/>
        <v>0.25075298438934801</v>
      </c>
      <c r="X51" s="3">
        <f t="shared" si="11"/>
        <v>0.28902050811141716</v>
      </c>
      <c r="Y51" s="3">
        <f t="shared" si="11"/>
        <v>0.32628099173553721</v>
      </c>
      <c r="Z51" s="3">
        <f t="shared" si="11"/>
        <v>0.36253443526170798</v>
      </c>
      <c r="AA51" s="3">
        <f t="shared" si="11"/>
        <v>0.39778083868992958</v>
      </c>
      <c r="AB51" s="3">
        <f t="shared" si="11"/>
        <v>0.43202020202020203</v>
      </c>
      <c r="AC51" s="3">
        <f t="shared" si="11"/>
        <v>0.46525252525252525</v>
      </c>
      <c r="AD51" s="3">
        <f t="shared" si="11"/>
        <v>0.49747780838689926</v>
      </c>
      <c r="AE51" s="3">
        <f t="shared" si="11"/>
        <v>0.5286960514233241</v>
      </c>
      <c r="AF51" s="3">
        <f t="shared" si="11"/>
        <v>0.55890725436179978</v>
      </c>
      <c r="AG51" s="3">
        <f t="shared" si="11"/>
        <v>0.58811141720232629</v>
      </c>
      <c r="AH51" s="3">
        <f t="shared" si="11"/>
        <v>0.61630853994490353</v>
      </c>
      <c r="AI51" s="3">
        <f t="shared" si="11"/>
        <v>0.64349862258953172</v>
      </c>
      <c r="AJ51" s="3">
        <f t="shared" si="11"/>
        <v>0.66968166513621052</v>
      </c>
      <c r="AK51" s="3">
        <f t="shared" si="11"/>
        <v>0.69485766758494039</v>
      </c>
      <c r="AL51" s="3">
        <f t="shared" si="11"/>
        <v>0.71902662993572086</v>
      </c>
      <c r="AM51" s="3">
        <f t="shared" si="11"/>
        <v>0.74218855218855218</v>
      </c>
      <c r="AN51" s="3">
        <f t="shared" si="11"/>
        <v>0.76434343434343432</v>
      </c>
      <c r="AO51" s="3">
        <f t="shared" si="11"/>
        <v>0.78549127640036731</v>
      </c>
      <c r="AP51" s="3">
        <f t="shared" si="11"/>
        <v>0.80563207835935113</v>
      </c>
      <c r="AQ51" s="3">
        <f t="shared" si="11"/>
        <v>0.82476584022038568</v>
      </c>
      <c r="AR51" s="3">
        <f t="shared" si="11"/>
        <v>0.84289256198347107</v>
      </c>
      <c r="AS51" s="3">
        <f t="shared" si="11"/>
        <v>0.86001224364860729</v>
      </c>
      <c r="AT51" s="3">
        <f t="shared" si="11"/>
        <v>0.87612488521579435</v>
      </c>
      <c r="AU51" s="3">
        <f t="shared" si="11"/>
        <v>0.89123048668503202</v>
      </c>
      <c r="AV51" s="3">
        <f t="shared" si="11"/>
        <v>0.90532904805632075</v>
      </c>
      <c r="AW51" s="3">
        <f t="shared" si="11"/>
        <v>0.91842056932966032</v>
      </c>
      <c r="AX51" s="3">
        <f t="shared" si="11"/>
        <v>0.9305050505050505</v>
      </c>
      <c r="AY51" s="3">
        <f t="shared" si="11"/>
        <v>0.94158249158249152</v>
      </c>
      <c r="AZ51" s="3">
        <f t="shared" si="11"/>
        <v>0.95165289256198349</v>
      </c>
      <c r="BA51" s="3">
        <f t="shared" si="11"/>
        <v>0.96071625344352629</v>
      </c>
      <c r="BB51" s="3">
        <f t="shared" si="11"/>
        <v>0.96877257422711971</v>
      </c>
      <c r="BC51" s="3">
        <f t="shared" si="11"/>
        <v>0.97582185491276396</v>
      </c>
      <c r="BD51" s="3">
        <f t="shared" si="11"/>
        <v>0.98186409550045917</v>
      </c>
      <c r="BE51" s="3">
        <f t="shared" si="11"/>
        <v>0.98689929599020498</v>
      </c>
      <c r="BF51" s="3">
        <f t="shared" si="11"/>
        <v>0.99092745638200175</v>
      </c>
      <c r="BG51" s="3">
        <f t="shared" si="11"/>
        <v>0.99394857667584935</v>
      </c>
      <c r="BH51" s="3">
        <f t="shared" si="11"/>
        <v>0.9959626568717479</v>
      </c>
      <c r="BI51" s="3">
        <f t="shared" si="11"/>
        <v>0.99696969696969695</v>
      </c>
      <c r="BJ51" s="3">
        <f t="shared" si="11"/>
        <v>0.99696969696969695</v>
      </c>
      <c r="BL51" s="1">
        <v>43</v>
      </c>
      <c r="BM51" s="1">
        <f t="shared" ca="1" si="2"/>
        <v>0.53979855592063708</v>
      </c>
      <c r="BN51" s="1">
        <v>43</v>
      </c>
      <c r="BO51" s="1">
        <f t="shared" ca="1" si="3"/>
        <v>0.81612944375262564</v>
      </c>
    </row>
    <row r="52" spans="2:67" x14ac:dyDescent="0.25">
      <c r="B52" s="1">
        <v>8</v>
      </c>
      <c r="C52" s="3">
        <f t="shared" si="5"/>
        <v>0.32727272727272727</v>
      </c>
      <c r="D52" s="1">
        <v>8</v>
      </c>
      <c r="E52" s="3">
        <f t="shared" si="5"/>
        <v>0.32727272727272727</v>
      </c>
      <c r="O52" s="104"/>
      <c r="P52" s="1">
        <v>43</v>
      </c>
      <c r="Q52" s="3">
        <f t="shared" si="1"/>
        <v>0</v>
      </c>
      <c r="R52" s="3">
        <f t="shared" si="11"/>
        <v>4.4399551066217742E-2</v>
      </c>
      <c r="S52" s="3">
        <f t="shared" si="11"/>
        <v>8.7790021426385076E-2</v>
      </c>
      <c r="T52" s="3">
        <f t="shared" si="11"/>
        <v>0.13017141108050201</v>
      </c>
      <c r="U52" s="3">
        <f t="shared" si="11"/>
        <v>0.17154372002856852</v>
      </c>
      <c r="V52" s="3">
        <f t="shared" si="11"/>
        <v>0.21190694827058462</v>
      </c>
      <c r="W52" s="3">
        <f t="shared" si="11"/>
        <v>0.25126109580655037</v>
      </c>
      <c r="X52" s="3">
        <f t="shared" si="11"/>
        <v>0.28960616263646566</v>
      </c>
      <c r="Y52" s="3">
        <f t="shared" si="11"/>
        <v>0.32694214876033062</v>
      </c>
      <c r="Z52" s="3">
        <f t="shared" si="11"/>
        <v>0.36326905417814515</v>
      </c>
      <c r="AA52" s="3">
        <f t="shared" si="11"/>
        <v>0.39858687888990924</v>
      </c>
      <c r="AB52" s="3">
        <f t="shared" si="11"/>
        <v>0.43289562289562294</v>
      </c>
      <c r="AC52" s="3">
        <f t="shared" si="11"/>
        <v>0.46619528619528627</v>
      </c>
      <c r="AD52" s="3">
        <f t="shared" si="11"/>
        <v>0.49848586878889911</v>
      </c>
      <c r="AE52" s="3">
        <f t="shared" si="11"/>
        <v>0.52976737067646162</v>
      </c>
      <c r="AF52" s="3">
        <f t="shared" si="11"/>
        <v>0.5600397918579737</v>
      </c>
      <c r="AG52" s="3">
        <f t="shared" si="11"/>
        <v>0.58930313233343545</v>
      </c>
      <c r="AH52" s="3">
        <f t="shared" si="11"/>
        <v>0.61755739210284666</v>
      </c>
      <c r="AI52" s="3">
        <f t="shared" si="11"/>
        <v>0.64480257116620765</v>
      </c>
      <c r="AJ52" s="3">
        <f t="shared" si="11"/>
        <v>0.67103866952351809</v>
      </c>
      <c r="AK52" s="3">
        <f t="shared" si="11"/>
        <v>0.69626568717477821</v>
      </c>
      <c r="AL52" s="3">
        <f t="shared" si="11"/>
        <v>0.72048362411998779</v>
      </c>
      <c r="AM52" s="3">
        <f t="shared" si="11"/>
        <v>0.74369248035914715</v>
      </c>
      <c r="AN52" s="3">
        <f t="shared" si="11"/>
        <v>0.76589225589225596</v>
      </c>
      <c r="AO52" s="3">
        <f t="shared" si="11"/>
        <v>0.78708295071931444</v>
      </c>
      <c r="AP52" s="3">
        <f t="shared" si="11"/>
        <v>0.80726456484032261</v>
      </c>
      <c r="AQ52" s="3">
        <f t="shared" si="11"/>
        <v>0.82643709825528011</v>
      </c>
      <c r="AR52" s="3">
        <f t="shared" si="11"/>
        <v>0.8446005509641874</v>
      </c>
      <c r="AS52" s="3">
        <f t="shared" si="11"/>
        <v>0.86175492296704426</v>
      </c>
      <c r="AT52" s="3">
        <f t="shared" si="11"/>
        <v>0.87790021426385079</v>
      </c>
      <c r="AU52" s="3">
        <f t="shared" si="11"/>
        <v>0.89303642485460666</v>
      </c>
      <c r="AV52" s="3">
        <f t="shared" si="11"/>
        <v>0.90716355473931243</v>
      </c>
      <c r="AW52" s="3">
        <f t="shared" si="11"/>
        <v>0.92028160391796765</v>
      </c>
      <c r="AX52" s="3">
        <f t="shared" si="11"/>
        <v>0.93239057239057255</v>
      </c>
      <c r="AY52" s="3">
        <f t="shared" si="11"/>
        <v>0.9434904601571269</v>
      </c>
      <c r="AZ52" s="3">
        <f t="shared" si="11"/>
        <v>0.95358126721763103</v>
      </c>
      <c r="BA52" s="3">
        <f t="shared" si="11"/>
        <v>0.96266299357208474</v>
      </c>
      <c r="BB52" s="3">
        <f t="shared" si="11"/>
        <v>0.97073563922048789</v>
      </c>
      <c r="BC52" s="3">
        <f t="shared" si="11"/>
        <v>0.97779920416284061</v>
      </c>
      <c r="BD52" s="3">
        <f t="shared" si="11"/>
        <v>0.98385368839914311</v>
      </c>
      <c r="BE52" s="3">
        <f t="shared" si="11"/>
        <v>0.98889909192939496</v>
      </c>
      <c r="BF52" s="3">
        <f t="shared" si="11"/>
        <v>0.99293541475359659</v>
      </c>
      <c r="BG52" s="3">
        <f t="shared" si="11"/>
        <v>0.9959626568717479</v>
      </c>
      <c r="BH52" s="3">
        <f t="shared" si="11"/>
        <v>0.99798081828384877</v>
      </c>
      <c r="BI52" s="3">
        <f t="shared" si="11"/>
        <v>0.99898989898989909</v>
      </c>
      <c r="BJ52" s="3">
        <f t="shared" si="11"/>
        <v>0.99898989898989909</v>
      </c>
      <c r="BL52" s="1">
        <v>44</v>
      </c>
      <c r="BM52" s="1">
        <f t="shared" ca="1" si="2"/>
        <v>0.46071514259814184</v>
      </c>
      <c r="BN52" s="1">
        <v>44</v>
      </c>
      <c r="BO52" s="1">
        <f t="shared" ca="1" si="3"/>
        <v>0.18319604906266596</v>
      </c>
    </row>
    <row r="53" spans="2:67" x14ac:dyDescent="0.25">
      <c r="B53" s="1">
        <v>7</v>
      </c>
      <c r="C53" s="3">
        <f t="shared" si="5"/>
        <v>0.28989898989898988</v>
      </c>
      <c r="D53" s="1">
        <v>7</v>
      </c>
      <c r="E53" s="3">
        <f t="shared" si="5"/>
        <v>0.28989898989898988</v>
      </c>
      <c r="O53" s="104"/>
      <c r="P53" s="2">
        <v>44</v>
      </c>
      <c r="Q53" s="3">
        <f t="shared" si="1"/>
        <v>0</v>
      </c>
      <c r="R53" s="3">
        <f t="shared" si="11"/>
        <v>4.4444444444444446E-2</v>
      </c>
      <c r="S53" s="3">
        <f t="shared" si="11"/>
        <v>8.787878787878789E-2</v>
      </c>
      <c r="T53" s="3">
        <f t="shared" si="11"/>
        <v>0.13030303030303031</v>
      </c>
      <c r="U53" s="3">
        <f t="shared" si="11"/>
        <v>0.17171717171717171</v>
      </c>
      <c r="V53" s="3">
        <f t="shared" si="11"/>
        <v>0.2121212121212121</v>
      </c>
      <c r="W53" s="3">
        <f t="shared" si="11"/>
        <v>0.25151515151515152</v>
      </c>
      <c r="X53" s="3">
        <f t="shared" si="11"/>
        <v>0.28989898989898988</v>
      </c>
      <c r="Y53" s="3">
        <f t="shared" si="11"/>
        <v>0.32727272727272727</v>
      </c>
      <c r="Z53" s="3">
        <f t="shared" si="11"/>
        <v>0.36363636363636365</v>
      </c>
      <c r="AA53" s="3">
        <f t="shared" si="11"/>
        <v>0.39898989898989901</v>
      </c>
      <c r="AB53" s="3">
        <f t="shared" si="11"/>
        <v>0.43333333333333335</v>
      </c>
      <c r="AC53" s="3">
        <f t="shared" si="11"/>
        <v>0.46666666666666667</v>
      </c>
      <c r="AD53" s="3">
        <f t="shared" si="11"/>
        <v>0.49898989898989898</v>
      </c>
      <c r="AE53" s="3">
        <f t="shared" si="11"/>
        <v>0.53030303030303028</v>
      </c>
      <c r="AF53" s="3">
        <f t="shared" si="11"/>
        <v>0.56060606060606055</v>
      </c>
      <c r="AG53" s="3">
        <f t="shared" si="11"/>
        <v>0.58989898989898992</v>
      </c>
      <c r="AH53" s="3">
        <f t="shared" si="11"/>
        <v>0.61818181818181817</v>
      </c>
      <c r="AI53" s="3">
        <f t="shared" si="11"/>
        <v>0.6454545454545455</v>
      </c>
      <c r="AJ53" s="3">
        <f t="shared" si="11"/>
        <v>0.67171717171717171</v>
      </c>
      <c r="AK53" s="3">
        <f t="shared" si="11"/>
        <v>0.69696969696969702</v>
      </c>
      <c r="AL53" s="3">
        <f t="shared" si="11"/>
        <v>0.72121212121212119</v>
      </c>
      <c r="AM53" s="3">
        <f t="shared" si="11"/>
        <v>0.74444444444444446</v>
      </c>
      <c r="AN53" s="3">
        <f t="shared" si="11"/>
        <v>0.76666666666666661</v>
      </c>
      <c r="AO53" s="3">
        <f t="shared" si="11"/>
        <v>0.78787878787878785</v>
      </c>
      <c r="AP53" s="3">
        <f t="shared" si="11"/>
        <v>0.80808080808080818</v>
      </c>
      <c r="AQ53" s="3">
        <f t="shared" si="11"/>
        <v>0.82727272727272727</v>
      </c>
      <c r="AR53" s="3">
        <f t="shared" si="11"/>
        <v>0.84545454545454546</v>
      </c>
      <c r="AS53" s="3">
        <f t="shared" si="11"/>
        <v>0.86262626262626263</v>
      </c>
      <c r="AT53" s="3">
        <f t="shared" si="11"/>
        <v>0.8787878787878789</v>
      </c>
      <c r="AU53" s="3">
        <f t="shared" si="11"/>
        <v>0.89393939393939381</v>
      </c>
      <c r="AV53" s="3">
        <f t="shared" si="11"/>
        <v>0.90808080808080804</v>
      </c>
      <c r="AW53" s="3">
        <f t="shared" si="11"/>
        <v>0.92121212121212126</v>
      </c>
      <c r="AX53" s="3">
        <f t="shared" si="11"/>
        <v>0.93333333333333335</v>
      </c>
      <c r="AY53" s="3">
        <f t="shared" si="11"/>
        <v>0.94444444444444442</v>
      </c>
      <c r="AZ53" s="3">
        <f t="shared" si="11"/>
        <v>0.95454545454545459</v>
      </c>
      <c r="BA53" s="3">
        <f t="shared" si="11"/>
        <v>0.96363636363636374</v>
      </c>
      <c r="BB53" s="3">
        <f t="shared" si="11"/>
        <v>0.97171717171717176</v>
      </c>
      <c r="BC53" s="3">
        <f t="shared" si="11"/>
        <v>0.97878787878787876</v>
      </c>
      <c r="BD53" s="3">
        <f t="shared" si="11"/>
        <v>0.98484848484848486</v>
      </c>
      <c r="BE53" s="3">
        <f t="shared" si="11"/>
        <v>0.98989898989898983</v>
      </c>
      <c r="BF53" s="3">
        <f t="shared" si="11"/>
        <v>0.9939393939393939</v>
      </c>
      <c r="BG53" s="3">
        <f t="shared" si="11"/>
        <v>0.99696969696969695</v>
      </c>
      <c r="BH53" s="3">
        <f t="shared" si="11"/>
        <v>0.99898989898989909</v>
      </c>
      <c r="BI53" s="3">
        <f t="shared" si="11"/>
        <v>1</v>
      </c>
      <c r="BJ53" s="3">
        <f t="shared" si="11"/>
        <v>1</v>
      </c>
      <c r="BL53" s="1">
        <v>45</v>
      </c>
      <c r="BM53" s="1">
        <f t="shared" ca="1" si="2"/>
        <v>0.50735456264215228</v>
      </c>
      <c r="BN53" s="1">
        <v>45</v>
      </c>
      <c r="BO53" s="1">
        <f t="shared" ca="1" si="3"/>
        <v>0.76973994544699187</v>
      </c>
    </row>
    <row r="54" spans="2:67" x14ac:dyDescent="0.25">
      <c r="B54" s="1">
        <v>6</v>
      </c>
      <c r="C54" s="3">
        <f t="shared" si="5"/>
        <v>0.25151515151515152</v>
      </c>
      <c r="D54" s="1">
        <v>6</v>
      </c>
      <c r="E54" s="3">
        <f t="shared" si="5"/>
        <v>0.25151515151515152</v>
      </c>
      <c r="O54" s="104"/>
      <c r="P54" s="1">
        <v>45</v>
      </c>
      <c r="Q54" s="3">
        <f t="shared" si="1"/>
        <v>0</v>
      </c>
      <c r="R54" s="3">
        <f t="shared" si="11"/>
        <v>4.4444444444444446E-2</v>
      </c>
      <c r="S54" s="3">
        <f t="shared" si="11"/>
        <v>8.787878787878789E-2</v>
      </c>
      <c r="T54" s="3">
        <f t="shared" si="11"/>
        <v>0.13030303030303031</v>
      </c>
      <c r="U54" s="3">
        <f t="shared" si="11"/>
        <v>0.17171717171717171</v>
      </c>
      <c r="V54" s="3">
        <f t="shared" si="11"/>
        <v>0.2121212121212121</v>
      </c>
      <c r="W54" s="3">
        <f t="shared" si="11"/>
        <v>0.25151515151515152</v>
      </c>
      <c r="X54" s="3">
        <f t="shared" si="11"/>
        <v>0.28989898989898988</v>
      </c>
      <c r="Y54" s="3">
        <f t="shared" si="11"/>
        <v>0.32727272727272727</v>
      </c>
      <c r="Z54" s="3">
        <f t="shared" si="11"/>
        <v>0.36363636363636365</v>
      </c>
      <c r="AA54" s="3">
        <f t="shared" si="11"/>
        <v>0.39898989898989901</v>
      </c>
      <c r="AB54" s="3">
        <f t="shared" si="11"/>
        <v>0.43333333333333335</v>
      </c>
      <c r="AC54" s="3">
        <f t="shared" si="11"/>
        <v>0.46666666666666667</v>
      </c>
      <c r="AD54" s="3">
        <f t="shared" si="11"/>
        <v>0.49898989898989898</v>
      </c>
      <c r="AE54" s="3">
        <f t="shared" si="11"/>
        <v>0.53030303030303028</v>
      </c>
      <c r="AF54" s="3">
        <f t="shared" si="11"/>
        <v>0.56060606060606055</v>
      </c>
      <c r="AG54" s="3">
        <f t="shared" si="11"/>
        <v>0.58989898989898992</v>
      </c>
      <c r="AH54" s="3">
        <f t="shared" si="11"/>
        <v>0.61818181818181817</v>
      </c>
      <c r="AI54" s="3">
        <f t="shared" si="11"/>
        <v>0.6454545454545455</v>
      </c>
      <c r="AJ54" s="3">
        <f t="shared" si="11"/>
        <v>0.67171717171717171</v>
      </c>
      <c r="AK54" s="3">
        <f t="shared" si="11"/>
        <v>0.69696969696969702</v>
      </c>
      <c r="AL54" s="3">
        <f t="shared" si="11"/>
        <v>0.72121212121212119</v>
      </c>
      <c r="AM54" s="3">
        <f t="shared" si="11"/>
        <v>0.74444444444444446</v>
      </c>
      <c r="AN54" s="3">
        <f t="shared" si="11"/>
        <v>0.76666666666666661</v>
      </c>
      <c r="AO54" s="3">
        <f t="shared" si="11"/>
        <v>0.78787878787878785</v>
      </c>
      <c r="AP54" s="3">
        <f t="shared" si="11"/>
        <v>0.80808080808080818</v>
      </c>
      <c r="AQ54" s="3">
        <f t="shared" si="11"/>
        <v>0.82727272727272727</v>
      </c>
      <c r="AR54" s="3">
        <f t="shared" si="11"/>
        <v>0.84545454545454546</v>
      </c>
      <c r="AS54" s="3">
        <f t="shared" si="11"/>
        <v>0.86262626262626263</v>
      </c>
      <c r="AT54" s="3">
        <f t="shared" si="11"/>
        <v>0.8787878787878789</v>
      </c>
      <c r="AU54" s="3">
        <f t="shared" si="11"/>
        <v>0.89393939393939381</v>
      </c>
      <c r="AV54" s="3">
        <f t="shared" ref="AV54:BJ54" si="12">VLOOKUP($P54,$D$15:$E$60,2,FALSE)*VLOOKUP(AV$8,$B$15:$C$60,2,FALSE)</f>
        <v>0.90808080808080804</v>
      </c>
      <c r="AW54" s="3">
        <f t="shared" si="12"/>
        <v>0.92121212121212126</v>
      </c>
      <c r="AX54" s="3">
        <f t="shared" si="12"/>
        <v>0.93333333333333335</v>
      </c>
      <c r="AY54" s="3">
        <f t="shared" si="12"/>
        <v>0.94444444444444442</v>
      </c>
      <c r="AZ54" s="3">
        <f t="shared" si="12"/>
        <v>0.95454545454545459</v>
      </c>
      <c r="BA54" s="3">
        <f t="shared" si="12"/>
        <v>0.96363636363636374</v>
      </c>
      <c r="BB54" s="3">
        <f t="shared" si="12"/>
        <v>0.97171717171717176</v>
      </c>
      <c r="BC54" s="3">
        <f t="shared" si="12"/>
        <v>0.97878787878787876</v>
      </c>
      <c r="BD54" s="3">
        <f t="shared" si="12"/>
        <v>0.98484848484848486</v>
      </c>
      <c r="BE54" s="3">
        <f t="shared" si="12"/>
        <v>0.98989898989898983</v>
      </c>
      <c r="BF54" s="3">
        <f t="shared" si="12"/>
        <v>0.9939393939393939</v>
      </c>
      <c r="BG54" s="3">
        <f t="shared" si="12"/>
        <v>0.99696969696969695</v>
      </c>
      <c r="BH54" s="3">
        <f t="shared" si="12"/>
        <v>0.99898989898989909</v>
      </c>
      <c r="BI54" s="3">
        <f t="shared" si="12"/>
        <v>1</v>
      </c>
      <c r="BJ54" s="3">
        <f t="shared" si="12"/>
        <v>1</v>
      </c>
    </row>
    <row r="55" spans="2:67" x14ac:dyDescent="0.25">
      <c r="B55" s="1">
        <v>5</v>
      </c>
      <c r="C55" s="3">
        <f t="shared" si="5"/>
        <v>0.2121212121212121</v>
      </c>
      <c r="D55" s="1">
        <v>5</v>
      </c>
      <c r="E55" s="3">
        <f t="shared" si="5"/>
        <v>0.2121212121212121</v>
      </c>
      <c r="O55" s="16"/>
      <c r="P55" s="2"/>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2:67" x14ac:dyDescent="0.25">
      <c r="B56" s="1">
        <v>4</v>
      </c>
      <c r="C56" s="3">
        <f t="shared" si="5"/>
        <v>0.17171717171717171</v>
      </c>
      <c r="D56" s="1">
        <v>4</v>
      </c>
      <c r="E56" s="3">
        <f t="shared" si="5"/>
        <v>0.17171717171717171</v>
      </c>
      <c r="P56" s="103" t="s">
        <v>129</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c r="BG56" s="103"/>
      <c r="BH56" s="103"/>
      <c r="BI56" s="103"/>
    </row>
    <row r="57" spans="2:67" x14ac:dyDescent="0.25">
      <c r="B57" s="1">
        <v>3</v>
      </c>
      <c r="C57" s="3">
        <f t="shared" si="5"/>
        <v>0.13030303030303031</v>
      </c>
      <c r="D57" s="1">
        <v>3</v>
      </c>
      <c r="E57" s="3">
        <f t="shared" si="5"/>
        <v>0.13030303030303031</v>
      </c>
      <c r="Q57" s="93" t="s">
        <v>6</v>
      </c>
      <c r="R57" s="93"/>
      <c r="S57" s="93"/>
      <c r="T57" s="93"/>
      <c r="U57" s="93"/>
      <c r="V57" s="93"/>
      <c r="W57" s="93"/>
      <c r="X57" s="93"/>
      <c r="Y57" s="93"/>
      <c r="Z57" s="93"/>
      <c r="AA57" s="93"/>
      <c r="AB57" s="93"/>
      <c r="AC57" s="93"/>
      <c r="AD57" s="93"/>
      <c r="AE57" s="93"/>
      <c r="AF57" s="93"/>
      <c r="AG57" s="93"/>
      <c r="AH57" s="93"/>
      <c r="AI57" s="93"/>
      <c r="AJ57" s="93"/>
      <c r="AK57" s="93"/>
      <c r="AL57" s="93"/>
      <c r="AM57" s="93"/>
      <c r="AN57" s="93"/>
      <c r="AO57" s="93"/>
      <c r="AP57" s="93"/>
      <c r="AQ57" s="93"/>
      <c r="AR57" s="93"/>
      <c r="AS57" s="93"/>
      <c r="AT57" s="93"/>
      <c r="AU57" s="93"/>
      <c r="AV57" s="93"/>
      <c r="AW57" s="93"/>
      <c r="AX57" s="93"/>
      <c r="AY57" s="93"/>
      <c r="AZ57" s="93"/>
      <c r="BA57" s="93"/>
      <c r="BB57" s="93"/>
      <c r="BC57" s="93"/>
      <c r="BD57" s="93"/>
      <c r="BE57" s="93"/>
      <c r="BF57" s="93"/>
      <c r="BG57" s="93"/>
      <c r="BH57" s="93"/>
      <c r="BI57" s="93"/>
    </row>
    <row r="58" spans="2:67" x14ac:dyDescent="0.25">
      <c r="B58" s="1">
        <v>2</v>
      </c>
      <c r="C58" s="3">
        <f t="shared" si="5"/>
        <v>8.787878787878789E-2</v>
      </c>
      <c r="D58" s="1">
        <v>2</v>
      </c>
      <c r="E58" s="3">
        <f t="shared" si="5"/>
        <v>8.787878787878789E-2</v>
      </c>
      <c r="Q58" s="2">
        <v>0</v>
      </c>
      <c r="R58" s="2">
        <v>1</v>
      </c>
      <c r="S58" s="2">
        <v>2</v>
      </c>
      <c r="T58" s="2">
        <v>3</v>
      </c>
      <c r="U58" s="2">
        <v>4</v>
      </c>
      <c r="V58" s="2">
        <v>5</v>
      </c>
      <c r="W58" s="2">
        <v>6</v>
      </c>
      <c r="X58" s="2">
        <v>7</v>
      </c>
      <c r="Y58" s="2">
        <v>8</v>
      </c>
      <c r="Z58" s="2">
        <v>9</v>
      </c>
      <c r="AA58" s="2">
        <v>10</v>
      </c>
      <c r="AB58" s="2">
        <v>11</v>
      </c>
      <c r="AC58" s="2">
        <v>12</v>
      </c>
      <c r="AD58" s="2">
        <v>13</v>
      </c>
      <c r="AE58" s="2">
        <v>14</v>
      </c>
      <c r="AF58" s="2">
        <v>15</v>
      </c>
      <c r="AG58" s="2">
        <v>16</v>
      </c>
      <c r="AH58" s="2">
        <v>17</v>
      </c>
      <c r="AI58" s="2">
        <v>18</v>
      </c>
      <c r="AJ58" s="2">
        <v>19</v>
      </c>
      <c r="AK58" s="2">
        <v>20</v>
      </c>
      <c r="AL58" s="2">
        <v>21</v>
      </c>
      <c r="AM58" s="2">
        <v>22</v>
      </c>
      <c r="AN58" s="2">
        <v>23</v>
      </c>
      <c r="AO58" s="2">
        <v>24</v>
      </c>
      <c r="AP58" s="2">
        <v>25</v>
      </c>
      <c r="AQ58" s="2">
        <v>26</v>
      </c>
      <c r="AR58" s="2">
        <v>27</v>
      </c>
      <c r="AS58" s="2">
        <v>28</v>
      </c>
      <c r="AT58" s="2">
        <v>29</v>
      </c>
      <c r="AU58" s="2">
        <v>30</v>
      </c>
      <c r="AV58" s="1">
        <v>31</v>
      </c>
      <c r="AW58" s="2">
        <v>32</v>
      </c>
      <c r="AX58" s="1">
        <v>33</v>
      </c>
      <c r="AY58" s="2">
        <v>34</v>
      </c>
      <c r="AZ58" s="1">
        <v>35</v>
      </c>
      <c r="BA58" s="2">
        <v>36</v>
      </c>
      <c r="BB58" s="1">
        <v>37</v>
      </c>
      <c r="BC58" s="2">
        <v>38</v>
      </c>
      <c r="BD58" s="1">
        <v>39</v>
      </c>
      <c r="BE58" s="2">
        <v>40</v>
      </c>
      <c r="BF58" s="1">
        <v>41</v>
      </c>
      <c r="BG58" s="2">
        <v>42</v>
      </c>
      <c r="BH58" s="1">
        <v>43</v>
      </c>
      <c r="BI58" s="2">
        <v>44</v>
      </c>
      <c r="BJ58" s="1">
        <v>45</v>
      </c>
    </row>
    <row r="59" spans="2:67" ht="13.9" customHeight="1" x14ac:dyDescent="0.25">
      <c r="B59" s="1">
        <v>1</v>
      </c>
      <c r="C59" s="3">
        <f t="shared" si="5"/>
        <v>4.4444444444444446E-2</v>
      </c>
      <c r="D59" s="1">
        <v>1</v>
      </c>
      <c r="E59" s="3">
        <f t="shared" si="5"/>
        <v>4.4444444444444446E-2</v>
      </c>
      <c r="O59" s="104" t="s">
        <v>7</v>
      </c>
      <c r="P59" s="2">
        <v>0</v>
      </c>
      <c r="Q59" s="3">
        <f>IFERROR((VLOOKUP($P59,$D$15:$E$60,2,FALSE)*VLOOKUP(Q$8,$B$15:$C$60,2,FALSE))/($P59+Q$58),0)</f>
        <v>0</v>
      </c>
      <c r="R59" s="3">
        <f t="shared" ref="R59:BJ64" si="13">IFERROR((VLOOKUP($P59,$D$15:$E$60,2,FALSE)*VLOOKUP(R$8,$B$15:$C$60,2,FALSE))/($P59+R$58),0)</f>
        <v>0</v>
      </c>
      <c r="S59" s="3">
        <f t="shared" si="13"/>
        <v>0</v>
      </c>
      <c r="T59" s="3">
        <f t="shared" si="13"/>
        <v>0</v>
      </c>
      <c r="U59" s="3">
        <f t="shared" si="13"/>
        <v>0</v>
      </c>
      <c r="V59" s="3">
        <f t="shared" si="13"/>
        <v>0</v>
      </c>
      <c r="W59" s="3">
        <f t="shared" si="13"/>
        <v>0</v>
      </c>
      <c r="X59" s="3">
        <f t="shared" si="13"/>
        <v>0</v>
      </c>
      <c r="Y59" s="3">
        <f t="shared" si="13"/>
        <v>0</v>
      </c>
      <c r="Z59" s="3">
        <f t="shared" si="13"/>
        <v>0</v>
      </c>
      <c r="AA59" s="3">
        <f t="shared" si="13"/>
        <v>0</v>
      </c>
      <c r="AB59" s="3">
        <f t="shared" si="13"/>
        <v>0</v>
      </c>
      <c r="AC59" s="3">
        <f t="shared" si="13"/>
        <v>0</v>
      </c>
      <c r="AD59" s="3">
        <f t="shared" si="13"/>
        <v>0</v>
      </c>
      <c r="AE59" s="3">
        <f t="shared" si="13"/>
        <v>0</v>
      </c>
      <c r="AF59" s="3">
        <f t="shared" si="13"/>
        <v>0</v>
      </c>
      <c r="AG59" s="3">
        <f t="shared" si="13"/>
        <v>0</v>
      </c>
      <c r="AH59" s="3">
        <f t="shared" si="13"/>
        <v>0</v>
      </c>
      <c r="AI59" s="3">
        <f t="shared" si="13"/>
        <v>0</v>
      </c>
      <c r="AJ59" s="3">
        <f t="shared" si="13"/>
        <v>0</v>
      </c>
      <c r="AK59" s="3">
        <f t="shared" si="13"/>
        <v>0</v>
      </c>
      <c r="AL59" s="3">
        <f t="shared" si="13"/>
        <v>0</v>
      </c>
      <c r="AM59" s="3">
        <f t="shared" si="13"/>
        <v>0</v>
      </c>
      <c r="AN59" s="3">
        <f t="shared" si="13"/>
        <v>0</v>
      </c>
      <c r="AO59" s="3">
        <f t="shared" si="13"/>
        <v>0</v>
      </c>
      <c r="AP59" s="3">
        <f t="shared" si="13"/>
        <v>0</v>
      </c>
      <c r="AQ59" s="3">
        <f t="shared" si="13"/>
        <v>0</v>
      </c>
      <c r="AR59" s="3">
        <f t="shared" si="13"/>
        <v>0</v>
      </c>
      <c r="AS59" s="3">
        <f t="shared" si="13"/>
        <v>0</v>
      </c>
      <c r="AT59" s="3">
        <f t="shared" si="13"/>
        <v>0</v>
      </c>
      <c r="AU59" s="3">
        <f t="shared" si="13"/>
        <v>0</v>
      </c>
      <c r="AV59" s="3">
        <f t="shared" si="13"/>
        <v>0</v>
      </c>
      <c r="AW59" s="3">
        <f t="shared" si="13"/>
        <v>0</v>
      </c>
      <c r="AX59" s="3">
        <f t="shared" si="13"/>
        <v>0</v>
      </c>
      <c r="AY59" s="3">
        <f t="shared" si="13"/>
        <v>0</v>
      </c>
      <c r="AZ59" s="3">
        <f t="shared" si="13"/>
        <v>0</v>
      </c>
      <c r="BA59" s="3">
        <f t="shared" si="13"/>
        <v>0</v>
      </c>
      <c r="BB59" s="3">
        <f t="shared" si="13"/>
        <v>0</v>
      </c>
      <c r="BC59" s="3">
        <f t="shared" si="13"/>
        <v>0</v>
      </c>
      <c r="BD59" s="3">
        <f t="shared" si="13"/>
        <v>0</v>
      </c>
      <c r="BE59" s="3">
        <f t="shared" si="13"/>
        <v>0</v>
      </c>
      <c r="BF59" s="3">
        <f t="shared" si="13"/>
        <v>0</v>
      </c>
      <c r="BG59" s="3">
        <f t="shared" si="13"/>
        <v>0</v>
      </c>
      <c r="BH59" s="3">
        <f t="shared" si="13"/>
        <v>0</v>
      </c>
      <c r="BI59" s="3">
        <f t="shared" si="13"/>
        <v>0</v>
      </c>
      <c r="BJ59" s="3">
        <f t="shared" si="13"/>
        <v>0</v>
      </c>
    </row>
    <row r="60" spans="2:67" x14ac:dyDescent="0.25">
      <c r="B60" s="1">
        <v>0</v>
      </c>
      <c r="C60" s="3">
        <f t="shared" si="5"/>
        <v>0</v>
      </c>
      <c r="D60" s="1">
        <v>0</v>
      </c>
      <c r="E60" s="3">
        <f t="shared" si="5"/>
        <v>0</v>
      </c>
      <c r="O60" s="104"/>
      <c r="P60" s="2">
        <v>1</v>
      </c>
      <c r="Q60" s="3">
        <f t="shared" ref="Q60:AF104" si="14">IFERROR((VLOOKUP($P60,$D$15:$E$60,2,FALSE)*VLOOKUP(Q$8,$B$15:$C$60,2,FALSE))/($P60+Q$58),0)</f>
        <v>0</v>
      </c>
      <c r="R60" s="3">
        <f t="shared" si="14"/>
        <v>9.8765432098765434E-4</v>
      </c>
      <c r="S60" s="3">
        <f t="shared" si="14"/>
        <v>1.3019079685746354E-3</v>
      </c>
      <c r="T60" s="3">
        <f t="shared" si="14"/>
        <v>1.4478114478114479E-3</v>
      </c>
      <c r="U60" s="3">
        <f t="shared" si="14"/>
        <v>1.5263748597081931E-3</v>
      </c>
      <c r="V60" s="3">
        <f t="shared" si="14"/>
        <v>1.5712682379349044E-3</v>
      </c>
      <c r="W60" s="3">
        <f t="shared" si="14"/>
        <v>1.5969215969215971E-3</v>
      </c>
      <c r="X60" s="3">
        <f t="shared" si="14"/>
        <v>1.6105499438832771E-3</v>
      </c>
      <c r="Y60" s="3">
        <f t="shared" si="14"/>
        <v>1.6161616161616162E-3</v>
      </c>
      <c r="Z60" s="3">
        <f t="shared" si="14"/>
        <v>1.6161616161616162E-3</v>
      </c>
      <c r="AA60" s="3">
        <f t="shared" si="14"/>
        <v>1.6120803999591878E-3</v>
      </c>
      <c r="AB60" s="3">
        <f t="shared" si="14"/>
        <v>1.6049382716049384E-3</v>
      </c>
      <c r="AC60" s="3">
        <f t="shared" si="14"/>
        <v>1.5954415954415953E-3</v>
      </c>
      <c r="AD60" s="3">
        <f t="shared" si="14"/>
        <v>1.5840949174282509E-3</v>
      </c>
      <c r="AE60" s="3">
        <f t="shared" si="14"/>
        <v>1.5712682379349046E-3</v>
      </c>
      <c r="AF60" s="3">
        <f t="shared" si="14"/>
        <v>1.5572390572390572E-3</v>
      </c>
      <c r="AG60" s="3">
        <f t="shared" si="13"/>
        <v>1.5422195814352678E-3</v>
      </c>
      <c r="AH60" s="3">
        <f t="shared" si="13"/>
        <v>1.5263748597081931E-3</v>
      </c>
      <c r="AI60" s="3">
        <f t="shared" si="13"/>
        <v>1.5098351940457206E-3</v>
      </c>
      <c r="AJ60" s="3">
        <f t="shared" si="13"/>
        <v>1.4927048260381594E-3</v>
      </c>
      <c r="AK60" s="3">
        <f t="shared" si="13"/>
        <v>1.4750681417348085E-3</v>
      </c>
      <c r="AL60" s="3">
        <f t="shared" si="13"/>
        <v>1.4569941842669117E-3</v>
      </c>
      <c r="AM60" s="3">
        <f t="shared" si="13"/>
        <v>1.438539989264627E-3</v>
      </c>
      <c r="AN60" s="3">
        <f t="shared" si="13"/>
        <v>1.4197530864197532E-3</v>
      </c>
      <c r="AO60" s="3">
        <f t="shared" si="13"/>
        <v>1.4006734006734006E-3</v>
      </c>
      <c r="AP60" s="3">
        <f t="shared" si="13"/>
        <v>1.3813347146680482E-3</v>
      </c>
      <c r="AQ60" s="3">
        <f t="shared" si="13"/>
        <v>1.3617658062102507E-3</v>
      </c>
      <c r="AR60" s="3">
        <f t="shared" si="13"/>
        <v>1.341991341991342E-3</v>
      </c>
      <c r="AS60" s="3">
        <f t="shared" si="13"/>
        <v>1.3220325864004027E-3</v>
      </c>
      <c r="AT60" s="3">
        <f t="shared" si="13"/>
        <v>1.3019079685746354E-3</v>
      </c>
      <c r="AU60" s="3">
        <f t="shared" si="13"/>
        <v>1.2816335396980557E-3</v>
      </c>
      <c r="AV60" s="3">
        <f t="shared" si="13"/>
        <v>1.2612233445566778E-3</v>
      </c>
      <c r="AW60" s="3">
        <f t="shared" si="13"/>
        <v>1.2406897255382106E-3</v>
      </c>
      <c r="AX60" s="3">
        <f t="shared" si="13"/>
        <v>1.2200435729847494E-3</v>
      </c>
      <c r="AY60" s="3">
        <f t="shared" si="13"/>
        <v>1.1992945326278659E-3</v>
      </c>
      <c r="AZ60" s="3">
        <f t="shared" si="13"/>
        <v>1.1784511784511786E-3</v>
      </c>
      <c r="BA60" s="3">
        <f t="shared" si="13"/>
        <v>1.1575211575211577E-3</v>
      </c>
      <c r="BB60" s="3">
        <f t="shared" si="13"/>
        <v>1.1365113119499084E-3</v>
      </c>
      <c r="BC60" s="3">
        <f t="shared" si="13"/>
        <v>1.1154277820944487E-3</v>
      </c>
      <c r="BD60" s="3">
        <f t="shared" si="13"/>
        <v>1.0942760942760942E-3</v>
      </c>
      <c r="BE60" s="3">
        <f t="shared" si="13"/>
        <v>1.0730612356628618E-3</v>
      </c>
      <c r="BF60" s="3">
        <f t="shared" si="13"/>
        <v>1.0517877184543852E-3</v>
      </c>
      <c r="BG60" s="3">
        <f t="shared" si="13"/>
        <v>1.030459635110798E-3</v>
      </c>
      <c r="BH60" s="3">
        <f t="shared" si="13"/>
        <v>1.0090807060504031E-3</v>
      </c>
      <c r="BI60" s="3">
        <f t="shared" si="13"/>
        <v>9.8765432098765434E-4</v>
      </c>
      <c r="BJ60" s="3">
        <f t="shared" si="13"/>
        <v>9.6618357487922714E-4</v>
      </c>
    </row>
    <row r="61" spans="2:67" x14ac:dyDescent="0.25">
      <c r="C61" s="3"/>
      <c r="E61" s="3"/>
      <c r="O61" s="104"/>
      <c r="P61" s="2">
        <v>2</v>
      </c>
      <c r="Q61" s="3">
        <f t="shared" si="14"/>
        <v>0</v>
      </c>
      <c r="R61" s="3">
        <f t="shared" si="13"/>
        <v>1.3019079685746354E-3</v>
      </c>
      <c r="S61" s="3">
        <f t="shared" si="13"/>
        <v>1.9306703397612493E-3</v>
      </c>
      <c r="T61" s="3">
        <f t="shared" si="13"/>
        <v>2.2901744719926545E-3</v>
      </c>
      <c r="U61" s="3">
        <f t="shared" si="13"/>
        <v>2.5150494847464545E-3</v>
      </c>
      <c r="V61" s="3">
        <f t="shared" si="13"/>
        <v>2.6629935720844816E-3</v>
      </c>
      <c r="W61" s="3">
        <f t="shared" si="13"/>
        <v>2.7628558310376495E-3</v>
      </c>
      <c r="X61" s="3">
        <f t="shared" si="13"/>
        <v>2.8306635377342449E-3</v>
      </c>
      <c r="Y61" s="3">
        <f t="shared" si="13"/>
        <v>2.8760330578512399E-3</v>
      </c>
      <c r="Z61" s="3">
        <f t="shared" si="13"/>
        <v>2.9050838968194344E-3</v>
      </c>
      <c r="AA61" s="3">
        <f t="shared" si="13"/>
        <v>2.9218957249260284E-3</v>
      </c>
      <c r="AB61" s="3">
        <f t="shared" si="13"/>
        <v>2.9292929292929299E-3</v>
      </c>
      <c r="AC61" s="3">
        <f t="shared" si="13"/>
        <v>2.9292929292929299E-3</v>
      </c>
      <c r="AD61" s="3">
        <f t="shared" si="13"/>
        <v>2.9233751657994087E-3</v>
      </c>
      <c r="AE61" s="3">
        <f t="shared" si="13"/>
        <v>2.9126492194674015E-3</v>
      </c>
      <c r="AF61" s="3">
        <f t="shared" si="13"/>
        <v>2.8979635931507589E-3</v>
      </c>
      <c r="AG61" s="3">
        <f t="shared" si="13"/>
        <v>2.8799782335135874E-3</v>
      </c>
      <c r="AH61" s="3">
        <f t="shared" si="13"/>
        <v>2.8592141510801802E-3</v>
      </c>
      <c r="AI61" s="3">
        <f t="shared" si="13"/>
        <v>2.8360881542699732E-3</v>
      </c>
      <c r="AJ61" s="3">
        <f t="shared" si="13"/>
        <v>2.8109376594225082E-3</v>
      </c>
      <c r="AK61" s="3">
        <f t="shared" si="13"/>
        <v>2.7840387344519584E-3</v>
      </c>
      <c r="AL61" s="3">
        <f t="shared" si="13"/>
        <v>2.7556194354613327E-3</v>
      </c>
      <c r="AM61" s="3">
        <f t="shared" si="13"/>
        <v>2.725869809203143E-3</v>
      </c>
      <c r="AN61" s="3">
        <f t="shared" si="13"/>
        <v>2.6949494949494949E-3</v>
      </c>
      <c r="AO61" s="3">
        <f t="shared" si="13"/>
        <v>2.6629935720844816E-3</v>
      </c>
      <c r="AP61" s="3">
        <f t="shared" si="13"/>
        <v>2.6301171082315868E-3</v>
      </c>
      <c r="AQ61" s="3">
        <f t="shared" si="13"/>
        <v>2.5964187327823696E-3</v>
      </c>
      <c r="AR61" s="3">
        <f t="shared" si="13"/>
        <v>2.5619834710743808E-3</v>
      </c>
      <c r="AS61" s="3">
        <f t="shared" si="13"/>
        <v>2.526885011733497E-3</v>
      </c>
      <c r="AT61" s="3">
        <f t="shared" si="13"/>
        <v>2.4911875351758058E-3</v>
      </c>
      <c r="AU61" s="3">
        <f t="shared" si="13"/>
        <v>2.454947199265381E-3</v>
      </c>
      <c r="AV61" s="3">
        <f t="shared" si="13"/>
        <v>2.4182133548524736E-3</v>
      </c>
      <c r="AW61" s="3">
        <f t="shared" si="13"/>
        <v>2.3810295468049483E-3</v>
      </c>
      <c r="AX61" s="3">
        <f t="shared" si="13"/>
        <v>2.343434343434344E-3</v>
      </c>
      <c r="AY61" s="3">
        <f t="shared" si="13"/>
        <v>2.3054620276842502E-3</v>
      </c>
      <c r="AZ61" s="3">
        <f t="shared" si="13"/>
        <v>2.267143176234086E-3</v>
      </c>
      <c r="BA61" s="3">
        <f t="shared" si="13"/>
        <v>2.2285051471654348E-3</v>
      </c>
      <c r="BB61" s="3">
        <f t="shared" si="13"/>
        <v>2.1895724926027957E-3</v>
      </c>
      <c r="BC61" s="3">
        <f t="shared" si="13"/>
        <v>2.1503673094582188E-3</v>
      </c>
      <c r="BD61" s="3">
        <f t="shared" si="13"/>
        <v>2.1109095388474552E-3</v>
      </c>
      <c r="BE61" s="3">
        <f t="shared" si="13"/>
        <v>2.0712172227323744E-3</v>
      </c>
      <c r="BF61" s="3">
        <f t="shared" si="13"/>
        <v>2.0313067247528138E-3</v>
      </c>
      <c r="BG61" s="3">
        <f t="shared" si="13"/>
        <v>1.9911929209449871E-3</v>
      </c>
      <c r="BH61" s="3">
        <f t="shared" si="13"/>
        <v>1.9508893650307794E-3</v>
      </c>
      <c r="BI61" s="3">
        <f t="shared" si="13"/>
        <v>1.9104084321475629E-3</v>
      </c>
      <c r="BJ61" s="3">
        <f t="shared" si="13"/>
        <v>1.8697614442295296E-3</v>
      </c>
    </row>
    <row r="62" spans="2:67" ht="14.45" customHeight="1" x14ac:dyDescent="0.25">
      <c r="O62" s="104"/>
      <c r="P62" s="2">
        <v>3</v>
      </c>
      <c r="Q62" s="3">
        <f t="shared" si="14"/>
        <v>0</v>
      </c>
      <c r="R62" s="3">
        <f t="shared" si="13"/>
        <v>1.4478114478114479E-3</v>
      </c>
      <c r="S62" s="3">
        <f t="shared" si="13"/>
        <v>2.2901744719926545E-3</v>
      </c>
      <c r="T62" s="3">
        <f t="shared" si="13"/>
        <v>2.8298132843587388E-3</v>
      </c>
      <c r="U62" s="3">
        <f t="shared" si="13"/>
        <v>3.1964668328304693E-3</v>
      </c>
      <c r="V62" s="3">
        <f t="shared" si="13"/>
        <v>3.4550045913682276E-3</v>
      </c>
      <c r="W62" s="3">
        <f t="shared" si="13"/>
        <v>3.6414651566166723E-3</v>
      </c>
      <c r="X62" s="3">
        <f t="shared" si="13"/>
        <v>3.7774716865625951E-3</v>
      </c>
      <c r="Y62" s="3">
        <f t="shared" si="13"/>
        <v>3.8767843726521412E-3</v>
      </c>
      <c r="Z62" s="3">
        <f t="shared" si="13"/>
        <v>3.9485766758494039E-3</v>
      </c>
      <c r="AA62" s="3">
        <f t="shared" si="13"/>
        <v>3.9991994537449081E-3</v>
      </c>
      <c r="AB62" s="3">
        <f t="shared" si="13"/>
        <v>4.0331890331890335E-3</v>
      </c>
      <c r="AC62" s="3">
        <f t="shared" si="13"/>
        <v>4.0538720538720544E-3</v>
      </c>
      <c r="AD62" s="3">
        <f t="shared" si="13"/>
        <v>4.0637434955616775E-3</v>
      </c>
      <c r="AE62" s="3">
        <f t="shared" si="13"/>
        <v>4.0647112839626211E-3</v>
      </c>
      <c r="AF62" s="3">
        <f t="shared" si="13"/>
        <v>4.0582593612896638E-3</v>
      </c>
      <c r="AG62" s="3">
        <f t="shared" si="13"/>
        <v>4.0455592608702661E-3</v>
      </c>
      <c r="AH62" s="3">
        <f t="shared" si="13"/>
        <v>4.0275482093663911E-3</v>
      </c>
      <c r="AI62" s="3">
        <f t="shared" si="13"/>
        <v>4.0049849140758233E-3</v>
      </c>
      <c r="AJ62" s="3">
        <f t="shared" si="13"/>
        <v>3.9784901355149295E-3</v>
      </c>
      <c r="AK62" s="3">
        <f t="shared" si="13"/>
        <v>3.9485766758494039E-3</v>
      </c>
      <c r="AL62" s="3">
        <f t="shared" si="13"/>
        <v>3.9156718702173252E-3</v>
      </c>
      <c r="AM62" s="3">
        <f t="shared" si="13"/>
        <v>3.8801346801346803E-3</v>
      </c>
      <c r="AN62" s="3">
        <f t="shared" si="13"/>
        <v>3.8422688422688417E-3</v>
      </c>
      <c r="AO62" s="3">
        <f t="shared" si="13"/>
        <v>3.8023330952623884E-3</v>
      </c>
      <c r="AP62" s="3">
        <f t="shared" si="13"/>
        <v>3.7605492150946701E-3</v>
      </c>
      <c r="AQ62" s="3">
        <f t="shared" si="13"/>
        <v>3.7171083879547835E-3</v>
      </c>
      <c r="AR62" s="3">
        <f t="shared" si="13"/>
        <v>3.672176308539945E-3</v>
      </c>
      <c r="AS62" s="3">
        <f t="shared" si="13"/>
        <v>3.6258972915864411E-3</v>
      </c>
      <c r="AT62" s="3">
        <f t="shared" si="13"/>
        <v>3.5783976124885222E-3</v>
      </c>
      <c r="AU62" s="3">
        <f t="shared" si="13"/>
        <v>3.5297882405320416E-3</v>
      </c>
      <c r="AV62" s="3">
        <f t="shared" si="13"/>
        <v>3.4801670897927585E-3</v>
      </c>
      <c r="AW62" s="3">
        <f t="shared" si="13"/>
        <v>3.4296208841663391E-3</v>
      </c>
      <c r="AX62" s="3">
        <f t="shared" si="13"/>
        <v>3.3782267115600451E-3</v>
      </c>
      <c r="AY62" s="3">
        <f t="shared" si="13"/>
        <v>3.3260533260533261E-3</v>
      </c>
      <c r="AZ62" s="3">
        <f t="shared" si="13"/>
        <v>3.2731622444541106E-3</v>
      </c>
      <c r="BA62" s="3">
        <f t="shared" si="13"/>
        <v>3.2196086741541293E-3</v>
      </c>
      <c r="BB62" s="3">
        <f t="shared" si="13"/>
        <v>3.165442301805938E-3</v>
      </c>
      <c r="BC62" s="3">
        <f t="shared" si="13"/>
        <v>3.1107079665837981E-3</v>
      </c>
      <c r="BD62" s="3">
        <f t="shared" si="13"/>
        <v>3.0554462372644189E-3</v>
      </c>
      <c r="BE62" s="3">
        <f t="shared" si="13"/>
        <v>2.9996939087848177E-3</v>
      </c>
      <c r="BF62" s="3">
        <f t="shared" si="13"/>
        <v>2.9434844310877368E-3</v>
      </c>
      <c r="BG62" s="3">
        <f t="shared" si="13"/>
        <v>2.8868482807876752E-3</v>
      </c>
      <c r="BH62" s="3">
        <f t="shared" si="13"/>
        <v>2.8298132843587393E-3</v>
      </c>
      <c r="BI62" s="3">
        <f t="shared" si="13"/>
        <v>2.7724049000644748E-3</v>
      </c>
      <c r="BJ62" s="3">
        <f t="shared" si="13"/>
        <v>2.7146464646464648E-3</v>
      </c>
    </row>
    <row r="63" spans="2:67" x14ac:dyDescent="0.25">
      <c r="O63" s="104"/>
      <c r="P63" s="2">
        <v>4</v>
      </c>
      <c r="Q63" s="3">
        <f t="shared" si="14"/>
        <v>0</v>
      </c>
      <c r="R63" s="3">
        <f t="shared" si="13"/>
        <v>1.5263748597081931E-3</v>
      </c>
      <c r="S63" s="3">
        <f t="shared" si="13"/>
        <v>2.5150494847464545E-3</v>
      </c>
      <c r="T63" s="3">
        <f t="shared" si="13"/>
        <v>3.1964668328304693E-3</v>
      </c>
      <c r="U63" s="3">
        <f t="shared" si="13"/>
        <v>3.6858483828180796E-3</v>
      </c>
      <c r="V63" s="3">
        <f t="shared" si="13"/>
        <v>4.0472060674080872E-3</v>
      </c>
      <c r="W63" s="3">
        <f t="shared" si="13"/>
        <v>4.3189470462197729E-3</v>
      </c>
      <c r="X63" s="3">
        <f t="shared" si="13"/>
        <v>4.5255122390108612E-3</v>
      </c>
      <c r="Y63" s="3">
        <f t="shared" si="13"/>
        <v>4.6831955922865013E-3</v>
      </c>
      <c r="Z63" s="3">
        <f t="shared" si="13"/>
        <v>4.8032775305502573E-3</v>
      </c>
      <c r="AA63" s="3">
        <f t="shared" si="13"/>
        <v>4.8938154998761059E-3</v>
      </c>
      <c r="AB63" s="3">
        <f t="shared" si="13"/>
        <v>4.9607182940516279E-3</v>
      </c>
      <c r="AC63" s="3">
        <f t="shared" si="13"/>
        <v>5.008417508417508E-3</v>
      </c>
      <c r="AD63" s="3">
        <f t="shared" si="13"/>
        <v>5.0403020099989791E-3</v>
      </c>
      <c r="AE63" s="3">
        <f t="shared" si="13"/>
        <v>5.059007584260109E-3</v>
      </c>
      <c r="AF63" s="3">
        <f t="shared" si="13"/>
        <v>5.0666151144620033E-3</v>
      </c>
      <c r="AG63" s="3">
        <f t="shared" si="13"/>
        <v>5.0647893072135498E-3</v>
      </c>
      <c r="AH63" s="3">
        <f t="shared" si="13"/>
        <v>5.0548777821505086E-3</v>
      </c>
      <c r="AI63" s="3">
        <f t="shared" si="13"/>
        <v>5.0379831371566907E-3</v>
      </c>
      <c r="AJ63" s="3">
        <f t="shared" si="13"/>
        <v>5.0150162139621949E-3</v>
      </c>
      <c r="AK63" s="3">
        <f t="shared" si="13"/>
        <v>4.986736047342108E-3</v>
      </c>
      <c r="AL63" s="3">
        <f t="shared" si="13"/>
        <v>4.953780226507499E-3</v>
      </c>
      <c r="AM63" s="3">
        <f t="shared" si="13"/>
        <v>4.916688250021584E-3</v>
      </c>
      <c r="AN63" s="3">
        <f t="shared" si="13"/>
        <v>4.8759196907345046E-3</v>
      </c>
      <c r="AO63" s="3">
        <f t="shared" si="13"/>
        <v>4.8318684682321037E-3</v>
      </c>
      <c r="AP63" s="3">
        <f t="shared" si="13"/>
        <v>4.7848741683642424E-3</v>
      </c>
      <c r="AQ63" s="3">
        <f t="shared" si="13"/>
        <v>4.7352310988674623E-3</v>
      </c>
      <c r="AR63" s="3">
        <f t="shared" si="13"/>
        <v>4.6831955922865013E-3</v>
      </c>
      <c r="AS63" s="3">
        <f t="shared" si="13"/>
        <v>4.6289919395979999E-3</v>
      </c>
      <c r="AT63" s="3">
        <f t="shared" si="13"/>
        <v>4.5728172449935539E-3</v>
      </c>
      <c r="AU63" s="3">
        <f t="shared" si="13"/>
        <v>4.5148454239363322E-3</v>
      </c>
      <c r="AV63" s="3">
        <f t="shared" si="13"/>
        <v>4.4552305158365767E-3</v>
      </c>
      <c r="AW63" s="3">
        <f t="shared" si="13"/>
        <v>4.3941094446144947E-3</v>
      </c>
      <c r="AX63" s="3">
        <f t="shared" si="13"/>
        <v>4.331604331604331E-3</v>
      </c>
      <c r="AY63" s="3">
        <f t="shared" si="13"/>
        <v>4.267824443263039E-3</v>
      </c>
      <c r="AZ63" s="3">
        <f t="shared" si="13"/>
        <v>4.202867839231475E-3</v>
      </c>
      <c r="BA63" s="3">
        <f t="shared" si="13"/>
        <v>4.1368227731864099E-3</v>
      </c>
      <c r="BB63" s="3">
        <f t="shared" si="13"/>
        <v>4.0697688886898054E-3</v>
      </c>
      <c r="BC63" s="3">
        <f t="shared" si="13"/>
        <v>4.0017782442024865E-3</v>
      </c>
      <c r="BD63" s="3">
        <f t="shared" si="13"/>
        <v>3.9329161950726428E-3</v>
      </c>
      <c r="BE63" s="3">
        <f t="shared" si="13"/>
        <v>3.8632421552531743E-3</v>
      </c>
      <c r="BF63" s="3">
        <f t="shared" si="13"/>
        <v>3.7928102574567224E-3</v>
      </c>
      <c r="BG63" s="3">
        <f t="shared" si="13"/>
        <v>3.721669927203524E-3</v>
      </c>
      <c r="BH63" s="3">
        <f t="shared" si="13"/>
        <v>3.6498663835865643E-3</v>
      </c>
      <c r="BI63" s="3">
        <f t="shared" si="13"/>
        <v>3.5774410774410772E-3</v>
      </c>
      <c r="BJ63" s="3">
        <f t="shared" si="13"/>
        <v>3.5044320758606472E-3</v>
      </c>
    </row>
    <row r="64" spans="2:67" x14ac:dyDescent="0.25">
      <c r="O64" s="104"/>
      <c r="P64" s="2">
        <v>5</v>
      </c>
      <c r="Q64" s="3">
        <f t="shared" si="14"/>
        <v>0</v>
      </c>
      <c r="R64" s="3">
        <f t="shared" si="13"/>
        <v>1.5712682379349044E-3</v>
      </c>
      <c r="S64" s="3">
        <f t="shared" si="13"/>
        <v>2.6629935720844816E-3</v>
      </c>
      <c r="T64" s="3">
        <f t="shared" si="13"/>
        <v>3.4550045913682276E-3</v>
      </c>
      <c r="U64" s="3">
        <f t="shared" si="13"/>
        <v>4.0472060674080872E-3</v>
      </c>
      <c r="V64" s="3">
        <f t="shared" si="13"/>
        <v>4.4995408631772257E-3</v>
      </c>
      <c r="W64" s="3">
        <f t="shared" si="13"/>
        <v>4.8501544369312956E-3</v>
      </c>
      <c r="X64" s="3">
        <f t="shared" si="13"/>
        <v>5.1244770941740632E-3</v>
      </c>
      <c r="Y64" s="3">
        <f t="shared" si="13"/>
        <v>5.3401144310235215E-3</v>
      </c>
      <c r="Z64" s="3">
        <f t="shared" si="13"/>
        <v>5.5096418732782362E-3</v>
      </c>
      <c r="AA64" s="3">
        <f t="shared" si="13"/>
        <v>5.6422813998571577E-3</v>
      </c>
      <c r="AB64" s="3">
        <f t="shared" si="13"/>
        <v>5.7449494949494946E-3</v>
      </c>
      <c r="AC64" s="3">
        <f t="shared" si="13"/>
        <v>5.8229352346999396E-3</v>
      </c>
      <c r="AD64" s="3">
        <f t="shared" si="13"/>
        <v>5.8803523449988092E-3</v>
      </c>
      <c r="AE64" s="3">
        <f t="shared" si="13"/>
        <v>5.9204485041805602E-3</v>
      </c>
      <c r="AF64" s="3">
        <f t="shared" si="13"/>
        <v>5.9458218549127625E-3</v>
      </c>
      <c r="AG64" s="3">
        <f t="shared" si="13"/>
        <v>5.9585756555453522E-3</v>
      </c>
      <c r="AH64" s="3">
        <f t="shared" si="13"/>
        <v>5.9604307538191825E-3</v>
      </c>
      <c r="AI64" s="3">
        <f t="shared" si="13"/>
        <v>5.952808719607139E-3</v>
      </c>
      <c r="AJ64" s="3">
        <f t="shared" si="13"/>
        <v>5.9368941944699513E-3</v>
      </c>
      <c r="AK64" s="3">
        <f t="shared" si="13"/>
        <v>5.9136822773186402E-3</v>
      </c>
      <c r="AL64" s="3">
        <f t="shared" si="13"/>
        <v>5.884014974924065E-3</v>
      </c>
      <c r="AM64" s="3">
        <f t="shared" si="13"/>
        <v>5.8486095523132553E-3</v>
      </c>
      <c r="AN64" s="3">
        <f t="shared" si="13"/>
        <v>5.8080808080808064E-3</v>
      </c>
      <c r="AO64" s="3">
        <f t="shared" si="13"/>
        <v>5.7629587410151671E-3</v>
      </c>
      <c r="AP64" s="3">
        <f t="shared" si="13"/>
        <v>5.713702683399653E-3</v>
      </c>
      <c r="AQ64" s="3">
        <f t="shared" si="13"/>
        <v>5.6607126988358651E-3</v>
      </c>
      <c r="AR64" s="3">
        <f t="shared" si="13"/>
        <v>5.6043388429752056E-3</v>
      </c>
      <c r="AS64" s="3">
        <f t="shared" si="13"/>
        <v>5.5448887404810259E-3</v>
      </c>
      <c r="AT64" s="3">
        <f t="shared" si="13"/>
        <v>5.4826338248798144E-3</v>
      </c>
      <c r="AU64" s="3">
        <f t="shared" si="13"/>
        <v>5.4178145087235979E-3</v>
      </c>
      <c r="AV64" s="3">
        <f t="shared" si="13"/>
        <v>5.3506444920586324E-3</v>
      </c>
      <c r="AW64" s="3">
        <f t="shared" si="13"/>
        <v>5.2813143722234635E-3</v>
      </c>
      <c r="AX64" s="3">
        <f t="shared" si="13"/>
        <v>5.2099946836788938E-3</v>
      </c>
      <c r="AY64" s="3">
        <f t="shared" si="13"/>
        <v>5.1368384701718029E-3</v>
      </c>
      <c r="AZ64" s="3">
        <f t="shared" si="13"/>
        <v>5.06198347107438E-3</v>
      </c>
      <c r="BA64" s="3">
        <f t="shared" si="13"/>
        <v>4.9855539877712825E-3</v>
      </c>
      <c r="BB64" s="3">
        <f t="shared" si="13"/>
        <v>4.9076624834200593E-3</v>
      </c>
      <c r="BC64" s="3">
        <f t="shared" si="13"/>
        <v>4.8284109594891834E-3</v>
      </c>
      <c r="BD64" s="3">
        <f t="shared" si="13"/>
        <v>4.7478921445863595E-3</v>
      </c>
      <c r="BE64" s="3">
        <f t="shared" si="13"/>
        <v>4.6661905247763827E-3</v>
      </c>
      <c r="BF64" s="3">
        <f t="shared" si="13"/>
        <v>4.583383239509721E-3</v>
      </c>
      <c r="BG64" s="3">
        <f t="shared" si="13"/>
        <v>4.4995408631772265E-3</v>
      </c>
      <c r="BH64" s="3">
        <f t="shared" si="13"/>
        <v>4.414728088970513E-3</v>
      </c>
      <c r="BI64" s="3">
        <f t="shared" si="13"/>
        <v>4.3290043290043281E-3</v>
      </c>
      <c r="BJ64" s="3">
        <f t="shared" si="13"/>
        <v>4.242424242424242E-3</v>
      </c>
    </row>
    <row r="65" spans="15:62" ht="13.9" customHeight="1" x14ac:dyDescent="0.25">
      <c r="O65" s="104"/>
      <c r="P65" s="2">
        <v>6</v>
      </c>
      <c r="Q65" s="3">
        <f t="shared" si="14"/>
        <v>0</v>
      </c>
      <c r="R65" s="3">
        <f t="shared" ref="R65:BJ70" si="15">IFERROR((VLOOKUP($P65,$D$15:$E$60,2,FALSE)*VLOOKUP(R$8,$B$15:$C$60,2,FALSE))/($P65+R$58),0)</f>
        <v>1.5969215969215971E-3</v>
      </c>
      <c r="S65" s="3">
        <f t="shared" si="15"/>
        <v>2.7628558310376495E-3</v>
      </c>
      <c r="T65" s="3">
        <f t="shared" si="15"/>
        <v>3.6414651566166723E-3</v>
      </c>
      <c r="U65" s="3">
        <f t="shared" si="15"/>
        <v>4.3189470462197729E-3</v>
      </c>
      <c r="V65" s="3">
        <f t="shared" si="15"/>
        <v>4.8501544369312956E-3</v>
      </c>
      <c r="W65" s="3">
        <f t="shared" si="15"/>
        <v>5.2716559534741357E-3</v>
      </c>
      <c r="X65" s="3">
        <f t="shared" si="15"/>
        <v>5.608768336041064E-3</v>
      </c>
      <c r="Y65" s="3">
        <f t="shared" si="15"/>
        <v>5.8795749704840614E-3</v>
      </c>
      <c r="Z65" s="3">
        <f t="shared" si="15"/>
        <v>6.0973370064279159E-3</v>
      </c>
      <c r="AA65" s="3">
        <f t="shared" si="15"/>
        <v>6.2720003060912155E-3</v>
      </c>
      <c r="AB65" s="3">
        <f t="shared" si="15"/>
        <v>6.4111705288175877E-3</v>
      </c>
      <c r="AC65" s="3">
        <f t="shared" si="15"/>
        <v>6.5207631874298544E-3</v>
      </c>
      <c r="AD65" s="3">
        <f t="shared" si="15"/>
        <v>6.6054484236302427E-3</v>
      </c>
      <c r="AE65" s="3">
        <f t="shared" si="15"/>
        <v>6.6689623507805327E-3</v>
      </c>
      <c r="AF65" s="3">
        <f t="shared" si="15"/>
        <v>6.7143294416021678E-3</v>
      </c>
      <c r="AG65" s="3">
        <f t="shared" si="15"/>
        <v>6.7440242646854224E-3</v>
      </c>
      <c r="AH65" s="3">
        <f t="shared" si="15"/>
        <v>6.7600910288657329E-3</v>
      </c>
      <c r="AI65" s="3">
        <f t="shared" si="15"/>
        <v>6.7642332415059694E-3</v>
      </c>
      <c r="AJ65" s="3">
        <f t="shared" si="15"/>
        <v>6.7578818487909397E-3</v>
      </c>
      <c r="AK65" s="3">
        <f t="shared" si="15"/>
        <v>6.742247651338561E-3</v>
      </c>
      <c r="AL65" s="3">
        <f t="shared" si="15"/>
        <v>6.7183620718974258E-3</v>
      </c>
      <c r="AM65" s="3">
        <f t="shared" si="15"/>
        <v>6.6871091871091876E-3</v>
      </c>
      <c r="AN65" s="3">
        <f t="shared" si="15"/>
        <v>6.6492511320097522E-3</v>
      </c>
      <c r="AO65" s="3">
        <f t="shared" si="15"/>
        <v>6.6054484236302419E-3</v>
      </c>
      <c r="AP65" s="3">
        <f t="shared" si="15"/>
        <v>6.5562763509977593E-3</v>
      </c>
      <c r="AQ65" s="3">
        <f t="shared" si="15"/>
        <v>6.5022382920110191E-3</v>
      </c>
      <c r="AR65" s="3">
        <f t="shared" si="15"/>
        <v>6.4437766090658655E-3</v>
      </c>
      <c r="AS65" s="3">
        <f t="shared" si="15"/>
        <v>6.3812816219233331E-3</v>
      </c>
      <c r="AT65" s="3">
        <f t="shared" si="15"/>
        <v>6.3150990423717704E-3</v>
      </c>
      <c r="AU65" s="3">
        <f t="shared" si="15"/>
        <v>6.2455361697785934E-3</v>
      </c>
      <c r="AV65" s="3">
        <f t="shared" si="15"/>
        <v>6.172867081957991E-3</v>
      </c>
      <c r="AW65" s="3">
        <f t="shared" si="15"/>
        <v>6.0973370064279159E-3</v>
      </c>
      <c r="AX65" s="3">
        <f t="shared" si="15"/>
        <v>6.0191660191660197E-3</v>
      </c>
      <c r="AY65" s="3">
        <f t="shared" si="15"/>
        <v>5.9385521885521892E-3</v>
      </c>
      <c r="AZ65" s="3">
        <f t="shared" si="15"/>
        <v>5.8556742592219312E-3</v>
      </c>
      <c r="BA65" s="3">
        <f t="shared" si="15"/>
        <v>5.7706939525121355E-3</v>
      </c>
      <c r="BB65" s="3">
        <f t="shared" si="15"/>
        <v>5.6837579459143948E-3</v>
      </c>
      <c r="BC65" s="3">
        <f t="shared" si="15"/>
        <v>5.5949995826028885E-3</v>
      </c>
      <c r="BD65" s="3">
        <f t="shared" si="15"/>
        <v>5.5045403530252024E-3</v>
      </c>
      <c r="BE65" s="3">
        <f t="shared" si="15"/>
        <v>5.4124911832421716E-3</v>
      </c>
      <c r="BF65" s="3">
        <f t="shared" si="15"/>
        <v>5.3189535587988192E-3</v>
      </c>
      <c r="BG65" s="3">
        <f t="shared" si="15"/>
        <v>5.2240205081114169E-3</v>
      </c>
      <c r="BH65" s="3">
        <f t="shared" si="15"/>
        <v>5.1277774654398039E-3</v>
      </c>
      <c r="BI65" s="3">
        <f t="shared" si="15"/>
        <v>5.0303030303030308E-3</v>
      </c>
      <c r="BJ65" s="3">
        <f t="shared" si="15"/>
        <v>4.9316696375519909E-3</v>
      </c>
    </row>
    <row r="66" spans="15:62" x14ac:dyDescent="0.25">
      <c r="O66" s="104"/>
      <c r="P66" s="2">
        <v>7</v>
      </c>
      <c r="Q66" s="3">
        <f t="shared" si="14"/>
        <v>0</v>
      </c>
      <c r="R66" s="3">
        <f t="shared" si="15"/>
        <v>1.6105499438832771E-3</v>
      </c>
      <c r="S66" s="3">
        <f t="shared" si="15"/>
        <v>2.8306635377342449E-3</v>
      </c>
      <c r="T66" s="3">
        <f t="shared" si="15"/>
        <v>3.7774716865625951E-3</v>
      </c>
      <c r="U66" s="3">
        <f t="shared" si="15"/>
        <v>4.5255122390108612E-3</v>
      </c>
      <c r="V66" s="3">
        <f t="shared" si="15"/>
        <v>5.1244770941740632E-3</v>
      </c>
      <c r="W66" s="3">
        <f t="shared" si="15"/>
        <v>5.608768336041064E-3</v>
      </c>
      <c r="X66" s="3">
        <f t="shared" si="15"/>
        <v>6.0029588817467599E-3</v>
      </c>
      <c r="Y66" s="3">
        <f t="shared" si="15"/>
        <v>6.325068870523416E-3</v>
      </c>
      <c r="Z66" s="3">
        <f t="shared" si="15"/>
        <v>6.5886134067952244E-3</v>
      </c>
      <c r="AA66" s="3">
        <f t="shared" si="15"/>
        <v>6.803927570415984E-3</v>
      </c>
      <c r="AB66" s="3">
        <f t="shared" si="15"/>
        <v>6.979049756827534E-3</v>
      </c>
      <c r="AC66" s="3">
        <f t="shared" si="15"/>
        <v>7.1203260676944886E-3</v>
      </c>
      <c r="AD66" s="3">
        <f t="shared" si="15"/>
        <v>7.2328333843485349E-3</v>
      </c>
      <c r="AE66" s="3">
        <f t="shared" si="15"/>
        <v>7.3206815631058049E-3</v>
      </c>
      <c r="AF66" s="3">
        <f t="shared" si="15"/>
        <v>7.3872332136794942E-3</v>
      </c>
      <c r="AG66" s="3">
        <f t="shared" si="15"/>
        <v>7.4352661440935481E-3</v>
      </c>
      <c r="AH66" s="3">
        <f t="shared" si="15"/>
        <v>7.467095194367921E-3</v>
      </c>
      <c r="AI66" s="3">
        <f t="shared" si="15"/>
        <v>7.4846648301193754E-3</v>
      </c>
      <c r="AJ66" s="3">
        <f t="shared" si="15"/>
        <v>7.4896203684082464E-3</v>
      </c>
      <c r="AK66" s="3">
        <f t="shared" si="15"/>
        <v>7.4833633756192681E-3</v>
      </c>
      <c r="AL66" s="3">
        <f t="shared" si="15"/>
        <v>7.4670951943679202E-3</v>
      </c>
      <c r="AM66" s="3">
        <f t="shared" si="15"/>
        <v>7.4418514648399705E-3</v>
      </c>
      <c r="AN66" s="3">
        <f t="shared" si="15"/>
        <v>7.4085297418630741E-3</v>
      </c>
      <c r="AO66" s="3">
        <f t="shared" si="15"/>
        <v>7.367911766738745E-3</v>
      </c>
      <c r="AP66" s="3">
        <f t="shared" si="15"/>
        <v>7.3206815631058058E-3</v>
      </c>
      <c r="AQ66" s="3">
        <f t="shared" si="15"/>
        <v>7.2674402426468531E-3</v>
      </c>
      <c r="AR66" s="3">
        <f t="shared" si="15"/>
        <v>7.2087181980230106E-3</v>
      </c>
      <c r="AS66" s="3">
        <f t="shared" si="15"/>
        <v>7.1449852055912649E-3</v>
      </c>
      <c r="AT66" s="3">
        <f t="shared" si="15"/>
        <v>7.0766588443356114E-3</v>
      </c>
      <c r="AU66" s="3">
        <f t="shared" si="15"/>
        <v>7.0041115495660927E-3</v>
      </c>
      <c r="AV66" s="3">
        <f t="shared" si="15"/>
        <v>6.9276765528759141E-3</v>
      </c>
      <c r="AW66" s="3">
        <f t="shared" si="15"/>
        <v>6.8476529082589681E-3</v>
      </c>
      <c r="AX66" s="3">
        <f t="shared" si="15"/>
        <v>6.7643097643097644E-3</v>
      </c>
      <c r="AY66" s="3">
        <f t="shared" si="15"/>
        <v>6.677890011223344E-3</v>
      </c>
      <c r="AZ66" s="3">
        <f t="shared" si="15"/>
        <v>6.5886134067952244E-3</v>
      </c>
      <c r="BA66" s="3">
        <f t="shared" si="15"/>
        <v>6.4966792662352925E-3</v>
      </c>
      <c r="BB66" s="3">
        <f t="shared" si="15"/>
        <v>6.4022687851888948E-3</v>
      </c>
      <c r="BC66" s="3">
        <f t="shared" si="15"/>
        <v>6.3055470530217995E-3</v>
      </c>
      <c r="BD66" s="3">
        <f t="shared" si="15"/>
        <v>6.2066648035027485E-3</v>
      </c>
      <c r="BE66" s="3">
        <f t="shared" si="15"/>
        <v>6.1057599419946278E-3</v>
      </c>
      <c r="BF66" s="3">
        <f t="shared" si="15"/>
        <v>6.002958881746759E-3</v>
      </c>
      <c r="BG66" s="3">
        <f t="shared" si="15"/>
        <v>5.8983777165595337E-3</v>
      </c>
      <c r="BH66" s="3">
        <f t="shared" si="15"/>
        <v>5.7921232527293129E-3</v>
      </c>
      <c r="BI66" s="3">
        <f t="shared" si="15"/>
        <v>5.6842939195880368E-3</v>
      </c>
      <c r="BJ66" s="3">
        <f t="shared" si="15"/>
        <v>5.5749805749805747E-3</v>
      </c>
    </row>
    <row r="67" spans="15:62" x14ac:dyDescent="0.25">
      <c r="O67" s="104"/>
      <c r="P67" s="2">
        <v>8</v>
      </c>
      <c r="Q67" s="3">
        <f t="shared" si="14"/>
        <v>0</v>
      </c>
      <c r="R67" s="3">
        <f t="shared" si="15"/>
        <v>1.6161616161616162E-3</v>
      </c>
      <c r="S67" s="3">
        <f t="shared" si="15"/>
        <v>2.8760330578512399E-3</v>
      </c>
      <c r="T67" s="3">
        <f t="shared" si="15"/>
        <v>3.8767843726521412E-3</v>
      </c>
      <c r="U67" s="3">
        <f t="shared" si="15"/>
        <v>4.6831955922865013E-3</v>
      </c>
      <c r="V67" s="3">
        <f t="shared" si="15"/>
        <v>5.3401144310235215E-3</v>
      </c>
      <c r="W67" s="3">
        <f t="shared" si="15"/>
        <v>5.8795749704840614E-3</v>
      </c>
      <c r="X67" s="3">
        <f t="shared" si="15"/>
        <v>6.325068870523416E-3</v>
      </c>
      <c r="Y67" s="3">
        <f t="shared" si="15"/>
        <v>6.6942148760330581E-3</v>
      </c>
      <c r="Z67" s="3">
        <f t="shared" si="15"/>
        <v>7.0004861448711717E-3</v>
      </c>
      <c r="AA67" s="3">
        <f t="shared" si="15"/>
        <v>7.2543617998163451E-3</v>
      </c>
      <c r="AB67" s="3">
        <f t="shared" si="15"/>
        <v>7.4641148325358848E-3</v>
      </c>
      <c r="AC67" s="3">
        <f t="shared" si="15"/>
        <v>7.6363636363636373E-3</v>
      </c>
      <c r="AD67" s="3">
        <f t="shared" si="15"/>
        <v>7.7764659582841393E-3</v>
      </c>
      <c r="AE67" s="3">
        <f t="shared" si="15"/>
        <v>7.8888054094665653E-3</v>
      </c>
      <c r="AF67" s="3">
        <f t="shared" si="15"/>
        <v>7.9770032339202285E-3</v>
      </c>
      <c r="AG67" s="3">
        <f t="shared" si="15"/>
        <v>8.0440771349862255E-3</v>
      </c>
      <c r="AH67" s="3">
        <f t="shared" si="15"/>
        <v>8.0925619834710735E-3</v>
      </c>
      <c r="AI67" s="3">
        <f t="shared" si="15"/>
        <v>8.1246026700572162E-3</v>
      </c>
      <c r="AJ67" s="3">
        <f t="shared" si="15"/>
        <v>8.1420263238445052E-3</v>
      </c>
      <c r="AK67" s="3">
        <f t="shared" si="15"/>
        <v>8.1463990554899654E-3</v>
      </c>
      <c r="AL67" s="3">
        <f t="shared" si="15"/>
        <v>8.139070960387575E-3</v>
      </c>
      <c r="AM67" s="3">
        <f t="shared" si="15"/>
        <v>8.1212121212121211E-3</v>
      </c>
      <c r="AN67" s="3">
        <f t="shared" si="15"/>
        <v>8.0938416422287399E-3</v>
      </c>
      <c r="AO67" s="3">
        <f t="shared" si="15"/>
        <v>8.057851239669421E-3</v>
      </c>
      <c r="AP67" s="3">
        <f t="shared" si="15"/>
        <v>8.0140245429501638E-3</v>
      </c>
      <c r="AQ67" s="3">
        <f t="shared" si="15"/>
        <v>7.9630529897909575E-3</v>
      </c>
      <c r="AR67" s="3">
        <f t="shared" si="15"/>
        <v>7.905548996458088E-3</v>
      </c>
      <c r="AS67" s="3">
        <f t="shared" si="15"/>
        <v>7.8420569329660239E-3</v>
      </c>
      <c r="AT67" s="3">
        <f t="shared" si="15"/>
        <v>7.7730623185168646E-3</v>
      </c>
      <c r="AU67" s="3">
        <f t="shared" si="15"/>
        <v>7.6989995650282713E-3</v>
      </c>
      <c r="AV67" s="3">
        <f t="shared" si="15"/>
        <v>7.620258529349438E-3</v>
      </c>
      <c r="AW67" s="3">
        <f t="shared" si="15"/>
        <v>7.5371900826446282E-3</v>
      </c>
      <c r="AX67" s="3">
        <f t="shared" si="15"/>
        <v>7.4501108647450119E-3</v>
      </c>
      <c r="AY67" s="3">
        <f t="shared" si="15"/>
        <v>7.3593073593073589E-3</v>
      </c>
      <c r="AZ67" s="3">
        <f t="shared" si="15"/>
        <v>7.2650394003459543E-3</v>
      </c>
      <c r="BA67" s="3">
        <f t="shared" si="15"/>
        <v>7.1675432006010533E-3</v>
      </c>
      <c r="BB67" s="3">
        <f t="shared" si="15"/>
        <v>7.0670339761248853E-3</v>
      </c>
      <c r="BC67" s="3">
        <f t="shared" si="15"/>
        <v>6.963708228530362E-3</v>
      </c>
      <c r="BD67" s="3">
        <f t="shared" si="15"/>
        <v>6.8577457358888691E-3</v>
      </c>
      <c r="BE67" s="3">
        <f t="shared" si="15"/>
        <v>6.7493112947658402E-3</v>
      </c>
      <c r="BF67" s="3">
        <f t="shared" si="15"/>
        <v>6.638556248945859E-3</v>
      </c>
      <c r="BG67" s="3">
        <f t="shared" si="15"/>
        <v>6.525619834710744E-3</v>
      </c>
      <c r="BH67" s="3">
        <f t="shared" si="15"/>
        <v>6.4106303678496202E-3</v>
      </c>
      <c r="BI67" s="3">
        <f t="shared" si="15"/>
        <v>6.2937062937062933E-3</v>
      </c>
      <c r="BJ67" s="3">
        <f t="shared" si="15"/>
        <v>6.1749571183533445E-3</v>
      </c>
    </row>
    <row r="68" spans="15:62" x14ac:dyDescent="0.25">
      <c r="O68" s="104"/>
      <c r="P68" s="2">
        <v>9</v>
      </c>
      <c r="Q68" s="3">
        <f t="shared" si="14"/>
        <v>0</v>
      </c>
      <c r="R68" s="3">
        <f t="shared" si="15"/>
        <v>1.6161616161616162E-3</v>
      </c>
      <c r="S68" s="3">
        <f t="shared" si="15"/>
        <v>2.9050838968194344E-3</v>
      </c>
      <c r="T68" s="3">
        <f t="shared" si="15"/>
        <v>3.9485766758494039E-3</v>
      </c>
      <c r="U68" s="3">
        <f t="shared" si="15"/>
        <v>4.8032775305502573E-3</v>
      </c>
      <c r="V68" s="3">
        <f t="shared" si="15"/>
        <v>5.5096418732782362E-3</v>
      </c>
      <c r="W68" s="3">
        <f t="shared" si="15"/>
        <v>6.0973370064279159E-3</v>
      </c>
      <c r="X68" s="3">
        <f t="shared" si="15"/>
        <v>6.5886134067952244E-3</v>
      </c>
      <c r="Y68" s="3">
        <f t="shared" si="15"/>
        <v>7.0004861448711717E-3</v>
      </c>
      <c r="Z68" s="3">
        <f t="shared" si="15"/>
        <v>7.3461891643709825E-3</v>
      </c>
      <c r="AA68" s="3">
        <f t="shared" si="15"/>
        <v>7.6361703155961537E-3</v>
      </c>
      <c r="AB68" s="3">
        <f t="shared" si="15"/>
        <v>7.8787878787878792E-3</v>
      </c>
      <c r="AC68" s="3">
        <f t="shared" si="15"/>
        <v>8.0808080808080808E-3</v>
      </c>
      <c r="AD68" s="3">
        <f t="shared" si="15"/>
        <v>8.2477669254528759E-3</v>
      </c>
      <c r="AE68" s="3">
        <f t="shared" si="15"/>
        <v>8.384237633249492E-3</v>
      </c>
      <c r="AF68" s="3">
        <f t="shared" si="15"/>
        <v>8.4940312213039482E-3</v>
      </c>
      <c r="AG68" s="3">
        <f t="shared" si="15"/>
        <v>8.5803489439853081E-3</v>
      </c>
      <c r="AH68" s="3">
        <f t="shared" si="15"/>
        <v>8.6458995549904653E-3</v>
      </c>
      <c r="AI68" s="3">
        <f t="shared" si="15"/>
        <v>8.6929905111723296E-3</v>
      </c>
      <c r="AJ68" s="3">
        <f t="shared" si="15"/>
        <v>8.7235996326905426E-3</v>
      </c>
      <c r="AK68" s="3">
        <f t="shared" si="15"/>
        <v>8.7394319369240997E-3</v>
      </c>
      <c r="AL68" s="3">
        <f t="shared" si="15"/>
        <v>8.7419651056014694E-3</v>
      </c>
      <c r="AM68" s="3">
        <f t="shared" si="15"/>
        <v>8.7324861518409905E-3</v>
      </c>
      <c r="AN68" s="3">
        <f t="shared" si="15"/>
        <v>8.712121212121211E-3</v>
      </c>
      <c r="AO68" s="3">
        <f t="shared" si="15"/>
        <v>8.6818599215293425E-3</v>
      </c>
      <c r="AP68" s="3">
        <f t="shared" si="15"/>
        <v>8.6425754874952746E-3</v>
      </c>
      <c r="AQ68" s="3">
        <f t="shared" si="15"/>
        <v>8.5950413223140499E-3</v>
      </c>
      <c r="AR68" s="3">
        <f t="shared" si="15"/>
        <v>8.5399449035812661E-3</v>
      </c>
      <c r="AS68" s="3">
        <f t="shared" si="15"/>
        <v>8.4778993869902963E-3</v>
      </c>
      <c r="AT68" s="3">
        <f t="shared" si="15"/>
        <v>8.4094533855299421E-3</v>
      </c>
      <c r="AU68" s="3">
        <f t="shared" si="15"/>
        <v>8.3350992441901528E-3</v>
      </c>
      <c r="AV68" s="3">
        <f t="shared" si="15"/>
        <v>8.2552800734618913E-3</v>
      </c>
      <c r="AW68" s="3">
        <f t="shared" si="15"/>
        <v>8.1703957535443142E-3</v>
      </c>
      <c r="AX68" s="3">
        <f t="shared" si="15"/>
        <v>8.0808080808080808E-3</v>
      </c>
      <c r="AY68" s="3">
        <f t="shared" si="15"/>
        <v>7.9868451961475212E-3</v>
      </c>
      <c r="AZ68" s="3">
        <f t="shared" si="15"/>
        <v>7.888805409466567E-3</v>
      </c>
      <c r="BA68" s="3">
        <f t="shared" si="15"/>
        <v>7.7869605142332418E-3</v>
      </c>
      <c r="BB68" s="3">
        <f t="shared" si="15"/>
        <v>7.6815586697009629E-3</v>
      </c>
      <c r="BC68" s="3">
        <f t="shared" si="15"/>
        <v>7.5728269151866838E-3</v>
      </c>
      <c r="BD68" s="3">
        <f t="shared" si="15"/>
        <v>7.4609733700642797E-3</v>
      </c>
      <c r="BE68" s="3">
        <f t="shared" si="15"/>
        <v>7.3461891643709825E-3</v>
      </c>
      <c r="BF68" s="3">
        <f t="shared" si="15"/>
        <v>7.2286501377410474E-3</v>
      </c>
      <c r="BG68" s="3">
        <f t="shared" si="15"/>
        <v>7.1085183384648623E-3</v>
      </c>
      <c r="BH68" s="3">
        <f t="shared" si="15"/>
        <v>6.9859433495797147E-3</v>
      </c>
      <c r="BI68" s="3">
        <f t="shared" si="15"/>
        <v>6.8610634648370496E-3</v>
      </c>
      <c r="BJ68" s="3">
        <f t="shared" si="15"/>
        <v>6.7340067340067346E-3</v>
      </c>
    </row>
    <row r="69" spans="15:62" x14ac:dyDescent="0.25">
      <c r="O69" s="104"/>
      <c r="P69" s="2">
        <v>10</v>
      </c>
      <c r="Q69" s="3">
        <f t="shared" si="14"/>
        <v>0</v>
      </c>
      <c r="R69" s="3">
        <f t="shared" si="15"/>
        <v>1.6120803999591878E-3</v>
      </c>
      <c r="S69" s="3">
        <f t="shared" si="15"/>
        <v>2.9218957249260284E-3</v>
      </c>
      <c r="T69" s="3">
        <f t="shared" si="15"/>
        <v>3.9991994537449081E-3</v>
      </c>
      <c r="U69" s="3">
        <f t="shared" si="15"/>
        <v>4.8938154998761059E-3</v>
      </c>
      <c r="V69" s="3">
        <f t="shared" si="15"/>
        <v>5.6422813998571577E-3</v>
      </c>
      <c r="W69" s="3">
        <f t="shared" si="15"/>
        <v>6.2720003060912155E-3</v>
      </c>
      <c r="X69" s="3">
        <f t="shared" si="15"/>
        <v>6.803927570415984E-3</v>
      </c>
      <c r="Y69" s="3">
        <f t="shared" si="15"/>
        <v>7.2543617998163451E-3</v>
      </c>
      <c r="Z69" s="3">
        <f t="shared" si="15"/>
        <v>7.6361703155961537E-3</v>
      </c>
      <c r="AA69" s="3">
        <f t="shared" si="15"/>
        <v>7.9596469747984892E-3</v>
      </c>
      <c r="AB69" s="3">
        <f t="shared" si="15"/>
        <v>8.2331248997915673E-3</v>
      </c>
      <c r="AC69" s="3">
        <f t="shared" si="15"/>
        <v>8.4634220997857369E-3</v>
      </c>
      <c r="AD69" s="3">
        <f t="shared" si="15"/>
        <v>8.6561708432591183E-3</v>
      </c>
      <c r="AE69" s="3">
        <f t="shared" si="15"/>
        <v>8.8160646872768086E-3</v>
      </c>
      <c r="AF69" s="3">
        <f t="shared" si="15"/>
        <v>8.947046219773493E-3</v>
      </c>
      <c r="AG69" s="3">
        <f t="shared" si="15"/>
        <v>9.0524514766939027E-3</v>
      </c>
      <c r="AH69" s="3">
        <f t="shared" si="15"/>
        <v>9.1351222664353988E-3</v>
      </c>
      <c r="AI69" s="3">
        <f t="shared" si="15"/>
        <v>9.1974944247671525E-3</v>
      </c>
      <c r="AJ69" s="3">
        <f t="shared" si="15"/>
        <v>9.2416678101108606E-3</v>
      </c>
      <c r="AK69" s="3">
        <f t="shared" si="15"/>
        <v>9.2694622997653315E-3</v>
      </c>
      <c r="AL69" s="3">
        <f t="shared" si="15"/>
        <v>9.2824629481520985E-3</v>
      </c>
      <c r="AM69" s="3">
        <f t="shared" si="15"/>
        <v>9.2820566778900118E-3</v>
      </c>
      <c r="AN69" s="3">
        <f t="shared" si="15"/>
        <v>9.2694622997653298E-3</v>
      </c>
      <c r="AO69" s="3">
        <f t="shared" si="15"/>
        <v>9.2457552350600474E-3</v>
      </c>
      <c r="AP69" s="3">
        <f t="shared" si="15"/>
        <v>9.2118879997667904E-3</v>
      </c>
      <c r="AQ69" s="3">
        <f t="shared" si="15"/>
        <v>9.1687072747678802E-3</v>
      </c>
      <c r="AR69" s="3">
        <f t="shared" si="15"/>
        <v>9.1169682078773E-3</v>
      </c>
      <c r="AS69" s="3">
        <f t="shared" si="15"/>
        <v>9.0573464576654376E-3</v>
      </c>
      <c r="AT69" s="3">
        <f t="shared" si="15"/>
        <v>8.9904483843877801E-3</v>
      </c>
      <c r="AU69" s="3">
        <f t="shared" si="15"/>
        <v>8.9168197122742564E-3</v>
      </c>
      <c r="AV69" s="3">
        <f t="shared" si="15"/>
        <v>8.8369529241665232E-3</v>
      </c>
      <c r="AW69" s="3">
        <f t="shared" si="15"/>
        <v>8.7512935997784494E-3</v>
      </c>
      <c r="AX69" s="3">
        <f t="shared" si="15"/>
        <v>8.660245869548196E-3</v>
      </c>
      <c r="AY69" s="3">
        <f t="shared" si="15"/>
        <v>8.5641771247831847E-3</v>
      </c>
      <c r="AZ69" s="3">
        <f t="shared" si="15"/>
        <v>8.4634220997857369E-3</v>
      </c>
      <c r="BA69" s="3">
        <f t="shared" si="15"/>
        <v>8.3582864215275294E-3</v>
      </c>
      <c r="BB69" s="3">
        <f t="shared" si="15"/>
        <v>8.2490497061741431E-3</v>
      </c>
      <c r="BC69" s="3">
        <f t="shared" si="15"/>
        <v>8.1359682685440259E-3</v>
      </c>
      <c r="BD69" s="3">
        <f t="shared" si="15"/>
        <v>8.0192774997969816E-3</v>
      </c>
      <c r="BE69" s="3">
        <f t="shared" si="15"/>
        <v>7.8991939598000212E-3</v>
      </c>
      <c r="BF69" s="3">
        <f t="shared" si="15"/>
        <v>7.7759172233325532E-3</v>
      </c>
      <c r="BG69" s="3">
        <f t="shared" si="15"/>
        <v>7.6496315132678766E-3</v>
      </c>
      <c r="BH69" s="3">
        <f t="shared" si="15"/>
        <v>7.520507148866212E-3</v>
      </c>
      <c r="BI69" s="3">
        <f t="shared" si="15"/>
        <v>7.3887018331462778E-3</v>
      </c>
      <c r="BJ69" s="3">
        <f t="shared" si="15"/>
        <v>7.2543617998163459E-3</v>
      </c>
    </row>
    <row r="70" spans="15:62" x14ac:dyDescent="0.25">
      <c r="O70" s="104"/>
      <c r="P70" s="2">
        <v>11</v>
      </c>
      <c r="Q70" s="3">
        <f t="shared" si="14"/>
        <v>0</v>
      </c>
      <c r="R70" s="3">
        <f t="shared" si="15"/>
        <v>1.6049382716049384E-3</v>
      </c>
      <c r="S70" s="3">
        <f t="shared" si="15"/>
        <v>2.9292929292929299E-3</v>
      </c>
      <c r="T70" s="3">
        <f t="shared" si="15"/>
        <v>4.0331890331890335E-3</v>
      </c>
      <c r="U70" s="3">
        <f t="shared" si="15"/>
        <v>4.9607182940516279E-3</v>
      </c>
      <c r="V70" s="3">
        <f t="shared" si="15"/>
        <v>5.7449494949494946E-3</v>
      </c>
      <c r="W70" s="3">
        <f t="shared" si="15"/>
        <v>6.4111705288175877E-3</v>
      </c>
      <c r="X70" s="3">
        <f t="shared" si="15"/>
        <v>6.979049756827534E-3</v>
      </c>
      <c r="Y70" s="3">
        <f t="shared" si="15"/>
        <v>7.4641148325358848E-3</v>
      </c>
      <c r="Z70" s="3">
        <f t="shared" si="15"/>
        <v>7.8787878787878792E-3</v>
      </c>
      <c r="AA70" s="3">
        <f t="shared" si="15"/>
        <v>8.2331248997915673E-3</v>
      </c>
      <c r="AB70" s="3">
        <f t="shared" si="15"/>
        <v>8.5353535353535365E-3</v>
      </c>
      <c r="AC70" s="3">
        <f t="shared" si="15"/>
        <v>8.7922705314009662E-3</v>
      </c>
      <c r="AD70" s="3">
        <f t="shared" si="15"/>
        <v>9.0095398428731762E-3</v>
      </c>
      <c r="AE70" s="3">
        <f t="shared" si="15"/>
        <v>9.1919191919191921E-3</v>
      </c>
      <c r="AF70" s="3">
        <f t="shared" si="15"/>
        <v>9.3434343434343429E-3</v>
      </c>
      <c r="AG70" s="3">
        <f t="shared" si="15"/>
        <v>9.4675146526998384E-3</v>
      </c>
      <c r="AH70" s="3">
        <f t="shared" si="15"/>
        <v>9.5670995670995677E-3</v>
      </c>
      <c r="AI70" s="3">
        <f t="shared" si="15"/>
        <v>9.6447230929989566E-3</v>
      </c>
      <c r="AJ70" s="3">
        <f t="shared" si="15"/>
        <v>9.7025813692480367E-3</v>
      </c>
      <c r="AK70" s="3">
        <f t="shared" si="15"/>
        <v>9.7425871619420019E-3</v>
      </c>
      <c r="AL70" s="3">
        <f t="shared" si="15"/>
        <v>9.7664141414141419E-3</v>
      </c>
      <c r="AM70" s="3">
        <f t="shared" si="15"/>
        <v>9.7755331088664431E-3</v>
      </c>
      <c r="AN70" s="3">
        <f t="shared" si="15"/>
        <v>9.7712418300653584E-3</v>
      </c>
      <c r="AO70" s="3">
        <f t="shared" si="15"/>
        <v>9.7546897546897538E-3</v>
      </c>
      <c r="AP70" s="3">
        <f t="shared" si="15"/>
        <v>9.7268986157875072E-3</v>
      </c>
      <c r="AQ70" s="3">
        <f t="shared" si="15"/>
        <v>9.6887796887796893E-3</v>
      </c>
      <c r="AR70" s="3">
        <f t="shared" si="15"/>
        <v>9.6411483253588531E-3</v>
      </c>
      <c r="AS70" s="3">
        <f t="shared" si="15"/>
        <v>9.5847362514029175E-3</v>
      </c>
      <c r="AT70" s="3">
        <f t="shared" si="15"/>
        <v>9.5202020202020225E-3</v>
      </c>
      <c r="AU70" s="3">
        <f t="shared" si="15"/>
        <v>9.4481399359448125E-3</v>
      </c>
      <c r="AV70" s="3">
        <f t="shared" ref="R70:BJ76" si="16">IFERROR((VLOOKUP($P70,$D$15:$E$60,2,FALSE)*VLOOKUP(AV$8,$B$15:$C$60,2,FALSE))/($P70+AV$58),0)</f>
        <v>9.3690877024210362E-3</v>
      </c>
      <c r="AW70" s="3">
        <f t="shared" si="16"/>
        <v>9.2835330044632371E-3</v>
      </c>
      <c r="AX70" s="3">
        <f t="shared" si="16"/>
        <v>9.1919191919191921E-3</v>
      </c>
      <c r="AY70" s="3">
        <f t="shared" si="16"/>
        <v>9.094650205761317E-3</v>
      </c>
      <c r="AZ70" s="3">
        <f t="shared" si="16"/>
        <v>8.9920948616600809E-3</v>
      </c>
      <c r="BA70" s="3">
        <f t="shared" si="16"/>
        <v>8.8845905867182481E-3</v>
      </c>
      <c r="BB70" s="3">
        <f t="shared" si="16"/>
        <v>8.7724466891133564E-3</v>
      </c>
      <c r="BC70" s="3">
        <f t="shared" si="16"/>
        <v>8.6559472273757994E-3</v>
      </c>
      <c r="BD70" s="3">
        <f t="shared" si="16"/>
        <v>8.5353535353535365E-3</v>
      </c>
      <c r="BE70" s="3">
        <f t="shared" si="16"/>
        <v>8.410906450122135E-3</v>
      </c>
      <c r="BF70" s="3">
        <f t="shared" si="16"/>
        <v>8.2828282828282824E-3</v>
      </c>
      <c r="BG70" s="3">
        <f t="shared" si="16"/>
        <v>8.1513245664189063E-3</v>
      </c>
      <c r="BH70" s="3">
        <f t="shared" si="16"/>
        <v>8.0165856091782024E-3</v>
      </c>
      <c r="BI70" s="3">
        <f t="shared" si="16"/>
        <v>7.8787878787878792E-3</v>
      </c>
      <c r="BJ70" s="3">
        <f t="shared" si="16"/>
        <v>7.7380952380952384E-3</v>
      </c>
    </row>
    <row r="71" spans="15:62" x14ac:dyDescent="0.25">
      <c r="O71" s="104"/>
      <c r="P71" s="2">
        <v>12</v>
      </c>
      <c r="Q71" s="3">
        <f t="shared" si="14"/>
        <v>0</v>
      </c>
      <c r="R71" s="3">
        <f t="shared" si="16"/>
        <v>1.5954415954415953E-3</v>
      </c>
      <c r="S71" s="3">
        <f t="shared" si="16"/>
        <v>2.9292929292929299E-3</v>
      </c>
      <c r="T71" s="3">
        <f t="shared" si="16"/>
        <v>4.0538720538720544E-3</v>
      </c>
      <c r="U71" s="3">
        <f t="shared" si="16"/>
        <v>5.008417508417508E-3</v>
      </c>
      <c r="V71" s="3">
        <f t="shared" si="16"/>
        <v>5.8229352346999396E-3</v>
      </c>
      <c r="W71" s="3">
        <f t="shared" si="16"/>
        <v>6.5207631874298544E-3</v>
      </c>
      <c r="X71" s="3">
        <f t="shared" si="16"/>
        <v>7.1203260676944886E-3</v>
      </c>
      <c r="Y71" s="3">
        <f t="shared" si="16"/>
        <v>7.6363636363636373E-3</v>
      </c>
      <c r="Z71" s="3">
        <f t="shared" si="16"/>
        <v>8.0808080808080808E-3</v>
      </c>
      <c r="AA71" s="3">
        <f t="shared" si="16"/>
        <v>8.4634220997857369E-3</v>
      </c>
      <c r="AB71" s="3">
        <f t="shared" si="16"/>
        <v>8.7922705314009662E-3</v>
      </c>
      <c r="AC71" s="3">
        <f t="shared" si="16"/>
        <v>9.0740740740740747E-3</v>
      </c>
      <c r="AD71" s="3">
        <f t="shared" si="16"/>
        <v>9.3144781144781138E-3</v>
      </c>
      <c r="AE71" s="3">
        <f t="shared" si="16"/>
        <v>9.518259518259518E-3</v>
      </c>
      <c r="AF71" s="3">
        <f t="shared" si="16"/>
        <v>9.689487467265244E-3</v>
      </c>
      <c r="AG71" s="3">
        <f t="shared" si="16"/>
        <v>9.8316498316498319E-3</v>
      </c>
      <c r="AH71" s="3">
        <f t="shared" si="16"/>
        <v>9.9477533960292564E-3</v>
      </c>
      <c r="AI71" s="3">
        <f t="shared" si="16"/>
        <v>1.0040404040404042E-2</v>
      </c>
      <c r="AJ71" s="3">
        <f t="shared" si="16"/>
        <v>1.0111871402193983E-2</v>
      </c>
      <c r="AK71" s="3">
        <f t="shared" si="16"/>
        <v>1.0164141414141415E-2</v>
      </c>
      <c r="AL71" s="3">
        <f t="shared" si="16"/>
        <v>1.0198959289868382E-2</v>
      </c>
      <c r="AM71" s="3">
        <f t="shared" si="16"/>
        <v>1.0217864923747278E-2</v>
      </c>
      <c r="AN71" s="3">
        <f t="shared" si="16"/>
        <v>1.0222222222222221E-2</v>
      </c>
      <c r="AO71" s="3">
        <f t="shared" si="16"/>
        <v>1.021324354657688E-2</v>
      </c>
      <c r="AP71" s="3">
        <f t="shared" si="16"/>
        <v>1.0192010192010194E-2</v>
      </c>
      <c r="AQ71" s="3">
        <f t="shared" si="16"/>
        <v>1.0159489633173844E-2</v>
      </c>
      <c r="AR71" s="3">
        <f t="shared" si="16"/>
        <v>1.0116550116550117E-2</v>
      </c>
      <c r="AS71" s="3">
        <f t="shared" si="16"/>
        <v>1.0063973063973063E-2</v>
      </c>
      <c r="AT71" s="3">
        <f t="shared" si="16"/>
        <v>1.0002463661000247E-2</v>
      </c>
      <c r="AU71" s="3">
        <f t="shared" si="16"/>
        <v>9.9326599326599319E-3</v>
      </c>
      <c r="AV71" s="3">
        <f t="shared" si="16"/>
        <v>9.855140552814971E-3</v>
      </c>
      <c r="AW71" s="3">
        <f t="shared" si="16"/>
        <v>9.7704315886134076E-3</v>
      </c>
      <c r="AX71" s="3">
        <f t="shared" si="16"/>
        <v>9.6790123456790122E-3</v>
      </c>
      <c r="AY71" s="3">
        <f t="shared" si="16"/>
        <v>9.5813204508856682E-3</v>
      </c>
      <c r="AZ71" s="3">
        <f t="shared" si="16"/>
        <v>9.4777562862669255E-3</v>
      </c>
      <c r="BA71" s="3">
        <f t="shared" si="16"/>
        <v>9.36868686868687E-3</v>
      </c>
      <c r="BB71" s="3">
        <f t="shared" si="16"/>
        <v>9.2544492544492547E-3</v>
      </c>
      <c r="BC71" s="3">
        <f t="shared" si="16"/>
        <v>9.1353535353535346E-3</v>
      </c>
      <c r="BD71" s="3">
        <f t="shared" si="16"/>
        <v>9.0116854822737177E-3</v>
      </c>
      <c r="BE71" s="3">
        <f t="shared" si="16"/>
        <v>8.8837088837088844E-3</v>
      </c>
      <c r="BF71" s="3">
        <f t="shared" si="16"/>
        <v>8.7516676195921479E-3</v>
      </c>
      <c r="BG71" s="3">
        <f t="shared" si="16"/>
        <v>8.6157875046763942E-3</v>
      </c>
      <c r="BH71" s="3">
        <f t="shared" si="16"/>
        <v>8.4762779308233862E-3</v>
      </c>
      <c r="BI71" s="3">
        <f t="shared" si="16"/>
        <v>8.3333333333333332E-3</v>
      </c>
      <c r="BJ71" s="3">
        <f t="shared" si="16"/>
        <v>8.1871345029239772E-3</v>
      </c>
    </row>
    <row r="72" spans="15:62" x14ac:dyDescent="0.25">
      <c r="O72" s="104"/>
      <c r="P72" s="2">
        <v>13</v>
      </c>
      <c r="Q72" s="3">
        <f t="shared" si="14"/>
        <v>0</v>
      </c>
      <c r="R72" s="3">
        <f t="shared" si="16"/>
        <v>1.5840949174282509E-3</v>
      </c>
      <c r="S72" s="3">
        <f t="shared" si="16"/>
        <v>2.9233751657994087E-3</v>
      </c>
      <c r="T72" s="3">
        <f t="shared" si="16"/>
        <v>4.0637434955616775E-3</v>
      </c>
      <c r="U72" s="3">
        <f t="shared" si="16"/>
        <v>5.0403020099989791E-3</v>
      </c>
      <c r="V72" s="3">
        <f t="shared" si="16"/>
        <v>5.8803523449988092E-3</v>
      </c>
      <c r="W72" s="3">
        <f t="shared" si="16"/>
        <v>6.6054484236302427E-3</v>
      </c>
      <c r="X72" s="3">
        <f t="shared" si="16"/>
        <v>7.2328333843485349E-3</v>
      </c>
      <c r="Y72" s="3">
        <f t="shared" si="16"/>
        <v>7.7764659582841393E-3</v>
      </c>
      <c r="Z72" s="3">
        <f t="shared" si="16"/>
        <v>8.2477669254528759E-3</v>
      </c>
      <c r="AA72" s="3">
        <f t="shared" si="16"/>
        <v>8.6561708432591183E-3</v>
      </c>
      <c r="AB72" s="3">
        <f t="shared" si="16"/>
        <v>9.0095398428731762E-3</v>
      </c>
      <c r="AC72" s="3">
        <f t="shared" si="16"/>
        <v>9.3144781144781138E-3</v>
      </c>
      <c r="AD72" s="3">
        <f t="shared" si="16"/>
        <v>9.5765738189980618E-3</v>
      </c>
      <c r="AE72" s="3">
        <f t="shared" si="16"/>
        <v>9.8005872416646826E-3</v>
      </c>
      <c r="AF72" s="3">
        <f t="shared" si="16"/>
        <v>9.9905986269622632E-3</v>
      </c>
      <c r="AG72" s="3">
        <f t="shared" si="16"/>
        <v>1.015012542703243E-2</v>
      </c>
      <c r="AH72" s="3">
        <f t="shared" si="16"/>
        <v>1.0282216100397918E-2</v>
      </c>
      <c r="AI72" s="3">
        <f t="shared" si="16"/>
        <v>1.0389525756094673E-2</v>
      </c>
      <c r="AJ72" s="3">
        <f t="shared" si="16"/>
        <v>1.0474377614529129E-2</v>
      </c>
      <c r="AK72" s="3">
        <f t="shared" si="16"/>
        <v>1.0538813293634231E-2</v>
      </c>
      <c r="AL72" s="3">
        <f t="shared" si="16"/>
        <v>1.0584634220997856E-2</v>
      </c>
      <c r="AM72" s="3">
        <f t="shared" si="16"/>
        <v>1.061343594676928E-2</v>
      </c>
      <c r="AN72" s="3">
        <f t="shared" si="16"/>
        <v>1.0626636737747849E-2</v>
      </c>
      <c r="AO72" s="3">
        <f t="shared" si="16"/>
        <v>1.0625501534592444E-2</v>
      </c>
      <c r="AP72" s="3">
        <f t="shared" si="16"/>
        <v>1.0611162126313642E-2</v>
      </c>
      <c r="AQ72" s="3">
        <f t="shared" si="16"/>
        <v>1.0584634220997856E-2</v>
      </c>
      <c r="AR72" s="3">
        <f t="shared" si="16"/>
        <v>1.0546831955922865E-2</v>
      </c>
      <c r="AS72" s="3">
        <f t="shared" si="16"/>
        <v>1.0498580284241778E-2</v>
      </c>
      <c r="AT72" s="3">
        <f t="shared" si="16"/>
        <v>1.0440625592140745E-2</v>
      </c>
      <c r="AU72" s="3">
        <f t="shared" si="16"/>
        <v>1.0373644834532783E-2</v>
      </c>
      <c r="AV72" s="3">
        <f t="shared" si="16"/>
        <v>1.0298253424975187E-2</v>
      </c>
      <c r="AW72" s="3">
        <f t="shared" si="16"/>
        <v>1.0215012073597932E-2</v>
      </c>
      <c r="AX72" s="3">
        <f t="shared" si="16"/>
        <v>1.0124432733128385E-2</v>
      </c>
      <c r="AY72" s="3">
        <f t="shared" si="16"/>
        <v>1.0026983785849033E-2</v>
      </c>
      <c r="AZ72" s="3">
        <f t="shared" si="16"/>
        <v>9.9230945821854911E-3</v>
      </c>
      <c r="BA72" s="3">
        <f t="shared" si="16"/>
        <v>9.8131594235490345E-3</v>
      </c>
      <c r="BB72" s="3">
        <f t="shared" si="16"/>
        <v>9.6975410672380368E-3</v>
      </c>
      <c r="BC72" s="3">
        <f t="shared" si="16"/>
        <v>9.5765738189980618E-3</v>
      </c>
      <c r="BD72" s="3">
        <f t="shared" si="16"/>
        <v>9.4505662687480868E-3</v>
      </c>
      <c r="BE72" s="3">
        <f t="shared" si="16"/>
        <v>9.319803716601887E-3</v>
      </c>
      <c r="BF72" s="3">
        <f t="shared" si="16"/>
        <v>9.1845503293314732E-3</v>
      </c>
      <c r="BG72" s="3">
        <f t="shared" si="16"/>
        <v>9.045051061579986E-3</v>
      </c>
      <c r="BH72" s="3">
        <f t="shared" si="16"/>
        <v>8.9015333712303413E-3</v>
      </c>
      <c r="BI72" s="3">
        <f t="shared" si="16"/>
        <v>8.7542087542087539E-3</v>
      </c>
      <c r="BJ72" s="3">
        <f t="shared" si="16"/>
        <v>8.6032741205154997E-3</v>
      </c>
    </row>
    <row r="73" spans="15:62" x14ac:dyDescent="0.25">
      <c r="O73" s="104"/>
      <c r="P73" s="2">
        <v>14</v>
      </c>
      <c r="Q73" s="3">
        <f t="shared" si="14"/>
        <v>0</v>
      </c>
      <c r="R73" s="3">
        <f t="shared" si="16"/>
        <v>1.5712682379349046E-3</v>
      </c>
      <c r="S73" s="3">
        <f t="shared" si="16"/>
        <v>2.9126492194674015E-3</v>
      </c>
      <c r="T73" s="3">
        <f t="shared" si="16"/>
        <v>4.0647112839626211E-3</v>
      </c>
      <c r="U73" s="3">
        <f t="shared" si="16"/>
        <v>5.059007584260109E-3</v>
      </c>
      <c r="V73" s="3">
        <f t="shared" si="16"/>
        <v>5.9204485041805602E-3</v>
      </c>
      <c r="W73" s="3">
        <f t="shared" si="16"/>
        <v>6.6689623507805327E-3</v>
      </c>
      <c r="X73" s="3">
        <f t="shared" si="16"/>
        <v>7.3206815631058049E-3</v>
      </c>
      <c r="Y73" s="3">
        <f t="shared" si="16"/>
        <v>7.8888054094665653E-3</v>
      </c>
      <c r="Z73" s="3">
        <f t="shared" si="16"/>
        <v>8.384237633249492E-3</v>
      </c>
      <c r="AA73" s="3">
        <f t="shared" si="16"/>
        <v>8.8160646872768086E-3</v>
      </c>
      <c r="AB73" s="3">
        <f t="shared" si="16"/>
        <v>9.1919191919191921E-3</v>
      </c>
      <c r="AC73" s="3">
        <f t="shared" si="16"/>
        <v>9.518259518259518E-3</v>
      </c>
      <c r="AD73" s="3">
        <f t="shared" si="16"/>
        <v>9.8005872416646826E-3</v>
      </c>
      <c r="AE73" s="3">
        <f t="shared" si="16"/>
        <v>1.0043617998163451E-2</v>
      </c>
      <c r="AF73" s="3">
        <f t="shared" si="16"/>
        <v>1.0251416991228902E-2</v>
      </c>
      <c r="AG73" s="3">
        <f t="shared" si="16"/>
        <v>1.0427507397204366E-2</v>
      </c>
      <c r="AH73" s="3">
        <f t="shared" si="16"/>
        <v>1.0574957789034035E-2</v>
      </c>
      <c r="AI73" s="3">
        <f t="shared" si="16"/>
        <v>1.0696453168044077E-2</v>
      </c>
      <c r="AJ73" s="3">
        <f t="shared" si="16"/>
        <v>1.0794353080854458E-2</v>
      </c>
      <c r="AK73" s="3">
        <f t="shared" si="16"/>
        <v>1.0870739480365149E-2</v>
      </c>
      <c r="AL73" s="3">
        <f t="shared" si="16"/>
        <v>1.0927456382001835E-2</v>
      </c>
      <c r="AM73" s="3">
        <f t="shared" si="16"/>
        <v>1.0966142910587355E-2</v>
      </c>
      <c r="AN73" s="3">
        <f t="shared" si="16"/>
        <v>1.0988260988260987E-2</v>
      </c>
      <c r="AO73" s="3">
        <f t="shared" si="16"/>
        <v>1.0995118650621041E-2</v>
      </c>
      <c r="AP73" s="3">
        <f t="shared" si="16"/>
        <v>1.0987889775768565E-2</v>
      </c>
      <c r="AQ73" s="3">
        <f t="shared" si="16"/>
        <v>1.0967630853994489E-2</v>
      </c>
      <c r="AR73" s="3">
        <f t="shared" si="16"/>
        <v>1.0935295303366257E-2</v>
      </c>
      <c r="AS73" s="3">
        <f t="shared" si="16"/>
        <v>1.0891745740230588E-2</v>
      </c>
      <c r="AT73" s="3">
        <f t="shared" si="16"/>
        <v>1.0837764537553122E-2</v>
      </c>
      <c r="AU73" s="3">
        <f t="shared" si="16"/>
        <v>1.0774062943484429E-2</v>
      </c>
      <c r="AV73" s="3">
        <f t="shared" si="16"/>
        <v>1.0701288984117265E-2</v>
      </c>
      <c r="AW73" s="3">
        <f t="shared" si="16"/>
        <v>1.0620034335449354E-2</v>
      </c>
      <c r="AX73" s="3">
        <f t="shared" si="16"/>
        <v>1.053084031807436E-2</v>
      </c>
      <c r="AY73" s="3">
        <f t="shared" si="16"/>
        <v>1.0434203142536473E-2</v>
      </c>
      <c r="AZ73" s="3">
        <f t="shared" si="16"/>
        <v>1.0330578512396695E-2</v>
      </c>
      <c r="BA73" s="3">
        <f t="shared" si="16"/>
        <v>1.022038567493113E-2</v>
      </c>
      <c r="BB73" s="3">
        <f t="shared" si="16"/>
        <v>1.0104010995276594E-2</v>
      </c>
      <c r="BC73" s="3">
        <f t="shared" si="16"/>
        <v>9.9818111181747531E-3</v>
      </c>
      <c r="BD73" s="3">
        <f t="shared" si="16"/>
        <v>9.8541157717830091E-3</v>
      </c>
      <c r="BE73" s="3">
        <f t="shared" si="16"/>
        <v>9.7212302599507978E-3</v>
      </c>
      <c r="BF73" s="3">
        <f t="shared" si="16"/>
        <v>9.5834376826112351E-3</v>
      </c>
      <c r="BG73" s="3">
        <f t="shared" si="16"/>
        <v>9.4410009182736444E-3</v>
      </c>
      <c r="BH73" s="3">
        <f t="shared" si="16"/>
        <v>9.2941643978326598E-3</v>
      </c>
      <c r="BI73" s="3">
        <f t="shared" si="16"/>
        <v>9.1431556948798325E-3</v>
      </c>
      <c r="BJ73" s="3">
        <f t="shared" si="16"/>
        <v>8.9881869542886485E-3</v>
      </c>
    </row>
    <row r="74" spans="15:62" x14ac:dyDescent="0.25">
      <c r="O74" s="104"/>
      <c r="P74" s="2">
        <v>15</v>
      </c>
      <c r="Q74" s="3">
        <f t="shared" si="14"/>
        <v>0</v>
      </c>
      <c r="R74" s="3">
        <f t="shared" si="16"/>
        <v>1.5572390572390572E-3</v>
      </c>
      <c r="S74" s="3">
        <f t="shared" si="16"/>
        <v>2.8979635931507589E-3</v>
      </c>
      <c r="T74" s="3">
        <f t="shared" si="16"/>
        <v>4.0582593612896638E-3</v>
      </c>
      <c r="U74" s="3">
        <f t="shared" si="16"/>
        <v>5.0666151144620033E-3</v>
      </c>
      <c r="V74" s="3">
        <f t="shared" si="16"/>
        <v>5.9458218549127625E-3</v>
      </c>
      <c r="W74" s="3">
        <f t="shared" si="16"/>
        <v>6.7143294416021678E-3</v>
      </c>
      <c r="X74" s="3">
        <f t="shared" si="16"/>
        <v>7.3872332136794942E-3</v>
      </c>
      <c r="Y74" s="3">
        <f t="shared" si="16"/>
        <v>7.9770032339202285E-3</v>
      </c>
      <c r="Z74" s="3">
        <f t="shared" si="16"/>
        <v>8.4940312213039482E-3</v>
      </c>
      <c r="AA74" s="3">
        <f t="shared" si="16"/>
        <v>8.947046219773493E-3</v>
      </c>
      <c r="AB74" s="3">
        <f t="shared" si="16"/>
        <v>9.3434343434343429E-3</v>
      </c>
      <c r="AC74" s="3">
        <f t="shared" si="16"/>
        <v>9.689487467265244E-3</v>
      </c>
      <c r="AD74" s="3">
        <f t="shared" si="16"/>
        <v>9.9905986269622632E-3</v>
      </c>
      <c r="AE74" s="3">
        <f t="shared" si="16"/>
        <v>1.0251416991228902E-2</v>
      </c>
      <c r="AF74" s="3">
        <f t="shared" si="16"/>
        <v>1.0475971839608201E-2</v>
      </c>
      <c r="AG74" s="3">
        <f t="shared" si="16"/>
        <v>1.0667772544605388E-2</v>
      </c>
      <c r="AH74" s="3">
        <f t="shared" si="16"/>
        <v>1.0829889807162534E-2</v>
      </c>
      <c r="AI74" s="3">
        <f t="shared" si="16"/>
        <v>1.0965022122046916E-2</v>
      </c>
      <c r="AJ74" s="3">
        <f t="shared" si="16"/>
        <v>1.1075550514053187E-2</v>
      </c>
      <c r="AK74" s="3">
        <f t="shared" si="16"/>
        <v>1.1163583890856617E-2</v>
      </c>
      <c r="AL74" s="3">
        <f t="shared" si="16"/>
        <v>1.1230996837057441E-2</v>
      </c>
      <c r="AM74" s="3">
        <f t="shared" si="16"/>
        <v>1.1279461279461278E-2</v>
      </c>
      <c r="AN74" s="3">
        <f t="shared" si="16"/>
        <v>1.1310473152578415E-2</v>
      </c>
      <c r="AO74" s="3">
        <f t="shared" si="16"/>
        <v>1.1325374961738596E-2</v>
      </c>
      <c r="AP74" s="3">
        <f t="shared" si="16"/>
        <v>1.1325374961738599E-2</v>
      </c>
      <c r="AQ74" s="3">
        <f t="shared" si="16"/>
        <v>1.1311563528858428E-2</v>
      </c>
      <c r="AR74" s="3">
        <f t="shared" si="16"/>
        <v>1.1284927194018102E-2</v>
      </c>
      <c r="AS74" s="3">
        <f t="shared" si="16"/>
        <v>1.124636071781949E-2</v>
      </c>
      <c r="AT74" s="3">
        <f t="shared" si="16"/>
        <v>1.1196677518991569E-2</v>
      </c>
      <c r="AU74" s="3">
        <f t="shared" si="16"/>
        <v>1.1136618712376286E-2</v>
      </c>
      <c r="AV74" s="3">
        <f t="shared" si="16"/>
        <v>1.1066860968046736E-2</v>
      </c>
      <c r="AW74" s="3">
        <f t="shared" si="16"/>
        <v>1.0988023367133618E-2</v>
      </c>
      <c r="AX74" s="3">
        <f t="shared" si="16"/>
        <v>1.0900673400673399E-2</v>
      </c>
      <c r="AY74" s="3">
        <f t="shared" si="16"/>
        <v>1.0805332233903661E-2</v>
      </c>
      <c r="AZ74" s="3">
        <f t="shared" si="16"/>
        <v>1.0702479338842974E-2</v>
      </c>
      <c r="BA74" s="3">
        <f t="shared" si="16"/>
        <v>1.0592556581861395E-2</v>
      </c>
      <c r="BB74" s="3">
        <f t="shared" si="16"/>
        <v>1.0475971839608201E-2</v>
      </c>
      <c r="BC74" s="3">
        <f t="shared" si="16"/>
        <v>1.035310220558934E-2</v>
      </c>
      <c r="BD74" s="3">
        <f t="shared" si="16"/>
        <v>1.0224296840458455E-2</v>
      </c>
      <c r="BE74" s="3">
        <f t="shared" si="16"/>
        <v>1.0089879511367113E-2</v>
      </c>
      <c r="BF74" s="3">
        <f t="shared" si="16"/>
        <v>9.9501508592417676E-3</v>
      </c>
      <c r="BG74" s="3">
        <f t="shared" si="16"/>
        <v>9.8053904273999962E-3</v>
      </c>
      <c r="BH74" s="3">
        <f t="shared" si="16"/>
        <v>9.6558584803098906E-3</v>
      </c>
      <c r="BI74" s="3">
        <f t="shared" si="16"/>
        <v>9.5017976373908564E-3</v>
      </c>
      <c r="BJ74" s="3">
        <f t="shared" si="16"/>
        <v>9.3434343434343429E-3</v>
      </c>
    </row>
    <row r="75" spans="15:62" x14ac:dyDescent="0.25">
      <c r="O75" s="104"/>
      <c r="P75" s="2">
        <v>16</v>
      </c>
      <c r="Q75" s="3">
        <f t="shared" si="14"/>
        <v>0</v>
      </c>
      <c r="R75" s="3">
        <f t="shared" si="16"/>
        <v>1.5422195814352678E-3</v>
      </c>
      <c r="S75" s="3">
        <f t="shared" si="16"/>
        <v>2.8799782335135874E-3</v>
      </c>
      <c r="T75" s="3">
        <f t="shared" si="16"/>
        <v>4.0455592608702661E-3</v>
      </c>
      <c r="U75" s="3">
        <f t="shared" si="16"/>
        <v>5.0647893072135498E-3</v>
      </c>
      <c r="V75" s="3">
        <f t="shared" si="16"/>
        <v>5.9585756555453522E-3</v>
      </c>
      <c r="W75" s="3">
        <f t="shared" si="16"/>
        <v>6.7440242646854224E-3</v>
      </c>
      <c r="X75" s="3">
        <f t="shared" si="16"/>
        <v>7.4352661440935481E-3</v>
      </c>
      <c r="Y75" s="3">
        <f t="shared" si="16"/>
        <v>8.0440771349862255E-3</v>
      </c>
      <c r="Z75" s="3">
        <f t="shared" si="16"/>
        <v>8.5803489439853081E-3</v>
      </c>
      <c r="AA75" s="3">
        <f t="shared" si="16"/>
        <v>9.0524514766939027E-3</v>
      </c>
      <c r="AB75" s="3">
        <f t="shared" si="16"/>
        <v>9.4675146526998384E-3</v>
      </c>
      <c r="AC75" s="3">
        <f t="shared" si="16"/>
        <v>9.8316498316498319E-3</v>
      </c>
      <c r="AD75" s="3">
        <f t="shared" si="16"/>
        <v>1.015012542703243E-2</v>
      </c>
      <c r="AE75" s="3">
        <f t="shared" si="16"/>
        <v>1.0427507397204366E-2</v>
      </c>
      <c r="AF75" s="3">
        <f t="shared" si="16"/>
        <v>1.0667772544605388E-2</v>
      </c>
      <c r="AG75" s="3">
        <f t="shared" si="16"/>
        <v>1.087440057137027E-2</v>
      </c>
      <c r="AH75" s="3">
        <f t="shared" si="16"/>
        <v>1.1050449397556835E-2</v>
      </c>
      <c r="AI75" s="3">
        <f t="shared" si="16"/>
        <v>1.1198617187922002E-2</v>
      </c>
      <c r="AJ75" s="3">
        <f t="shared" si="16"/>
        <v>1.1321293745536171E-2</v>
      </c>
      <c r="AK75" s="3">
        <f t="shared" si="16"/>
        <v>1.1420603339795259E-2</v>
      </c>
      <c r="AL75" s="3">
        <f t="shared" si="16"/>
        <v>1.1498440589349681E-2</v>
      </c>
      <c r="AM75" s="3">
        <f t="shared" si="16"/>
        <v>1.1556500679307698E-2</v>
      </c>
      <c r="AN75" s="3">
        <f t="shared" si="16"/>
        <v>1.1596304929638262E-2</v>
      </c>
      <c r="AO75" s="3">
        <f t="shared" si="16"/>
        <v>1.1619222528313437E-2</v>
      </c>
      <c r="AP75" s="3">
        <f t="shared" si="16"/>
        <v>1.1626489083990934E-2</v>
      </c>
      <c r="AQ75" s="3">
        <f t="shared" si="16"/>
        <v>1.1619222528313438E-2</v>
      </c>
      <c r="AR75" s="3">
        <f t="shared" si="16"/>
        <v>1.1598436799282465E-2</v>
      </c>
      <c r="AS75" s="3">
        <f t="shared" si="16"/>
        <v>1.1565053658717572E-2</v>
      </c>
      <c r="AT75" s="3">
        <f t="shared" si="16"/>
        <v>1.1519912934054351E-2</v>
      </c>
      <c r="AU75" s="3">
        <f t="shared" si="16"/>
        <v>1.1463781424255731E-2</v>
      </c>
      <c r="AV75" s="3">
        <f t="shared" si="16"/>
        <v>1.1397360668798451E-2</v>
      </c>
      <c r="AW75" s="3">
        <f t="shared" si="16"/>
        <v>1.1321293745536171E-2</v>
      </c>
      <c r="AX75" s="3">
        <f t="shared" si="16"/>
        <v>1.1236171236171237E-2</v>
      </c>
      <c r="AY75" s="3">
        <f t="shared" si="16"/>
        <v>1.1142536475869809E-2</v>
      </c>
      <c r="AZ75" s="3">
        <f t="shared" si="16"/>
        <v>1.1040890185275215E-2</v>
      </c>
      <c r="BA75" s="3">
        <f t="shared" si="16"/>
        <v>1.0931694568058205E-2</v>
      </c>
      <c r="BB75" s="3">
        <f t="shared" si="16"/>
        <v>1.0815376944593641E-2</v>
      </c>
      <c r="BC75" s="3">
        <f t="shared" si="16"/>
        <v>1.0692332981895271E-2</v>
      </c>
      <c r="BD75" s="3">
        <f t="shared" si="16"/>
        <v>1.0562929571194033E-2</v>
      </c>
      <c r="BE75" s="3">
        <f t="shared" si="16"/>
        <v>1.0427507397204367E-2</v>
      </c>
      <c r="BF75" s="3">
        <f t="shared" si="16"/>
        <v>1.028638323694145E-2</v>
      </c>
      <c r="BG75" s="3">
        <f t="shared" si="16"/>
        <v>1.0139852020729763E-2</v>
      </c>
      <c r="BH75" s="3">
        <f t="shared" si="16"/>
        <v>9.98818868361755E-3</v>
      </c>
      <c r="BI75" s="3">
        <f t="shared" si="16"/>
        <v>9.8316498316498319E-3</v>
      </c>
      <c r="BJ75" s="3">
        <f t="shared" si="16"/>
        <v>9.670475244245736E-3</v>
      </c>
    </row>
    <row r="76" spans="15:62" x14ac:dyDescent="0.25">
      <c r="O76" s="104"/>
      <c r="P76" s="2">
        <v>17</v>
      </c>
      <c r="Q76" s="3">
        <f t="shared" si="14"/>
        <v>0</v>
      </c>
      <c r="R76" s="3">
        <f t="shared" si="16"/>
        <v>1.5263748597081931E-3</v>
      </c>
      <c r="S76" s="3">
        <f t="shared" si="16"/>
        <v>2.8592141510801802E-3</v>
      </c>
      <c r="T76" s="3">
        <f t="shared" si="16"/>
        <v>4.0275482093663911E-3</v>
      </c>
      <c r="U76" s="3">
        <f t="shared" si="16"/>
        <v>5.0548777821505086E-3</v>
      </c>
      <c r="V76" s="3">
        <f t="shared" si="16"/>
        <v>5.9604307538191825E-3</v>
      </c>
      <c r="W76" s="3">
        <f t="shared" si="16"/>
        <v>6.7600910288657329E-3</v>
      </c>
      <c r="X76" s="3">
        <f t="shared" si="16"/>
        <v>7.467095194367921E-3</v>
      </c>
      <c r="Y76" s="3">
        <f t="shared" si="16"/>
        <v>8.0925619834710735E-3</v>
      </c>
      <c r="Z76" s="3">
        <f t="shared" si="16"/>
        <v>8.6458995549904653E-3</v>
      </c>
      <c r="AA76" s="3">
        <f t="shared" si="16"/>
        <v>9.1351222664353988E-3</v>
      </c>
      <c r="AB76" s="3">
        <f t="shared" si="16"/>
        <v>9.5670995670995677E-3</v>
      </c>
      <c r="AC76" s="3">
        <f t="shared" si="16"/>
        <v>9.9477533960292564E-3</v>
      </c>
      <c r="AD76" s="3">
        <f t="shared" si="16"/>
        <v>1.0282216100397918E-2</v>
      </c>
      <c r="AE76" s="3">
        <f t="shared" si="16"/>
        <v>1.0574957789034035E-2</v>
      </c>
      <c r="AF76" s="3">
        <f t="shared" si="16"/>
        <v>1.0829889807162534E-2</v>
      </c>
      <c r="AG76" s="3">
        <f t="shared" ref="R76:BJ81" si="17">IFERROR((VLOOKUP($P76,$D$15:$E$60,2,FALSE)*VLOOKUP(AG$8,$B$15:$C$60,2,FALSE))/($P76+AG$58),0)</f>
        <v>1.1050449397556835E-2</v>
      </c>
      <c r="AH76" s="3">
        <f t="shared" si="17"/>
        <v>1.1239669421487603E-2</v>
      </c>
      <c r="AI76" s="3">
        <f t="shared" si="17"/>
        <v>1.1400236127508855E-2</v>
      </c>
      <c r="AJ76" s="3">
        <f t="shared" si="17"/>
        <v>1.1534537292113048E-2</v>
      </c>
      <c r="AK76" s="3">
        <f t="shared" si="17"/>
        <v>1.1644702553793464E-2</v>
      </c>
      <c r="AL76" s="3">
        <f t="shared" si="17"/>
        <v>1.1732637378570393E-2</v>
      </c>
      <c r="AM76" s="3">
        <f t="shared" si="17"/>
        <v>1.18000518000518E-2</v>
      </c>
      <c r="AN76" s="3">
        <f t="shared" si="17"/>
        <v>1.1848484848484848E-2</v>
      </c>
      <c r="AO76" s="3">
        <f t="shared" si="17"/>
        <v>1.1879325404824295E-2</v>
      </c>
      <c r="AP76" s="3">
        <f t="shared" si="17"/>
        <v>1.1893830075648258E-2</v>
      </c>
      <c r="AQ76" s="3">
        <f t="shared" si="17"/>
        <v>1.1893138573899674E-2</v>
      </c>
      <c r="AR76" s="3">
        <f t="shared" si="17"/>
        <v>1.1878287002253945E-2</v>
      </c>
      <c r="AS76" s="3">
        <f t="shared" si="17"/>
        <v>1.185021936537088E-2</v>
      </c>
      <c r="AT76" s="3">
        <f t="shared" si="17"/>
        <v>1.180979758054857E-2</v>
      </c>
      <c r="AU76" s="3">
        <f t="shared" si="17"/>
        <v>1.1757810210421426E-2</v>
      </c>
      <c r="AV76" s="3">
        <f t="shared" si="17"/>
        <v>1.1694980104071011E-2</v>
      </c>
      <c r="AW76" s="3">
        <f t="shared" si="17"/>
        <v>1.1621971102490584E-2</v>
      </c>
      <c r="AX76" s="3">
        <f t="shared" si="17"/>
        <v>1.1539393939393938E-2</v>
      </c>
      <c r="AY76" s="3">
        <f t="shared" si="17"/>
        <v>1.1447811447811448E-2</v>
      </c>
      <c r="AZ76" s="3">
        <f t="shared" si="17"/>
        <v>1.1347743165924986E-2</v>
      </c>
      <c r="BA76" s="3">
        <f t="shared" si="17"/>
        <v>1.1239669421487604E-2</v>
      </c>
      <c r="BB76" s="3">
        <f t="shared" si="17"/>
        <v>1.1124034962418802E-2</v>
      </c>
      <c r="BC76" s="3">
        <f t="shared" si="17"/>
        <v>1.1001252191334836E-2</v>
      </c>
      <c r="BD76" s="3">
        <f t="shared" si="17"/>
        <v>1.0871704053522236E-2</v>
      </c>
      <c r="BE76" s="3">
        <f t="shared" si="17"/>
        <v>1.0735746620914083E-2</v>
      </c>
      <c r="BF76" s="3">
        <f t="shared" si="17"/>
        <v>1.0593711408758429E-2</v>
      </c>
      <c r="BG76" s="3">
        <f t="shared" si="17"/>
        <v>1.0445907456693279E-2</v>
      </c>
      <c r="BH76" s="3">
        <f t="shared" si="17"/>
        <v>1.0292623201714111E-2</v>
      </c>
      <c r="BI76" s="3">
        <f t="shared" si="17"/>
        <v>1.0134128166915052E-2</v>
      </c>
      <c r="BJ76" s="3">
        <f t="shared" si="17"/>
        <v>9.9706744868035182E-3</v>
      </c>
    </row>
    <row r="77" spans="15:62" x14ac:dyDescent="0.25">
      <c r="O77" s="104"/>
      <c r="P77" s="2">
        <v>18</v>
      </c>
      <c r="Q77" s="3">
        <f t="shared" si="14"/>
        <v>0</v>
      </c>
      <c r="R77" s="3">
        <f t="shared" si="17"/>
        <v>1.5098351940457206E-3</v>
      </c>
      <c r="S77" s="3">
        <f t="shared" si="17"/>
        <v>2.8360881542699732E-3</v>
      </c>
      <c r="T77" s="3">
        <f t="shared" si="17"/>
        <v>4.0049849140758233E-3</v>
      </c>
      <c r="U77" s="3">
        <f t="shared" si="17"/>
        <v>5.0379831371566907E-3</v>
      </c>
      <c r="V77" s="3">
        <f t="shared" si="17"/>
        <v>5.952808719607139E-3</v>
      </c>
      <c r="W77" s="3">
        <f t="shared" si="17"/>
        <v>6.7642332415059694E-3</v>
      </c>
      <c r="X77" s="3">
        <f t="shared" si="17"/>
        <v>7.4846648301193754E-3</v>
      </c>
      <c r="Y77" s="3">
        <f t="shared" si="17"/>
        <v>8.1246026700572162E-3</v>
      </c>
      <c r="Z77" s="3">
        <f t="shared" si="17"/>
        <v>8.6929905111723296E-3</v>
      </c>
      <c r="AA77" s="3">
        <f t="shared" si="17"/>
        <v>9.1974944247671525E-3</v>
      </c>
      <c r="AB77" s="3">
        <f t="shared" si="17"/>
        <v>9.6447230929989566E-3</v>
      </c>
      <c r="AC77" s="3">
        <f t="shared" si="17"/>
        <v>1.0040404040404042E-2</v>
      </c>
      <c r="AD77" s="3">
        <f t="shared" si="17"/>
        <v>1.0389525756094673E-2</v>
      </c>
      <c r="AE77" s="3">
        <f t="shared" si="17"/>
        <v>1.0696453168044077E-2</v>
      </c>
      <c r="AF77" s="3">
        <f t="shared" si="17"/>
        <v>1.0965022122046916E-2</v>
      </c>
      <c r="AG77" s="3">
        <f t="shared" si="17"/>
        <v>1.1198617187922002E-2</v>
      </c>
      <c r="AH77" s="3">
        <f t="shared" si="17"/>
        <v>1.1400236127508855E-2</v>
      </c>
      <c r="AI77" s="3">
        <f t="shared" si="17"/>
        <v>1.1572543617998164E-2</v>
      </c>
      <c r="AJ77" s="3">
        <f t="shared" si="17"/>
        <v>1.171791626337081E-2</v>
      </c>
      <c r="AK77" s="3">
        <f t="shared" si="17"/>
        <v>1.1838480498767581E-2</v>
      </c>
      <c r="AL77" s="3">
        <f t="shared" si="17"/>
        <v>1.1936144663417391E-2</v>
      </c>
      <c r="AM77" s="3">
        <f t="shared" si="17"/>
        <v>1.2012626262626263E-2</v>
      </c>
      <c r="AN77" s="3">
        <f t="shared" si="17"/>
        <v>1.2069475240206948E-2</v>
      </c>
      <c r="AO77" s="3">
        <f t="shared" si="17"/>
        <v>1.2108093926275744E-2</v>
      </c>
      <c r="AP77" s="3">
        <f t="shared" si="17"/>
        <v>1.212975420163581E-2</v>
      </c>
      <c r="AQ77" s="3">
        <f t="shared" si="17"/>
        <v>1.2135612321562737E-2</v>
      </c>
      <c r="AR77" s="3">
        <f t="shared" si="17"/>
        <v>1.2126721763085399E-2</v>
      </c>
      <c r="AS77" s="3">
        <f t="shared" si="17"/>
        <v>1.2104044396534515E-2</v>
      </c>
      <c r="AT77" s="3">
        <f t="shared" si="17"/>
        <v>1.2068460230936055E-2</v>
      </c>
      <c r="AU77" s="3">
        <f t="shared" si="17"/>
        <v>1.2020775941230487E-2</v>
      </c>
      <c r="AV77" s="3">
        <f t="shared" si="17"/>
        <v>1.1961732351342741E-2</v>
      </c>
      <c r="AW77" s="3">
        <f t="shared" si="17"/>
        <v>1.1892011019283747E-2</v>
      </c>
      <c r="AX77" s="3">
        <f t="shared" si="17"/>
        <v>1.1812240047534167E-2</v>
      </c>
      <c r="AY77" s="3">
        <f t="shared" si="17"/>
        <v>1.1722999222999223E-2</v>
      </c>
      <c r="AZ77" s="3">
        <f t="shared" si="17"/>
        <v>1.1624824575081866E-2</v>
      </c>
      <c r="BA77" s="3">
        <f t="shared" si="17"/>
        <v>1.1518212427303338E-2</v>
      </c>
      <c r="BB77" s="3">
        <f t="shared" si="17"/>
        <v>1.1403623006928792E-2</v>
      </c>
      <c r="BC77" s="3">
        <f t="shared" si="17"/>
        <v>1.1281483667847304E-2</v>
      </c>
      <c r="BD77" s="3">
        <f t="shared" si="17"/>
        <v>1.1152191774201344E-2</v>
      </c>
      <c r="BE77" s="3">
        <f t="shared" si="17"/>
        <v>1.1016117285709762E-2</v>
      </c>
      <c r="BF77" s="3">
        <f t="shared" si="17"/>
        <v>1.0873605080076575E-2</v>
      </c>
      <c r="BG77" s="3">
        <f t="shared" si="17"/>
        <v>1.0724977043158862E-2</v>
      </c>
      <c r="BH77" s="3">
        <f t="shared" si="17"/>
        <v>1.0570533953544388E-2</v>
      </c>
      <c r="BI77" s="3">
        <f t="shared" si="17"/>
        <v>1.0410557184750735E-2</v>
      </c>
      <c r="BJ77" s="3">
        <f t="shared" si="17"/>
        <v>1.0245310245310247E-2</v>
      </c>
    </row>
    <row r="78" spans="15:62" x14ac:dyDescent="0.25">
      <c r="O78" s="104"/>
      <c r="P78" s="2">
        <v>19</v>
      </c>
      <c r="Q78" s="3">
        <f t="shared" si="14"/>
        <v>0</v>
      </c>
      <c r="R78" s="3">
        <f t="shared" si="17"/>
        <v>1.4927048260381594E-3</v>
      </c>
      <c r="S78" s="3">
        <f t="shared" si="17"/>
        <v>2.8109376594225082E-3</v>
      </c>
      <c r="T78" s="3">
        <f t="shared" si="17"/>
        <v>3.9784901355149295E-3</v>
      </c>
      <c r="U78" s="3">
        <f t="shared" si="17"/>
        <v>5.0150162139621949E-3</v>
      </c>
      <c r="V78" s="3">
        <f t="shared" si="17"/>
        <v>5.9368941944699513E-3</v>
      </c>
      <c r="W78" s="3">
        <f t="shared" si="17"/>
        <v>6.7578818487909397E-3</v>
      </c>
      <c r="X78" s="3">
        <f t="shared" si="17"/>
        <v>7.4896203684082464E-3</v>
      </c>
      <c r="Y78" s="3">
        <f t="shared" si="17"/>
        <v>8.1420263238445052E-3</v>
      </c>
      <c r="Z78" s="3">
        <f t="shared" si="17"/>
        <v>8.7235996326905426E-3</v>
      </c>
      <c r="AA78" s="3">
        <f t="shared" si="17"/>
        <v>9.2416678101108606E-3</v>
      </c>
      <c r="AB78" s="3">
        <f t="shared" si="17"/>
        <v>9.7025813692480367E-3</v>
      </c>
      <c r="AC78" s="3">
        <f t="shared" si="17"/>
        <v>1.0111871402193983E-2</v>
      </c>
      <c r="AD78" s="3">
        <f t="shared" si="17"/>
        <v>1.0474377614529129E-2</v>
      </c>
      <c r="AE78" s="3">
        <f t="shared" si="17"/>
        <v>1.0794353080854458E-2</v>
      </c>
      <c r="AF78" s="3">
        <f t="shared" si="17"/>
        <v>1.1075550514053187E-2</v>
      </c>
      <c r="AG78" s="3">
        <f t="shared" si="17"/>
        <v>1.1321293745536171E-2</v>
      </c>
      <c r="AH78" s="3">
        <f t="shared" si="17"/>
        <v>1.1534537292113048E-2</v>
      </c>
      <c r="AI78" s="3">
        <f t="shared" si="17"/>
        <v>1.171791626337081E-2</v>
      </c>
      <c r="AJ78" s="3">
        <f t="shared" si="17"/>
        <v>1.1873788388939904E-2</v>
      </c>
      <c r="AK78" s="3">
        <f t="shared" si="17"/>
        <v>1.2004269580027156E-2</v>
      </c>
      <c r="AL78" s="3">
        <f t="shared" si="17"/>
        <v>1.2111264156718701E-2</v>
      </c>
      <c r="AM78" s="3">
        <f t="shared" si="17"/>
        <v>1.2196490651775204E-2</v>
      </c>
      <c r="AN78" s="3">
        <f t="shared" si="17"/>
        <v>1.2261503928170594E-2</v>
      </c>
      <c r="AO78" s="3">
        <f t="shared" si="17"/>
        <v>1.2307714210462624E-2</v>
      </c>
      <c r="AP78" s="3">
        <f t="shared" si="17"/>
        <v>1.2336403520976525E-2</v>
      </c>
      <c r="AQ78" s="3">
        <f t="shared" si="17"/>
        <v>1.23487399244975E-2</v>
      </c>
      <c r="AR78" s="3">
        <f t="shared" si="17"/>
        <v>1.2345789914959875E-2</v>
      </c>
      <c r="AS78" s="3">
        <f t="shared" si="17"/>
        <v>1.2328529220856751E-2</v>
      </c>
      <c r="AT78" s="3">
        <f t="shared" si="17"/>
        <v>1.2297852259973473E-2</v>
      </c>
      <c r="AU78" s="3">
        <f t="shared" si="17"/>
        <v>1.2254580436398616E-2</v>
      </c>
      <c r="AV78" s="3">
        <f t="shared" si="17"/>
        <v>1.2199469441893684E-2</v>
      </c>
      <c r="AW78" s="3">
        <f t="shared" si="17"/>
        <v>1.2133215698278087E-2</v>
      </c>
      <c r="AX78" s="3">
        <f t="shared" si="17"/>
        <v>1.2056462056462056E-2</v>
      </c>
      <c r="AY78" s="3">
        <f t="shared" si="17"/>
        <v>1.1969802850305994E-2</v>
      </c>
      <c r="AZ78" s="3">
        <f t="shared" si="17"/>
        <v>1.1873788388939906E-2</v>
      </c>
      <c r="BA78" s="3">
        <f t="shared" si="17"/>
        <v>1.1768928959011604E-2</v>
      </c>
      <c r="BB78" s="3">
        <f t="shared" si="17"/>
        <v>1.165569839812264E-2</v>
      </c>
      <c r="BC78" s="3">
        <f t="shared" si="17"/>
        <v>1.153453729211305E-2</v>
      </c>
      <c r="BD78" s="3">
        <f t="shared" si="17"/>
        <v>1.1405855841592519E-2</v>
      </c>
      <c r="BE78" s="3">
        <f t="shared" si="17"/>
        <v>1.1270036436959908E-2</v>
      </c>
      <c r="BF78" s="3">
        <f t="shared" si="17"/>
        <v>1.1127435975920825E-2</v>
      </c>
      <c r="BG78" s="3">
        <f t="shared" si="17"/>
        <v>1.0978387953052631E-2</v>
      </c>
      <c r="BH78" s="3">
        <f t="shared" si="17"/>
        <v>1.0823204347153517E-2</v>
      </c>
      <c r="BI78" s="3">
        <f t="shared" si="17"/>
        <v>1.0662177328843996E-2</v>
      </c>
      <c r="BJ78" s="3">
        <f t="shared" si="17"/>
        <v>1.0495580808080808E-2</v>
      </c>
    </row>
    <row r="79" spans="15:62" x14ac:dyDescent="0.25">
      <c r="O79" s="104"/>
      <c r="P79" s="2">
        <v>20</v>
      </c>
      <c r="Q79" s="3">
        <f t="shared" si="14"/>
        <v>0</v>
      </c>
      <c r="R79" s="3">
        <f t="shared" si="17"/>
        <v>1.4750681417348085E-3</v>
      </c>
      <c r="S79" s="3">
        <f t="shared" si="17"/>
        <v>2.7840387344519584E-3</v>
      </c>
      <c r="T79" s="3">
        <f t="shared" si="17"/>
        <v>3.9485766758494039E-3</v>
      </c>
      <c r="U79" s="3">
        <f t="shared" si="17"/>
        <v>4.986736047342108E-3</v>
      </c>
      <c r="V79" s="3">
        <f t="shared" si="17"/>
        <v>5.9136822773186402E-3</v>
      </c>
      <c r="W79" s="3">
        <f t="shared" si="17"/>
        <v>6.742247651338561E-3</v>
      </c>
      <c r="X79" s="3">
        <f t="shared" si="17"/>
        <v>7.4833633756192681E-3</v>
      </c>
      <c r="Y79" s="3">
        <f t="shared" si="17"/>
        <v>8.1463990554899654E-3</v>
      </c>
      <c r="Z79" s="3">
        <f t="shared" si="17"/>
        <v>8.7394319369240997E-3</v>
      </c>
      <c r="AA79" s="3">
        <f t="shared" si="17"/>
        <v>9.2694622997653315E-3</v>
      </c>
      <c r="AB79" s="3">
        <f t="shared" si="17"/>
        <v>9.7425871619420019E-3</v>
      </c>
      <c r="AC79" s="3">
        <f t="shared" si="17"/>
        <v>1.0164141414141415E-2</v>
      </c>
      <c r="AD79" s="3">
        <f t="shared" si="17"/>
        <v>1.0538813293634231E-2</v>
      </c>
      <c r="AE79" s="3">
        <f t="shared" si="17"/>
        <v>1.0870739480365149E-2</v>
      </c>
      <c r="AF79" s="3">
        <f t="shared" si="17"/>
        <v>1.1163583890856617E-2</v>
      </c>
      <c r="AG79" s="3">
        <f t="shared" si="17"/>
        <v>1.1420603339795259E-2</v>
      </c>
      <c r="AH79" s="3">
        <f t="shared" si="17"/>
        <v>1.1644702553793464E-2</v>
      </c>
      <c r="AI79" s="3">
        <f t="shared" si="17"/>
        <v>1.1838480498767581E-2</v>
      </c>
      <c r="AJ79" s="3">
        <f t="shared" si="17"/>
        <v>1.2004269580027156E-2</v>
      </c>
      <c r="AK79" s="3">
        <f t="shared" si="17"/>
        <v>1.2144168962350783E-2</v>
      </c>
      <c r="AL79" s="3">
        <f t="shared" si="17"/>
        <v>1.2260073013953281E-2</v>
      </c>
      <c r="AM79" s="3">
        <f t="shared" si="17"/>
        <v>1.2353695687029022E-2</v>
      </c>
      <c r="AN79" s="3">
        <f t="shared" si="17"/>
        <v>1.2426591496358939E-2</v>
      </c>
      <c r="AO79" s="3">
        <f t="shared" si="17"/>
        <v>1.2480173637198432E-2</v>
      </c>
      <c r="AP79" s="3">
        <f t="shared" si="17"/>
        <v>1.2515729687446863E-2</v>
      </c>
      <c r="AQ79" s="3">
        <f t="shared" si="17"/>
        <v>1.2534435261707989E-2</v>
      </c>
      <c r="AR79" s="3">
        <f t="shared" si="17"/>
        <v>1.2537365922278883E-2</v>
      </c>
      <c r="AS79" s="3">
        <f t="shared" si="17"/>
        <v>1.2525507601265176E-2</v>
      </c>
      <c r="AT79" s="3">
        <f t="shared" si="17"/>
        <v>1.2499765746518995E-2</v>
      </c>
      <c r="AU79" s="3">
        <f t="shared" si="17"/>
        <v>1.2460973370064278E-2</v>
      </c>
      <c r="AV79" s="3">
        <f t="shared" si="17"/>
        <v>1.2409898149648596E-2</v>
      </c>
      <c r="AW79" s="3">
        <f t="shared" si="17"/>
        <v>1.2347248710885076E-2</v>
      </c>
      <c r="AX79" s="3">
        <f t="shared" si="17"/>
        <v>1.2273680198208502E-2</v>
      </c>
      <c r="AY79" s="3">
        <f t="shared" si="17"/>
        <v>1.2189799226836264E-2</v>
      </c>
      <c r="AZ79" s="3">
        <f t="shared" si="17"/>
        <v>1.2096168294515404E-2</v>
      </c>
      <c r="BA79" s="3">
        <f t="shared" si="17"/>
        <v>1.199330972058245E-2</v>
      </c>
      <c r="BB79" s="3">
        <f t="shared" si="17"/>
        <v>1.1881709170385408E-2</v>
      </c>
      <c r="BC79" s="3">
        <f t="shared" si="17"/>
        <v>1.1761818815110351E-2</v>
      </c>
      <c r="BD79" s="3">
        <f t="shared" si="17"/>
        <v>1.1634060170269725E-2</v>
      </c>
      <c r="BE79" s="3">
        <f t="shared" si="17"/>
        <v>1.1498826650341801E-2</v>
      </c>
      <c r="BF79" s="3">
        <f t="shared" si="17"/>
        <v>1.1356485872134158E-2</v>
      </c>
      <c r="BG79" s="3">
        <f t="shared" si="17"/>
        <v>1.1207381735240975E-2</v>
      </c>
      <c r="BH79" s="3">
        <f t="shared" si="17"/>
        <v>1.1051836304361559E-2</v>
      </c>
      <c r="BI79" s="3">
        <f t="shared" si="17"/>
        <v>1.0890151515151516E-2</v>
      </c>
      <c r="BJ79" s="3">
        <f t="shared" si="17"/>
        <v>1.0722610722610723E-2</v>
      </c>
    </row>
    <row r="80" spans="15:62" x14ac:dyDescent="0.25">
      <c r="O80" s="104"/>
      <c r="P80" s="2">
        <v>21</v>
      </c>
      <c r="Q80" s="3">
        <f t="shared" si="14"/>
        <v>0</v>
      </c>
      <c r="R80" s="3">
        <f t="shared" si="17"/>
        <v>1.4569941842669117E-3</v>
      </c>
      <c r="S80" s="3">
        <f t="shared" si="17"/>
        <v>2.7556194354613327E-3</v>
      </c>
      <c r="T80" s="3">
        <f t="shared" si="17"/>
        <v>3.9156718702173252E-3</v>
      </c>
      <c r="U80" s="3">
        <f t="shared" si="17"/>
        <v>4.953780226507499E-3</v>
      </c>
      <c r="V80" s="3">
        <f t="shared" si="17"/>
        <v>5.884014974924065E-3</v>
      </c>
      <c r="W80" s="3">
        <f t="shared" si="17"/>
        <v>6.7183620718974258E-3</v>
      </c>
      <c r="X80" s="3">
        <f t="shared" si="17"/>
        <v>7.4670951943679202E-3</v>
      </c>
      <c r="Y80" s="3">
        <f t="shared" si="17"/>
        <v>8.139070960387575E-3</v>
      </c>
      <c r="Z80" s="3">
        <f t="shared" si="17"/>
        <v>8.7419651056014694E-3</v>
      </c>
      <c r="AA80" s="3">
        <f t="shared" si="17"/>
        <v>9.2824629481520985E-3</v>
      </c>
      <c r="AB80" s="3">
        <f t="shared" si="17"/>
        <v>9.7664141414141419E-3</v>
      </c>
      <c r="AC80" s="3">
        <f t="shared" si="17"/>
        <v>1.0198959289868382E-2</v>
      </c>
      <c r="AD80" s="3">
        <f t="shared" si="17"/>
        <v>1.0584634220997856E-2</v>
      </c>
      <c r="AE80" s="3">
        <f t="shared" si="17"/>
        <v>1.0927456382001835E-2</v>
      </c>
      <c r="AF80" s="3">
        <f t="shared" si="17"/>
        <v>1.1230996837057441E-2</v>
      </c>
      <c r="AG80" s="3">
        <f t="shared" si="17"/>
        <v>1.1498440589349681E-2</v>
      </c>
      <c r="AH80" s="3">
        <f t="shared" si="17"/>
        <v>1.1732637378570393E-2</v>
      </c>
      <c r="AI80" s="3">
        <f t="shared" si="17"/>
        <v>1.1936144663417391E-2</v>
      </c>
      <c r="AJ80" s="3">
        <f t="shared" si="17"/>
        <v>1.2111264156718701E-2</v>
      </c>
      <c r="AK80" s="3">
        <f t="shared" si="17"/>
        <v>1.2260073013953281E-2</v>
      </c>
      <c r="AL80" s="3">
        <f t="shared" si="17"/>
        <v>1.2384450566268749E-2</v>
      </c>
      <c r="AM80" s="3">
        <f t="shared" si="17"/>
        <v>1.2486101323310626E-2</v>
      </c>
      <c r="AN80" s="3">
        <f t="shared" si="17"/>
        <v>1.2566574839302109E-2</v>
      </c>
      <c r="AO80" s="3">
        <f t="shared" si="17"/>
        <v>1.2627282930313233E-2</v>
      </c>
      <c r="AP80" s="3">
        <f t="shared" si="17"/>
        <v>1.2669514645799233E-2</v>
      </c>
      <c r="AQ80" s="3">
        <f t="shared" si="17"/>
        <v>1.2694449328878728E-2</v>
      </c>
      <c r="AR80" s="3">
        <f t="shared" si="17"/>
        <v>1.2703168044077133E-2</v>
      </c>
      <c r="AS80" s="3">
        <f t="shared" si="17"/>
        <v>1.2696663605754515E-2</v>
      </c>
      <c r="AT80" s="3">
        <f t="shared" si="17"/>
        <v>1.2675849403122132E-2</v>
      </c>
      <c r="AU80" s="3">
        <f t="shared" si="17"/>
        <v>1.2641567187021731E-2</v>
      </c>
      <c r="AV80" s="3">
        <f t="shared" si="17"/>
        <v>1.2594593958230323E-2</v>
      </c>
      <c r="AW80" s="3">
        <f t="shared" si="17"/>
        <v>1.2535648075956824E-2</v>
      </c>
      <c r="AX80" s="3">
        <f t="shared" si="17"/>
        <v>1.2465394687616911E-2</v>
      </c>
      <c r="AY80" s="3">
        <f t="shared" si="17"/>
        <v>1.2384450566268749E-2</v>
      </c>
      <c r="AZ80" s="3">
        <f t="shared" si="17"/>
        <v>1.2293388429752066E-2</v>
      </c>
      <c r="BA80" s="3">
        <f t="shared" si="17"/>
        <v>1.2192740805180999E-2</v>
      </c>
      <c r="BB80" s="3">
        <f t="shared" si="17"/>
        <v>1.2083003493661801E-2</v>
      </c>
      <c r="BC80" s="3">
        <f t="shared" si="17"/>
        <v>1.1964638682666418E-2</v>
      </c>
      <c r="BD80" s="3">
        <f t="shared" si="17"/>
        <v>1.1838077747168656E-2</v>
      </c>
      <c r="BE80" s="3">
        <f t="shared" si="17"/>
        <v>1.1703723775258796E-2</v>
      </c>
      <c r="BF80" s="3">
        <f t="shared" si="17"/>
        <v>1.1561953849343878E-2</v>
      </c>
      <c r="BG80" s="3">
        <f t="shared" si="17"/>
        <v>1.1413121110090808E-2</v>
      </c>
      <c r="BH80" s="3">
        <f t="shared" si="17"/>
        <v>1.1257556626874809E-2</v>
      </c>
      <c r="BI80" s="3">
        <f t="shared" si="17"/>
        <v>1.1095571095571095E-2</v>
      </c>
      <c r="BJ80" s="3">
        <f t="shared" si="17"/>
        <v>1.0927456382001837E-2</v>
      </c>
    </row>
    <row r="81" spans="15:62" x14ac:dyDescent="0.25">
      <c r="O81" s="104"/>
      <c r="P81" s="2">
        <v>22</v>
      </c>
      <c r="Q81" s="3">
        <f t="shared" si="14"/>
        <v>0</v>
      </c>
      <c r="R81" s="3">
        <f t="shared" si="17"/>
        <v>1.438539989264627E-3</v>
      </c>
      <c r="S81" s="3">
        <f t="shared" si="17"/>
        <v>2.725869809203143E-3</v>
      </c>
      <c r="T81" s="3">
        <f t="shared" si="17"/>
        <v>3.8801346801346803E-3</v>
      </c>
      <c r="U81" s="3">
        <f t="shared" si="17"/>
        <v>4.916688250021584E-3</v>
      </c>
      <c r="V81" s="3">
        <f t="shared" si="17"/>
        <v>5.8486095523132553E-3</v>
      </c>
      <c r="W81" s="3">
        <f t="shared" si="17"/>
        <v>6.6871091871091876E-3</v>
      </c>
      <c r="X81" s="3">
        <f t="shared" si="17"/>
        <v>7.4418514648399705E-3</v>
      </c>
      <c r="Y81" s="3">
        <f t="shared" si="17"/>
        <v>8.1212121212121211E-3</v>
      </c>
      <c r="Z81" s="3">
        <f t="shared" si="17"/>
        <v>8.7324861518409905E-3</v>
      </c>
      <c r="AA81" s="3">
        <f t="shared" si="17"/>
        <v>9.2820566778900118E-3</v>
      </c>
      <c r="AB81" s="3">
        <f t="shared" si="17"/>
        <v>9.7755331088664431E-3</v>
      </c>
      <c r="AC81" s="3">
        <f t="shared" si="17"/>
        <v>1.0217864923747278E-2</v>
      </c>
      <c r="AD81" s="3">
        <f t="shared" si="17"/>
        <v>1.061343594676928E-2</v>
      </c>
      <c r="AE81" s="3">
        <f t="shared" si="17"/>
        <v>1.0966142910587355E-2</v>
      </c>
      <c r="AF81" s="3">
        <f t="shared" si="17"/>
        <v>1.1279461279461278E-2</v>
      </c>
      <c r="AG81" s="3">
        <f t="shared" si="17"/>
        <v>1.1556500679307698E-2</v>
      </c>
      <c r="AH81" s="3">
        <f t="shared" si="17"/>
        <v>1.18000518000518E-2</v>
      </c>
      <c r="AI81" s="3">
        <f t="shared" si="17"/>
        <v>1.2012626262626263E-2</v>
      </c>
      <c r="AJ81" s="3">
        <f t="shared" si="17"/>
        <v>1.2196490651775204E-2</v>
      </c>
      <c r="AK81" s="3">
        <f t="shared" si="17"/>
        <v>1.2353695687029022E-2</v>
      </c>
      <c r="AL81" s="3">
        <f t="shared" si="17"/>
        <v>1.2486101323310626E-2</v>
      </c>
      <c r="AM81" s="3">
        <f t="shared" si="17"/>
        <v>1.2595398428731763E-2</v>
      </c>
      <c r="AN81" s="3">
        <f t="shared" si="17"/>
        <v>1.2683127572016459E-2</v>
      </c>
      <c r="AO81" s="3">
        <f t="shared" si="17"/>
        <v>1.2750695359391013E-2</v>
      </c>
      <c r="AP81" s="3">
        <f t="shared" si="17"/>
        <v>1.279938868591351E-2</v>
      </c>
      <c r="AQ81" s="3">
        <f t="shared" si="17"/>
        <v>1.2830387205387206E-2</v>
      </c>
      <c r="AR81" s="3">
        <f t="shared" si="17"/>
        <v>1.2844774273345702E-2</v>
      </c>
      <c r="AS81" s="3">
        <f t="shared" si="17"/>
        <v>1.2843546576879909E-2</v>
      </c>
      <c r="AT81" s="3">
        <f t="shared" si="17"/>
        <v>1.2827622631544203E-2</v>
      </c>
      <c r="AU81" s="3">
        <f t="shared" si="17"/>
        <v>1.2797850297850298E-2</v>
      </c>
      <c r="AV81" s="3">
        <f t="shared" si="17"/>
        <v>1.2755013446837346E-2</v>
      </c>
      <c r="AW81" s="3">
        <f t="shared" si="17"/>
        <v>1.2699837885023071E-2</v>
      </c>
      <c r="AX81" s="3">
        <f t="shared" si="17"/>
        <v>1.2632996632996635E-2</v>
      </c>
      <c r="AY81" s="3">
        <f t="shared" si="17"/>
        <v>1.2555114638447971E-2</v>
      </c>
      <c r="AZ81" s="3">
        <f t="shared" si="17"/>
        <v>1.2466772993088784E-2</v>
      </c>
      <c r="BA81" s="3">
        <f t="shared" si="17"/>
        <v>1.23685127133403E-2</v>
      </c>
      <c r="BB81" s="3">
        <f t="shared" si="17"/>
        <v>1.2260838136544352E-2</v>
      </c>
      <c r="BC81" s="3">
        <f t="shared" si="17"/>
        <v>1.214421997755331E-2</v>
      </c>
      <c r="BD81" s="3">
        <f t="shared" si="17"/>
        <v>1.2019098084671857E-2</v>
      </c>
      <c r="BE81" s="3">
        <f t="shared" si="17"/>
        <v>1.1885883928894682E-2</v>
      </c>
      <c r="BF81" s="3">
        <f t="shared" si="17"/>
        <v>1.1744962856073966E-2</v>
      </c>
      <c r="BG81" s="3">
        <f t="shared" si="17"/>
        <v>1.1596696127946128E-2</v>
      </c>
      <c r="BH81" s="3">
        <f t="shared" si="17"/>
        <v>1.144142277475611E-2</v>
      </c>
      <c r="BI81" s="3">
        <f t="shared" si="17"/>
        <v>1.127946127946128E-2</v>
      </c>
      <c r="BJ81" s="3">
        <f t="shared" si="17"/>
        <v>1.1111111111111112E-2</v>
      </c>
    </row>
    <row r="82" spans="15:62" x14ac:dyDescent="0.25">
      <c r="O82" s="104"/>
      <c r="P82" s="2">
        <v>23</v>
      </c>
      <c r="Q82" s="3">
        <f t="shared" si="14"/>
        <v>0</v>
      </c>
      <c r="R82" s="3">
        <f t="shared" ref="R82:BJ87" si="18">IFERROR((VLOOKUP($P82,$D$15:$E$60,2,FALSE)*VLOOKUP(R$8,$B$15:$C$60,2,FALSE))/($P82+R$58),0)</f>
        <v>1.4197530864197532E-3</v>
      </c>
      <c r="S82" s="3">
        <f t="shared" si="18"/>
        <v>2.6949494949494949E-3</v>
      </c>
      <c r="T82" s="3">
        <f t="shared" si="18"/>
        <v>3.8422688422688417E-3</v>
      </c>
      <c r="U82" s="3">
        <f t="shared" si="18"/>
        <v>4.8759196907345046E-3</v>
      </c>
      <c r="V82" s="3">
        <f t="shared" si="18"/>
        <v>5.8080808080808064E-3</v>
      </c>
      <c r="W82" s="3">
        <f t="shared" si="18"/>
        <v>6.6492511320097522E-3</v>
      </c>
      <c r="X82" s="3">
        <f t="shared" si="18"/>
        <v>7.4085297418630741E-3</v>
      </c>
      <c r="Y82" s="3">
        <f t="shared" si="18"/>
        <v>8.0938416422287399E-3</v>
      </c>
      <c r="Z82" s="3">
        <f t="shared" si="18"/>
        <v>8.712121212121211E-3</v>
      </c>
      <c r="AA82" s="3">
        <f t="shared" si="18"/>
        <v>9.2694622997653298E-3</v>
      </c>
      <c r="AB82" s="3">
        <f t="shared" si="18"/>
        <v>9.7712418300653584E-3</v>
      </c>
      <c r="AC82" s="3">
        <f t="shared" si="18"/>
        <v>1.0222222222222221E-2</v>
      </c>
      <c r="AD82" s="3">
        <f t="shared" si="18"/>
        <v>1.0626636737747849E-2</v>
      </c>
      <c r="AE82" s="3">
        <f t="shared" si="18"/>
        <v>1.0988260988260987E-2</v>
      </c>
      <c r="AF82" s="3">
        <f t="shared" si="18"/>
        <v>1.1310473152578415E-2</v>
      </c>
      <c r="AG82" s="3">
        <f t="shared" si="18"/>
        <v>1.1596304929638262E-2</v>
      </c>
      <c r="AH82" s="3">
        <f t="shared" si="18"/>
        <v>1.1848484848484848E-2</v>
      </c>
      <c r="AI82" s="3">
        <f t="shared" si="18"/>
        <v>1.2069475240206948E-2</v>
      </c>
      <c r="AJ82" s="3">
        <f t="shared" si="18"/>
        <v>1.2261503928170594E-2</v>
      </c>
      <c r="AK82" s="3">
        <f t="shared" si="18"/>
        <v>1.2426591496358939E-2</v>
      </c>
      <c r="AL82" s="3">
        <f t="shared" si="18"/>
        <v>1.2566574839302109E-2</v>
      </c>
      <c r="AM82" s="3">
        <f t="shared" si="18"/>
        <v>1.2683127572016459E-2</v>
      </c>
      <c r="AN82" s="3">
        <f t="shared" si="18"/>
        <v>1.2777777777777777E-2</v>
      </c>
      <c r="AO82" s="3">
        <f t="shared" si="18"/>
        <v>1.285192349022136E-2</v>
      </c>
      <c r="AP82" s="3">
        <f t="shared" si="18"/>
        <v>1.2906846240179575E-2</v>
      </c>
      <c r="AQ82" s="3">
        <f t="shared" si="18"/>
        <v>1.2943722943722941E-2</v>
      </c>
      <c r="AR82" s="3">
        <f t="shared" si="18"/>
        <v>1.2963636363636361E-2</v>
      </c>
      <c r="AS82" s="3">
        <f t="shared" si="18"/>
        <v>1.296758434013336E-2</v>
      </c>
      <c r="AT82" s="3">
        <f t="shared" si="18"/>
        <v>1.2956487956487957E-2</v>
      </c>
      <c r="AU82" s="3">
        <f t="shared" si="18"/>
        <v>1.2931198780255381E-2</v>
      </c>
      <c r="AV82" s="3">
        <f t="shared" si="18"/>
        <v>1.2892505299912706E-2</v>
      </c>
      <c r="AW82" s="3">
        <f t="shared" si="18"/>
        <v>1.2841138659320477E-2</v>
      </c>
      <c r="AX82" s="3">
        <f t="shared" si="18"/>
        <v>1.2777777777777777E-2</v>
      </c>
      <c r="AY82" s="3">
        <f t="shared" si="18"/>
        <v>1.2703053931124106E-2</v>
      </c>
      <c r="AZ82" s="3">
        <f t="shared" si="18"/>
        <v>1.261755485893417E-2</v>
      </c>
      <c r="BA82" s="3">
        <f t="shared" si="18"/>
        <v>1.2521828454031844E-2</v>
      </c>
      <c r="BB82" s="3">
        <f t="shared" si="18"/>
        <v>1.241638608305275E-2</v>
      </c>
      <c r="BC82" s="3">
        <f t="shared" si="18"/>
        <v>1.2301705580394104E-2</v>
      </c>
      <c r="BD82" s="3">
        <f t="shared" si="18"/>
        <v>1.21782339524275E-2</v>
      </c>
      <c r="BE82" s="3">
        <f t="shared" si="18"/>
        <v>1.20463898241676E-2</v>
      </c>
      <c r="BF82" s="3">
        <f t="shared" si="18"/>
        <v>1.1906565656565655E-2</v>
      </c>
      <c r="BG82" s="3">
        <f t="shared" si="18"/>
        <v>1.1759129759129759E-2</v>
      </c>
      <c r="BH82" s="3">
        <f t="shared" si="18"/>
        <v>1.1604428119579636E-2</v>
      </c>
      <c r="BI82" s="3">
        <f t="shared" si="18"/>
        <v>1.1442786069651741E-2</v>
      </c>
      <c r="BJ82" s="3">
        <f t="shared" si="18"/>
        <v>1.1274509803921568E-2</v>
      </c>
    </row>
    <row r="83" spans="15:62" x14ac:dyDescent="0.25">
      <c r="O83" s="104"/>
      <c r="P83" s="2">
        <v>24</v>
      </c>
      <c r="Q83" s="3">
        <f t="shared" si="14"/>
        <v>0</v>
      </c>
      <c r="R83" s="3">
        <f t="shared" si="18"/>
        <v>1.4006734006734006E-3</v>
      </c>
      <c r="S83" s="3">
        <f t="shared" si="18"/>
        <v>2.6629935720844816E-3</v>
      </c>
      <c r="T83" s="3">
        <f t="shared" si="18"/>
        <v>3.8023330952623884E-3</v>
      </c>
      <c r="U83" s="3">
        <f t="shared" si="18"/>
        <v>4.8318684682321037E-3</v>
      </c>
      <c r="V83" s="3">
        <f t="shared" si="18"/>
        <v>5.7629587410151671E-3</v>
      </c>
      <c r="W83" s="3">
        <f t="shared" si="18"/>
        <v>6.6054484236302419E-3</v>
      </c>
      <c r="X83" s="3">
        <f t="shared" si="18"/>
        <v>7.367911766738745E-3</v>
      </c>
      <c r="Y83" s="3">
        <f t="shared" si="18"/>
        <v>8.057851239669421E-3</v>
      </c>
      <c r="Z83" s="3">
        <f t="shared" si="18"/>
        <v>8.6818599215293425E-3</v>
      </c>
      <c r="AA83" s="3">
        <f t="shared" si="18"/>
        <v>9.2457552350600474E-3</v>
      </c>
      <c r="AB83" s="3">
        <f t="shared" si="18"/>
        <v>9.7546897546897538E-3</v>
      </c>
      <c r="AC83" s="3">
        <f t="shared" si="18"/>
        <v>1.021324354657688E-2</v>
      </c>
      <c r="AD83" s="3">
        <f t="shared" si="18"/>
        <v>1.0625501534592444E-2</v>
      </c>
      <c r="AE83" s="3">
        <f t="shared" si="18"/>
        <v>1.0995118650621041E-2</v>
      </c>
      <c r="AF83" s="3">
        <f t="shared" si="18"/>
        <v>1.1325374961738596E-2</v>
      </c>
      <c r="AG83" s="3">
        <f t="shared" si="18"/>
        <v>1.1619222528313437E-2</v>
      </c>
      <c r="AH83" s="3">
        <f t="shared" si="18"/>
        <v>1.1879325404824295E-2</v>
      </c>
      <c r="AI83" s="3">
        <f t="shared" si="18"/>
        <v>1.2108093926275744E-2</v>
      </c>
      <c r="AJ83" s="3">
        <f t="shared" si="18"/>
        <v>1.2307714210462624E-2</v>
      </c>
      <c r="AK83" s="3">
        <f t="shared" si="18"/>
        <v>1.2480173637198432E-2</v>
      </c>
      <c r="AL83" s="3">
        <f t="shared" si="18"/>
        <v>1.2627282930313233E-2</v>
      </c>
      <c r="AM83" s="3">
        <f t="shared" si="18"/>
        <v>1.2750695359391013E-2</v>
      </c>
      <c r="AN83" s="3">
        <f t="shared" si="18"/>
        <v>1.285192349022136E-2</v>
      </c>
      <c r="AO83" s="3">
        <f t="shared" si="18"/>
        <v>1.293235384144475E-2</v>
      </c>
      <c r="AP83" s="3">
        <f t="shared" si="18"/>
        <v>1.2993259746506501E-2</v>
      </c>
      <c r="AQ83" s="3">
        <f t="shared" si="18"/>
        <v>1.3035812672176308E-2</v>
      </c>
      <c r="AR83" s="3">
        <f t="shared" si="18"/>
        <v>1.3061092205477232E-2</v>
      </c>
      <c r="AS83" s="3">
        <f t="shared" si="18"/>
        <v>1.3070094888276707E-2</v>
      </c>
      <c r="AT83" s="3">
        <f t="shared" si="18"/>
        <v>1.3063742051735192E-2</v>
      </c>
      <c r="AU83" s="3">
        <f t="shared" si="18"/>
        <v>1.3042886780260514E-2</v>
      </c>
      <c r="AV83" s="3">
        <f t="shared" si="18"/>
        <v>1.3008320115758131E-2</v>
      </c>
      <c r="AW83" s="3">
        <f t="shared" si="18"/>
        <v>1.2960776597140233E-2</v>
      </c>
      <c r="AX83" s="3">
        <f t="shared" si="18"/>
        <v>1.2900939216728689E-2</v>
      </c>
      <c r="AY83" s="3">
        <f t="shared" si="18"/>
        <v>1.2829443863926622E-2</v>
      </c>
      <c r="AZ83" s="3">
        <f t="shared" si="18"/>
        <v>1.2746883316991177E-2</v>
      </c>
      <c r="BA83" s="3">
        <f t="shared" si="18"/>
        <v>1.2653810835629019E-2</v>
      </c>
      <c r="BB83" s="3">
        <f t="shared" si="18"/>
        <v>1.2550743400221789E-2</v>
      </c>
      <c r="BC83" s="3">
        <f t="shared" si="18"/>
        <v>1.2438164637578127E-2</v>
      </c>
      <c r="BD83" s="3">
        <f t="shared" si="18"/>
        <v>1.2316527468042619E-2</v>
      </c>
      <c r="BE83" s="3">
        <f t="shared" si="18"/>
        <v>1.218625650443832E-2</v>
      </c>
      <c r="BF83" s="3">
        <f t="shared" si="18"/>
        <v>1.2047750229568411E-2</v>
      </c>
      <c r="BG83" s="3">
        <f t="shared" si="18"/>
        <v>1.1901382975763141E-2</v>
      </c>
      <c r="BH83" s="3">
        <f t="shared" si="18"/>
        <v>1.1747506727153948E-2</v>
      </c>
      <c r="BI83" s="3">
        <f t="shared" si="18"/>
        <v>1.158645276292335E-2</v>
      </c>
      <c r="BJ83" s="3">
        <f t="shared" si="18"/>
        <v>1.1418533157663592E-2</v>
      </c>
    </row>
    <row r="84" spans="15:62" x14ac:dyDescent="0.25">
      <c r="O84" s="104"/>
      <c r="P84" s="2">
        <v>25</v>
      </c>
      <c r="Q84" s="3">
        <f t="shared" si="14"/>
        <v>0</v>
      </c>
      <c r="R84" s="3">
        <f t="shared" si="18"/>
        <v>1.3813347146680482E-3</v>
      </c>
      <c r="S84" s="3">
        <f t="shared" si="18"/>
        <v>2.6301171082315868E-3</v>
      </c>
      <c r="T84" s="3">
        <f t="shared" si="18"/>
        <v>3.7605492150946701E-3</v>
      </c>
      <c r="U84" s="3">
        <f t="shared" si="18"/>
        <v>4.7848741683642424E-3</v>
      </c>
      <c r="V84" s="3">
        <f t="shared" si="18"/>
        <v>5.713702683399653E-3</v>
      </c>
      <c r="W84" s="3">
        <f t="shared" si="18"/>
        <v>6.5562763509977593E-3</v>
      </c>
      <c r="X84" s="3">
        <f t="shared" si="18"/>
        <v>7.3206815631058058E-3</v>
      </c>
      <c r="Y84" s="3">
        <f t="shared" si="18"/>
        <v>8.0140245429501638E-3</v>
      </c>
      <c r="Z84" s="3">
        <f t="shared" si="18"/>
        <v>8.6425754874952746E-3</v>
      </c>
      <c r="AA84" s="3">
        <f t="shared" si="18"/>
        <v>9.2118879997667904E-3</v>
      </c>
      <c r="AB84" s="3">
        <f t="shared" si="18"/>
        <v>9.7268986157875072E-3</v>
      </c>
      <c r="AC84" s="3">
        <f t="shared" si="18"/>
        <v>1.0192010192010194E-2</v>
      </c>
      <c r="AD84" s="3">
        <f t="shared" si="18"/>
        <v>1.0611162126313642E-2</v>
      </c>
      <c r="AE84" s="3">
        <f t="shared" si="18"/>
        <v>1.0987889775768565E-2</v>
      </c>
      <c r="AF84" s="3">
        <f t="shared" si="18"/>
        <v>1.1325374961738599E-2</v>
      </c>
      <c r="AG84" s="3">
        <f t="shared" si="18"/>
        <v>1.1626489083990934E-2</v>
      </c>
      <c r="AH84" s="3">
        <f t="shared" si="18"/>
        <v>1.1893830075648258E-2</v>
      </c>
      <c r="AI84" s="3">
        <f t="shared" si="18"/>
        <v>1.212975420163581E-2</v>
      </c>
      <c r="AJ84" s="3">
        <f t="shared" si="18"/>
        <v>1.2336403520976525E-2</v>
      </c>
      <c r="AK84" s="3">
        <f t="shared" si="18"/>
        <v>1.2515729687446863E-2</v>
      </c>
      <c r="AL84" s="3">
        <f t="shared" si="18"/>
        <v>1.2669514645799233E-2</v>
      </c>
      <c r="AM84" s="3">
        <f t="shared" si="18"/>
        <v>1.279938868591351E-2</v>
      </c>
      <c r="AN84" s="3">
        <f t="shared" si="18"/>
        <v>1.2906846240179575E-2</v>
      </c>
      <c r="AO84" s="3">
        <f t="shared" si="18"/>
        <v>1.2993259746506501E-2</v>
      </c>
      <c r="AP84" s="3">
        <f t="shared" si="18"/>
        <v>1.3059891847770639E-2</v>
      </c>
      <c r="AQ84" s="3">
        <f t="shared" si="18"/>
        <v>1.3107906156034499E-2</v>
      </c>
      <c r="AR84" s="3">
        <f t="shared" si="18"/>
        <v>1.3138376774740414E-2</v>
      </c>
      <c r="AS84" s="3">
        <f t="shared" si="18"/>
        <v>1.3152296742919957E-2</v>
      </c>
      <c r="AT84" s="3">
        <f t="shared" si="18"/>
        <v>1.3150585541157934E-2</v>
      </c>
      <c r="AU84" s="3">
        <f t="shared" si="18"/>
        <v>1.3134095778723879E-2</v>
      </c>
      <c r="AV84" s="3">
        <f t="shared" si="18"/>
        <v>1.3103619164225226E-2</v>
      </c>
      <c r="AW84" s="3">
        <f t="shared" si="18"/>
        <v>1.3059891847770639E-2</v>
      </c>
      <c r="AX84" s="3">
        <f t="shared" si="18"/>
        <v>1.3003599210495764E-2</v>
      </c>
      <c r="AY84" s="3">
        <f t="shared" si="18"/>
        <v>1.2935380167018586E-2</v>
      </c>
      <c r="AZ84" s="3">
        <f t="shared" si="18"/>
        <v>1.2855831037649222E-2</v>
      </c>
      <c r="BA84" s="3">
        <f t="shared" si="18"/>
        <v>1.2765509039726628E-2</v>
      </c>
      <c r="BB84" s="3">
        <f t="shared" si="18"/>
        <v>1.2664935441084026E-2</v>
      </c>
      <c r="BC84" s="3">
        <f t="shared" si="18"/>
        <v>1.2554598413184273E-2</v>
      </c>
      <c r="BD84" s="3">
        <f t="shared" si="18"/>
        <v>1.24349556167738E-2</v>
      </c>
      <c r="BE84" s="3">
        <f t="shared" si="18"/>
        <v>1.2306436548860792E-2</v>
      </c>
      <c r="BF84" s="3">
        <f t="shared" si="18"/>
        <v>1.216944467633173E-2</v>
      </c>
      <c r="BG84" s="3">
        <f t="shared" si="18"/>
        <v>1.2024359378497778E-2</v>
      </c>
      <c r="BH84" s="3">
        <f t="shared" si="18"/>
        <v>1.1871537718240038E-2</v>
      </c>
      <c r="BI84" s="3">
        <f t="shared" si="18"/>
        <v>1.1711316059142147E-2</v>
      </c>
      <c r="BJ84" s="3">
        <f t="shared" si="18"/>
        <v>1.1544011544011546E-2</v>
      </c>
    </row>
    <row r="85" spans="15:62" x14ac:dyDescent="0.25">
      <c r="O85" s="104"/>
      <c r="P85" s="2">
        <v>26</v>
      </c>
      <c r="Q85" s="3">
        <f t="shared" si="14"/>
        <v>0</v>
      </c>
      <c r="R85" s="3">
        <f t="shared" si="18"/>
        <v>1.3617658062102507E-3</v>
      </c>
      <c r="S85" s="3">
        <f t="shared" si="18"/>
        <v>2.5964187327823696E-3</v>
      </c>
      <c r="T85" s="3">
        <f t="shared" si="18"/>
        <v>3.7171083879547835E-3</v>
      </c>
      <c r="U85" s="3">
        <f t="shared" si="18"/>
        <v>4.7352310988674623E-3</v>
      </c>
      <c r="V85" s="3">
        <f t="shared" si="18"/>
        <v>5.6607126988358651E-3</v>
      </c>
      <c r="W85" s="3">
        <f t="shared" si="18"/>
        <v>6.5022382920110191E-3</v>
      </c>
      <c r="X85" s="3">
        <f t="shared" si="18"/>
        <v>7.2674402426468531E-3</v>
      </c>
      <c r="Y85" s="3">
        <f t="shared" si="18"/>
        <v>7.9630529897909575E-3</v>
      </c>
      <c r="Z85" s="3">
        <f t="shared" si="18"/>
        <v>8.5950413223140499E-3</v>
      </c>
      <c r="AA85" s="3">
        <f t="shared" si="18"/>
        <v>9.1687072747678802E-3</v>
      </c>
      <c r="AB85" s="3">
        <f t="shared" si="18"/>
        <v>9.6887796887796893E-3</v>
      </c>
      <c r="AC85" s="3">
        <f t="shared" si="18"/>
        <v>1.0159489633173844E-2</v>
      </c>
      <c r="AD85" s="3">
        <f t="shared" si="18"/>
        <v>1.0584634220997856E-2</v>
      </c>
      <c r="AE85" s="3">
        <f t="shared" si="18"/>
        <v>1.0967630853994489E-2</v>
      </c>
      <c r="AF85" s="3">
        <f t="shared" si="18"/>
        <v>1.1311563528858428E-2</v>
      </c>
      <c r="AG85" s="3">
        <f t="shared" si="18"/>
        <v>1.1619222528313438E-2</v>
      </c>
      <c r="AH85" s="3">
        <f t="shared" si="18"/>
        <v>1.1893138573899674E-2</v>
      </c>
      <c r="AI85" s="3">
        <f t="shared" si="18"/>
        <v>1.2135612321562737E-2</v>
      </c>
      <c r="AJ85" s="3">
        <f t="shared" si="18"/>
        <v>1.23487399244975E-2</v>
      </c>
      <c r="AK85" s="3">
        <f t="shared" si="18"/>
        <v>1.2534435261707989E-2</v>
      </c>
      <c r="AL85" s="3">
        <f t="shared" si="18"/>
        <v>1.2694449328878728E-2</v>
      </c>
      <c r="AM85" s="3">
        <f t="shared" si="18"/>
        <v>1.2830387205387206E-2</v>
      </c>
      <c r="AN85" s="3">
        <f t="shared" si="18"/>
        <v>1.2943722943722941E-2</v>
      </c>
      <c r="AO85" s="3">
        <f t="shared" si="18"/>
        <v>1.3035812672176308E-2</v>
      </c>
      <c r="AP85" s="3">
        <f t="shared" si="18"/>
        <v>1.3107906156034499E-2</v>
      </c>
      <c r="AQ85" s="3">
        <f t="shared" si="18"/>
        <v>1.3161157024793388E-2</v>
      </c>
      <c r="AR85" s="3">
        <f t="shared" si="18"/>
        <v>1.3196631841571807E-2</v>
      </c>
      <c r="AS85" s="3">
        <f t="shared" si="18"/>
        <v>1.3215318164813115E-2</v>
      </c>
      <c r="AT85" s="3">
        <f t="shared" si="18"/>
        <v>1.3218131730528427E-2</v>
      </c>
      <c r="AU85" s="3">
        <f t="shared" si="18"/>
        <v>1.3205922865013773E-2</v>
      </c>
      <c r="AV85" s="3">
        <f t="shared" si="18"/>
        <v>1.3179482222544423E-2</v>
      </c>
      <c r="AW85" s="3">
        <f t="shared" si="18"/>
        <v>1.3139545929514582E-2</v>
      </c>
      <c r="AX85" s="3">
        <f t="shared" si="18"/>
        <v>1.3086800205444274E-2</v>
      </c>
      <c r="AY85" s="3">
        <f t="shared" si="18"/>
        <v>1.3021885521885521E-2</v>
      </c>
      <c r="AZ85" s="3">
        <f t="shared" si="18"/>
        <v>1.2945400352255792E-2</v>
      </c>
      <c r="BA85" s="3">
        <f t="shared" si="18"/>
        <v>1.2857904558784326E-2</v>
      </c>
      <c r="BB85" s="3">
        <f t="shared" si="18"/>
        <v>1.2759922456892154E-2</v>
      </c>
      <c r="BC85" s="3">
        <f t="shared" si="18"/>
        <v>1.2651945592286501E-2</v>
      </c>
      <c r="BD85" s="3">
        <f t="shared" si="18"/>
        <v>1.253443526170799E-2</v>
      </c>
      <c r="BE85" s="3">
        <f t="shared" si="18"/>
        <v>1.2407824804519019E-2</v>
      </c>
      <c r="BF85" s="3">
        <f t="shared" si="18"/>
        <v>1.2272521689075284E-2</v>
      </c>
      <c r="BG85" s="3">
        <f t="shared" si="18"/>
        <v>1.2128909415005672E-2</v>
      </c>
      <c r="BH85" s="3">
        <f t="shared" si="18"/>
        <v>1.1977349250076524E-2</v>
      </c>
      <c r="BI85" s="3">
        <f t="shared" si="18"/>
        <v>1.1818181818181818E-2</v>
      </c>
      <c r="BJ85" s="3">
        <f t="shared" si="18"/>
        <v>1.1651728553137003E-2</v>
      </c>
    </row>
    <row r="86" spans="15:62" x14ac:dyDescent="0.25">
      <c r="O86" s="104"/>
      <c r="P86" s="2">
        <v>27</v>
      </c>
      <c r="Q86" s="3">
        <f t="shared" si="14"/>
        <v>0</v>
      </c>
      <c r="R86" s="3">
        <f t="shared" si="18"/>
        <v>1.341991341991342E-3</v>
      </c>
      <c r="S86" s="3">
        <f t="shared" si="18"/>
        <v>2.5619834710743808E-3</v>
      </c>
      <c r="T86" s="3">
        <f t="shared" si="18"/>
        <v>3.672176308539945E-3</v>
      </c>
      <c r="U86" s="3">
        <f t="shared" si="18"/>
        <v>4.6831955922865013E-3</v>
      </c>
      <c r="V86" s="3">
        <f t="shared" si="18"/>
        <v>5.6043388429752056E-3</v>
      </c>
      <c r="W86" s="3">
        <f t="shared" si="18"/>
        <v>6.4437766090658655E-3</v>
      </c>
      <c r="X86" s="3">
        <f t="shared" si="18"/>
        <v>7.2087181980230106E-3</v>
      </c>
      <c r="Y86" s="3">
        <f t="shared" si="18"/>
        <v>7.905548996458088E-3</v>
      </c>
      <c r="Z86" s="3">
        <f t="shared" si="18"/>
        <v>8.5399449035812661E-3</v>
      </c>
      <c r="AA86" s="3">
        <f t="shared" si="18"/>
        <v>9.1169682078773E-3</v>
      </c>
      <c r="AB86" s="3">
        <f t="shared" si="18"/>
        <v>9.6411483253588531E-3</v>
      </c>
      <c r="AC86" s="3">
        <f t="shared" si="18"/>
        <v>1.0116550116550117E-2</v>
      </c>
      <c r="AD86" s="3">
        <f t="shared" si="18"/>
        <v>1.0546831955922865E-2</v>
      </c>
      <c r="AE86" s="3">
        <f t="shared" si="18"/>
        <v>1.0935295303366257E-2</v>
      </c>
      <c r="AF86" s="3">
        <f t="shared" si="18"/>
        <v>1.1284927194018102E-2</v>
      </c>
      <c r="AG86" s="3">
        <f t="shared" si="18"/>
        <v>1.1598436799282465E-2</v>
      </c>
      <c r="AH86" s="3">
        <f t="shared" si="18"/>
        <v>1.1878287002253945E-2</v>
      </c>
      <c r="AI86" s="3">
        <f t="shared" si="18"/>
        <v>1.2126721763085399E-2</v>
      </c>
      <c r="AJ86" s="3">
        <f t="shared" si="18"/>
        <v>1.2345789914959875E-2</v>
      </c>
      <c r="AK86" s="3">
        <f t="shared" si="18"/>
        <v>1.2537365922278883E-2</v>
      </c>
      <c r="AL86" s="3">
        <f t="shared" si="18"/>
        <v>1.2703168044077133E-2</v>
      </c>
      <c r="AM86" s="3">
        <f t="shared" si="18"/>
        <v>1.2844774273345702E-2</v>
      </c>
      <c r="AN86" s="3">
        <f t="shared" si="18"/>
        <v>1.2963636363636361E-2</v>
      </c>
      <c r="AO86" s="3">
        <f t="shared" si="18"/>
        <v>1.3061092205477232E-2</v>
      </c>
      <c r="AP86" s="3">
        <f t="shared" si="18"/>
        <v>1.3138376774740414E-2</v>
      </c>
      <c r="AQ86" s="3">
        <f t="shared" si="18"/>
        <v>1.3196631841571807E-2</v>
      </c>
      <c r="AR86" s="3">
        <f t="shared" si="18"/>
        <v>1.3236914600550964E-2</v>
      </c>
      <c r="AS86" s="3">
        <f t="shared" si="18"/>
        <v>1.3260205359378913E-2</v>
      </c>
      <c r="AT86" s="3">
        <f t="shared" si="18"/>
        <v>1.3267414403778042E-2</v>
      </c>
      <c r="AU86" s="3">
        <f t="shared" si="18"/>
        <v>1.3259388139770914E-2</v>
      </c>
      <c r="AV86" s="3">
        <f t="shared" si="18"/>
        <v>1.3236914600550964E-2</v>
      </c>
      <c r="AW86" s="3">
        <f t="shared" si="18"/>
        <v>1.32007283933324E-2</v>
      </c>
      <c r="AX86" s="3">
        <f t="shared" si="18"/>
        <v>1.3151515151515152E-2</v>
      </c>
      <c r="AY86" s="3">
        <f t="shared" si="18"/>
        <v>1.3089915548931942E-2</v>
      </c>
      <c r="AZ86" s="3">
        <f t="shared" si="18"/>
        <v>1.3016528925619835E-2</v>
      </c>
      <c r="BA86" s="3">
        <f t="shared" si="18"/>
        <v>1.2931916568280206E-2</v>
      </c>
      <c r="BB86" s="3">
        <f t="shared" si="18"/>
        <v>1.2836604683195594E-2</v>
      </c>
      <c r="BC86" s="3">
        <f t="shared" si="18"/>
        <v>1.2731087094723459E-2</v>
      </c>
      <c r="BD86" s="3">
        <f t="shared" si="18"/>
        <v>1.2615827698472328E-2</v>
      </c>
      <c r="BE86" s="3">
        <f t="shared" si="18"/>
        <v>1.2491262694790509E-2</v>
      </c>
      <c r="BF86" s="3">
        <f t="shared" si="18"/>
        <v>1.2357802625182305E-2</v>
      </c>
      <c r="BG86" s="3">
        <f t="shared" si="18"/>
        <v>1.2215834231644507E-2</v>
      </c>
      <c r="BH86" s="3">
        <f t="shared" si="18"/>
        <v>1.2065722156631249E-2</v>
      </c>
      <c r="BI86" s="3">
        <f t="shared" si="18"/>
        <v>1.1907810499359794E-2</v>
      </c>
      <c r="BJ86" s="3">
        <f t="shared" si="18"/>
        <v>1.1742424242424242E-2</v>
      </c>
    </row>
    <row r="87" spans="15:62" x14ac:dyDescent="0.25">
      <c r="O87" s="104"/>
      <c r="P87" s="2">
        <v>28</v>
      </c>
      <c r="Q87" s="3">
        <f t="shared" si="14"/>
        <v>0</v>
      </c>
      <c r="R87" s="3">
        <f t="shared" si="18"/>
        <v>1.3220325864004027E-3</v>
      </c>
      <c r="S87" s="3">
        <f t="shared" si="18"/>
        <v>2.526885011733497E-3</v>
      </c>
      <c r="T87" s="3">
        <f t="shared" si="18"/>
        <v>3.6258972915864411E-3</v>
      </c>
      <c r="U87" s="3">
        <f t="shared" si="18"/>
        <v>4.6289919395979999E-3</v>
      </c>
      <c r="V87" s="3">
        <f t="shared" si="18"/>
        <v>5.5448887404810259E-3</v>
      </c>
      <c r="W87" s="3">
        <f t="shared" si="18"/>
        <v>6.3812816219233331E-3</v>
      </c>
      <c r="X87" s="3">
        <f t="shared" si="18"/>
        <v>7.1449852055912649E-3</v>
      </c>
      <c r="Y87" s="3">
        <f t="shared" si="18"/>
        <v>7.8420569329660239E-3</v>
      </c>
      <c r="Z87" s="3">
        <f t="shared" si="18"/>
        <v>8.4778993869902963E-3</v>
      </c>
      <c r="AA87" s="3">
        <f t="shared" si="18"/>
        <v>9.0573464576654376E-3</v>
      </c>
      <c r="AB87" s="3">
        <f t="shared" si="18"/>
        <v>9.5847362514029175E-3</v>
      </c>
      <c r="AC87" s="3">
        <f t="shared" si="18"/>
        <v>1.0063973063973063E-2</v>
      </c>
      <c r="AD87" s="3">
        <f t="shared" si="18"/>
        <v>1.0498580284241778E-2</v>
      </c>
      <c r="AE87" s="3">
        <f t="shared" si="18"/>
        <v>1.0891745740230588E-2</v>
      </c>
      <c r="AF87" s="3">
        <f t="shared" si="18"/>
        <v>1.124636071781949E-2</v>
      </c>
      <c r="AG87" s="3">
        <f t="shared" si="18"/>
        <v>1.1565053658717572E-2</v>
      </c>
      <c r="AH87" s="3">
        <f t="shared" si="18"/>
        <v>1.185021936537088E-2</v>
      </c>
      <c r="AI87" s="3">
        <f t="shared" si="18"/>
        <v>1.2104044396534515E-2</v>
      </c>
      <c r="AJ87" s="3">
        <f t="shared" si="18"/>
        <v>1.2328529220856751E-2</v>
      </c>
      <c r="AK87" s="3">
        <f t="shared" si="18"/>
        <v>1.2525507601265176E-2</v>
      </c>
      <c r="AL87" s="3">
        <f t="shared" si="18"/>
        <v>1.2696663605754515E-2</v>
      </c>
      <c r="AM87" s="3">
        <f t="shared" si="18"/>
        <v>1.2843546576879909E-2</v>
      </c>
      <c r="AN87" s="3">
        <f t="shared" si="18"/>
        <v>1.296758434013336E-2</v>
      </c>
      <c r="AO87" s="3">
        <f t="shared" si="18"/>
        <v>1.3070094888276707E-2</v>
      </c>
      <c r="AP87" s="3">
        <f t="shared" si="18"/>
        <v>1.3152296742919957E-2</v>
      </c>
      <c r="AQ87" s="3">
        <f t="shared" si="18"/>
        <v>1.3215318164813115E-2</v>
      </c>
      <c r="AR87" s="3">
        <f t="shared" si="18"/>
        <v>1.3260205359378913E-2</v>
      </c>
      <c r="AS87" s="3">
        <f t="shared" si="18"/>
        <v>1.3287929803081317E-2</v>
      </c>
      <c r="AT87" s="3">
        <f t="shared" si="18"/>
        <v>1.3299394798597352E-2</v>
      </c>
      <c r="AU87" s="3">
        <f t="shared" si="18"/>
        <v>1.3295441351867682E-2</v>
      </c>
      <c r="AV87" s="3">
        <f t="shared" ref="R87:BJ93" si="19">IFERROR((VLOOKUP($P87,$D$15:$E$60,2,FALSE)*VLOOKUP(AV$8,$B$15:$C$60,2,FALSE))/($P87+AV$58),0)</f>
        <v>1.3276853451481083E-2</v>
      </c>
      <c r="AW87" s="3">
        <f t="shared" si="19"/>
        <v>1.3244362820120396E-2</v>
      </c>
      <c r="AX87" s="3">
        <f t="shared" si="19"/>
        <v>1.3198653198653199E-2</v>
      </c>
      <c r="AY87" s="3">
        <f t="shared" si="19"/>
        <v>1.3140364215633032E-2</v>
      </c>
      <c r="AZ87" s="3">
        <f t="shared" si="19"/>
        <v>1.3070094888276707E-2</v>
      </c>
      <c r="BA87" s="3">
        <f t="shared" si="19"/>
        <v>1.2988406795224979E-2</v>
      </c>
      <c r="BB87" s="3">
        <f t="shared" si="19"/>
        <v>1.2895826956433019E-2</v>
      </c>
      <c r="BC87" s="3">
        <f t="shared" si="19"/>
        <v>1.2792850451252655E-2</v>
      </c>
      <c r="BD87" s="3">
        <f t="shared" si="19"/>
        <v>1.2679942802059491E-2</v>
      </c>
      <c r="BE87" s="3">
        <f t="shared" si="19"/>
        <v>1.2557542147559973E-2</v>
      </c>
      <c r="BF87" s="3">
        <f t="shared" si="19"/>
        <v>1.2426061227115245E-2</v>
      </c>
      <c r="BG87" s="3">
        <f t="shared" si="19"/>
        <v>1.2285889194980104E-2</v>
      </c>
      <c r="BH87" s="3">
        <f t="shared" si="19"/>
        <v>1.2137393281225975E-2</v>
      </c>
      <c r="BI87" s="3">
        <f t="shared" si="19"/>
        <v>1.1980920314253648E-2</v>
      </c>
      <c r="BJ87" s="3">
        <f t="shared" si="19"/>
        <v>1.181679811816798E-2</v>
      </c>
    </row>
    <row r="88" spans="15:62" x14ac:dyDescent="0.25">
      <c r="O88" s="104"/>
      <c r="P88" s="1">
        <v>29</v>
      </c>
      <c r="Q88" s="3">
        <f t="shared" si="14"/>
        <v>0</v>
      </c>
      <c r="R88" s="3">
        <f t="shared" si="19"/>
        <v>1.3019079685746354E-3</v>
      </c>
      <c r="S88" s="3">
        <f t="shared" si="19"/>
        <v>2.4911875351758058E-3</v>
      </c>
      <c r="T88" s="3">
        <f t="shared" si="19"/>
        <v>3.5783976124885222E-3</v>
      </c>
      <c r="U88" s="3">
        <f t="shared" si="19"/>
        <v>4.5728172449935539E-3</v>
      </c>
      <c r="V88" s="3">
        <f t="shared" si="19"/>
        <v>5.4826338248798144E-3</v>
      </c>
      <c r="W88" s="3">
        <f t="shared" si="19"/>
        <v>6.3150990423717704E-3</v>
      </c>
      <c r="X88" s="3">
        <f t="shared" si="19"/>
        <v>7.0766588443356114E-3</v>
      </c>
      <c r="Y88" s="3">
        <f t="shared" si="19"/>
        <v>7.7730623185168646E-3</v>
      </c>
      <c r="Z88" s="3">
        <f t="shared" si="19"/>
        <v>8.4094533855299421E-3</v>
      </c>
      <c r="AA88" s="3">
        <f t="shared" si="19"/>
        <v>8.9904483843877801E-3</v>
      </c>
      <c r="AB88" s="3">
        <f t="shared" si="19"/>
        <v>9.5202020202020225E-3</v>
      </c>
      <c r="AC88" s="3">
        <f t="shared" si="19"/>
        <v>1.0002463661000247E-2</v>
      </c>
      <c r="AD88" s="3">
        <f t="shared" si="19"/>
        <v>1.0440625592140745E-2</v>
      </c>
      <c r="AE88" s="3">
        <f t="shared" si="19"/>
        <v>1.0837764537553122E-2</v>
      </c>
      <c r="AF88" s="3">
        <f t="shared" si="19"/>
        <v>1.1196677518991569E-2</v>
      </c>
      <c r="AG88" s="3">
        <f t="shared" si="19"/>
        <v>1.1519912934054351E-2</v>
      </c>
      <c r="AH88" s="3">
        <f t="shared" si="19"/>
        <v>1.180979758054857E-2</v>
      </c>
      <c r="AI88" s="3">
        <f t="shared" si="19"/>
        <v>1.2068460230936055E-2</v>
      </c>
      <c r="AJ88" s="3">
        <f t="shared" si="19"/>
        <v>1.2297852259973473E-2</v>
      </c>
      <c r="AK88" s="3">
        <f t="shared" si="19"/>
        <v>1.2499765746518995E-2</v>
      </c>
      <c r="AL88" s="3">
        <f t="shared" si="19"/>
        <v>1.2675849403122132E-2</v>
      </c>
      <c r="AM88" s="3">
        <f t="shared" si="19"/>
        <v>1.2827622631544203E-2</v>
      </c>
      <c r="AN88" s="3">
        <f t="shared" si="19"/>
        <v>1.2956487956487957E-2</v>
      </c>
      <c r="AO88" s="3">
        <f t="shared" si="19"/>
        <v>1.3063742051735192E-2</v>
      </c>
      <c r="AP88" s="3">
        <f t="shared" si="19"/>
        <v>1.3150585541157934E-2</v>
      </c>
      <c r="AQ88" s="3">
        <f t="shared" si="19"/>
        <v>1.3218131730528427E-2</v>
      </c>
      <c r="AR88" s="3">
        <f t="shared" si="19"/>
        <v>1.3267414403778042E-2</v>
      </c>
      <c r="AS88" s="3">
        <f t="shared" si="19"/>
        <v>1.3299394798597352E-2</v>
      </c>
      <c r="AT88" s="3">
        <f t="shared" si="19"/>
        <v>1.3314967860422409E-2</v>
      </c>
      <c r="AU88" s="3">
        <f t="shared" si="19"/>
        <v>1.3314967860422406E-2</v>
      </c>
      <c r="AV88" s="3">
        <f t="shared" si="19"/>
        <v>1.3300173451688603E-2</v>
      </c>
      <c r="AW88" s="3">
        <f t="shared" si="19"/>
        <v>1.3271312228093154E-2</v>
      </c>
      <c r="AX88" s="3">
        <f t="shared" si="19"/>
        <v>1.3229064841968069E-2</v>
      </c>
      <c r="AY88" s="3">
        <f t="shared" si="19"/>
        <v>1.3174068729624285E-2</v>
      </c>
      <c r="AZ88" s="3">
        <f t="shared" si="19"/>
        <v>1.3106921487603307E-2</v>
      </c>
      <c r="BA88" s="3">
        <f t="shared" si="19"/>
        <v>1.3028183937274848E-2</v>
      </c>
      <c r="BB88" s="3">
        <f t="shared" si="19"/>
        <v>1.2938382910834703E-2</v>
      </c>
      <c r="BC88" s="3">
        <f t="shared" si="19"/>
        <v>1.2838013787810262E-2</v>
      </c>
      <c r="BD88" s="3">
        <f t="shared" si="19"/>
        <v>1.2727542807756714E-2</v>
      </c>
      <c r="BE88" s="3">
        <f t="shared" si="19"/>
        <v>1.2607409181849235E-2</v>
      </c>
      <c r="BF88" s="3">
        <f t="shared" si="19"/>
        <v>1.247802702348157E-2</v>
      </c>
      <c r="BG88" s="3">
        <f t="shared" si="19"/>
        <v>1.2339787115715413E-2</v>
      </c>
      <c r="BH88" s="3">
        <f t="shared" si="19"/>
        <v>1.2193058531442372E-2</v>
      </c>
      <c r="BI88" s="3">
        <f t="shared" si="19"/>
        <v>1.2038190120381903E-2</v>
      </c>
      <c r="BJ88" s="3">
        <f t="shared" si="19"/>
        <v>1.1875511875511877E-2</v>
      </c>
    </row>
    <row r="89" spans="15:62" x14ac:dyDescent="0.25">
      <c r="O89" s="104"/>
      <c r="P89" s="2">
        <v>30</v>
      </c>
      <c r="Q89" s="3">
        <f t="shared" si="14"/>
        <v>0</v>
      </c>
      <c r="R89" s="3">
        <f t="shared" si="19"/>
        <v>1.2816335396980557E-3</v>
      </c>
      <c r="S89" s="3">
        <f t="shared" si="19"/>
        <v>2.454947199265381E-3</v>
      </c>
      <c r="T89" s="3">
        <f t="shared" si="19"/>
        <v>3.5297882405320416E-3</v>
      </c>
      <c r="U89" s="3">
        <f t="shared" si="19"/>
        <v>4.5148454239363322E-3</v>
      </c>
      <c r="V89" s="3">
        <f t="shared" si="19"/>
        <v>5.4178145087235979E-3</v>
      </c>
      <c r="W89" s="3">
        <f t="shared" si="19"/>
        <v>6.2455361697785934E-3</v>
      </c>
      <c r="X89" s="3">
        <f t="shared" si="19"/>
        <v>7.0041115495660927E-3</v>
      </c>
      <c r="Y89" s="3">
        <f t="shared" si="19"/>
        <v>7.6989995650282713E-3</v>
      </c>
      <c r="Z89" s="3">
        <f t="shared" si="19"/>
        <v>8.3350992441901528E-3</v>
      </c>
      <c r="AA89" s="3">
        <f t="shared" si="19"/>
        <v>8.9168197122742564E-3</v>
      </c>
      <c r="AB89" s="3">
        <f t="shared" si="19"/>
        <v>9.4481399359448125E-3</v>
      </c>
      <c r="AC89" s="3">
        <f t="shared" si="19"/>
        <v>9.9326599326599319E-3</v>
      </c>
      <c r="AD89" s="3">
        <f t="shared" si="19"/>
        <v>1.0373644834532783E-2</v>
      </c>
      <c r="AE89" s="3">
        <f t="shared" si="19"/>
        <v>1.0774062943484429E-2</v>
      </c>
      <c r="AF89" s="3">
        <f t="shared" si="19"/>
        <v>1.1136618712376286E-2</v>
      </c>
      <c r="AG89" s="3">
        <f t="shared" si="19"/>
        <v>1.1463781424255731E-2</v>
      </c>
      <c r="AH89" s="3">
        <f t="shared" si="19"/>
        <v>1.1757810210421426E-2</v>
      </c>
      <c r="AI89" s="3">
        <f t="shared" si="19"/>
        <v>1.2020775941230487E-2</v>
      </c>
      <c r="AJ89" s="3">
        <f t="shared" si="19"/>
        <v>1.2254580436398616E-2</v>
      </c>
      <c r="AK89" s="3">
        <f t="shared" si="19"/>
        <v>1.2460973370064278E-2</v>
      </c>
      <c r="AL89" s="3">
        <f t="shared" si="19"/>
        <v>1.2641567187021731E-2</v>
      </c>
      <c r="AM89" s="3">
        <f t="shared" si="19"/>
        <v>1.2797850297850298E-2</v>
      </c>
      <c r="AN89" s="3">
        <f t="shared" si="19"/>
        <v>1.2931198780255381E-2</v>
      </c>
      <c r="AO89" s="3">
        <f t="shared" si="19"/>
        <v>1.3042886780260514E-2</v>
      </c>
      <c r="AP89" s="3">
        <f t="shared" si="19"/>
        <v>1.3134095778723879E-2</v>
      </c>
      <c r="AQ89" s="3">
        <f t="shared" si="19"/>
        <v>1.3205922865013773E-2</v>
      </c>
      <c r="AR89" s="3">
        <f t="shared" si="19"/>
        <v>1.3259388139770914E-2</v>
      </c>
      <c r="AS89" s="3">
        <f t="shared" si="19"/>
        <v>1.3295441351867682E-2</v>
      </c>
      <c r="AT89" s="3">
        <f t="shared" si="19"/>
        <v>1.3314967860422406E-2</v>
      </c>
      <c r="AU89" s="3">
        <f t="shared" si="19"/>
        <v>1.3318794000612179E-2</v>
      </c>
      <c r="AV89" s="3">
        <f t="shared" si="19"/>
        <v>1.3307691921700861E-2</v>
      </c>
      <c r="AW89" s="3">
        <f t="shared" si="19"/>
        <v>1.328238395687076E-2</v>
      </c>
      <c r="AX89" s="3">
        <f t="shared" si="19"/>
        <v>1.3243546576879909E-2</v>
      </c>
      <c r="AY89" s="3">
        <f t="shared" si="19"/>
        <v>1.3191813973063972E-2</v>
      </c>
      <c r="AZ89" s="3">
        <f t="shared" si="19"/>
        <v>1.312778130959949E-2</v>
      </c>
      <c r="BA89" s="3">
        <f t="shared" si="19"/>
        <v>1.3052007680106854E-2</v>
      </c>
      <c r="BB89" s="3">
        <f t="shared" si="19"/>
        <v>1.2965018799482843E-2</v>
      </c>
      <c r="BC89" s="3">
        <f t="shared" si="19"/>
        <v>1.2867309458218547E-2</v>
      </c>
      <c r="BD89" s="3">
        <f t="shared" si="19"/>
        <v>1.2759345763298331E-2</v>
      </c>
      <c r="BE89" s="3">
        <f t="shared" si="19"/>
        <v>1.2641567187021729E-2</v>
      </c>
      <c r="BF89" s="3">
        <f t="shared" si="19"/>
        <v>1.2514388442685495E-2</v>
      </c>
      <c r="BG89" s="3">
        <f t="shared" si="19"/>
        <v>1.2378201203958779E-2</v>
      </c>
      <c r="BH89" s="3">
        <f t="shared" si="19"/>
        <v>1.2233375682939817E-2</v>
      </c>
      <c r="BI89" s="3">
        <f t="shared" si="19"/>
        <v>1.2080262080262078E-2</v>
      </c>
      <c r="BJ89" s="3">
        <f t="shared" si="19"/>
        <v>1.1919191919191918E-2</v>
      </c>
    </row>
    <row r="90" spans="15:62" x14ac:dyDescent="0.25">
      <c r="O90" s="104"/>
      <c r="P90" s="1">
        <v>31</v>
      </c>
      <c r="Q90" s="3">
        <f t="shared" si="14"/>
        <v>0</v>
      </c>
      <c r="R90" s="3">
        <f t="shared" si="19"/>
        <v>1.2612233445566778E-3</v>
      </c>
      <c r="S90" s="3">
        <f t="shared" si="19"/>
        <v>2.4182133548524736E-3</v>
      </c>
      <c r="T90" s="3">
        <f t="shared" si="19"/>
        <v>3.4801670897927585E-3</v>
      </c>
      <c r="U90" s="3">
        <f t="shared" si="19"/>
        <v>4.4552305158365767E-3</v>
      </c>
      <c r="V90" s="3">
        <f t="shared" si="19"/>
        <v>5.3506444920586324E-3</v>
      </c>
      <c r="W90" s="3">
        <f t="shared" si="19"/>
        <v>6.172867081957991E-3</v>
      </c>
      <c r="X90" s="3">
        <f t="shared" si="19"/>
        <v>6.9276765528759141E-3</v>
      </c>
      <c r="Y90" s="3">
        <f t="shared" si="19"/>
        <v>7.620258529349438E-3</v>
      </c>
      <c r="Z90" s="3">
        <f t="shared" si="19"/>
        <v>8.2552800734618913E-3</v>
      </c>
      <c r="AA90" s="3">
        <f t="shared" si="19"/>
        <v>8.8369529241665232E-3</v>
      </c>
      <c r="AB90" s="3">
        <f t="shared" si="19"/>
        <v>9.3690877024210362E-3</v>
      </c>
      <c r="AC90" s="3">
        <f t="shared" si="19"/>
        <v>9.855140552814971E-3</v>
      </c>
      <c r="AD90" s="3">
        <f t="shared" si="19"/>
        <v>1.0298253424975187E-2</v>
      </c>
      <c r="AE90" s="3">
        <f t="shared" si="19"/>
        <v>1.0701288984117265E-2</v>
      </c>
      <c r="AF90" s="3">
        <f t="shared" si="19"/>
        <v>1.1066860968046736E-2</v>
      </c>
      <c r="AG90" s="3">
        <f t="shared" si="19"/>
        <v>1.1397360668798451E-2</v>
      </c>
      <c r="AH90" s="3">
        <f t="shared" si="19"/>
        <v>1.1694980104071011E-2</v>
      </c>
      <c r="AI90" s="3">
        <f t="shared" si="19"/>
        <v>1.1961732351342741E-2</v>
      </c>
      <c r="AJ90" s="3">
        <f t="shared" si="19"/>
        <v>1.2199469441893684E-2</v>
      </c>
      <c r="AK90" s="3">
        <f t="shared" si="19"/>
        <v>1.2409898149648596E-2</v>
      </c>
      <c r="AL90" s="3">
        <f t="shared" si="19"/>
        <v>1.2594593958230323E-2</v>
      </c>
      <c r="AM90" s="3">
        <f t="shared" si="19"/>
        <v>1.2755013446837346E-2</v>
      </c>
      <c r="AN90" s="3">
        <f t="shared" si="19"/>
        <v>1.2892505299912706E-2</v>
      </c>
      <c r="AO90" s="3">
        <f t="shared" si="19"/>
        <v>1.3008320115758131E-2</v>
      </c>
      <c r="AP90" s="3">
        <f t="shared" si="19"/>
        <v>1.3103619164225226E-2</v>
      </c>
      <c r="AQ90" s="3">
        <f t="shared" si="19"/>
        <v>1.3179482222544423E-2</v>
      </c>
      <c r="AR90" s="3">
        <f t="shared" si="19"/>
        <v>1.3236914600550964E-2</v>
      </c>
      <c r="AS90" s="3">
        <f t="shared" si="19"/>
        <v>1.3276853451481083E-2</v>
      </c>
      <c r="AT90" s="3">
        <f t="shared" si="19"/>
        <v>1.3300173451688603E-2</v>
      </c>
      <c r="AU90" s="3">
        <f t="shared" si="19"/>
        <v>1.3307691921700861E-2</v>
      </c>
      <c r="AV90" s="3">
        <f t="shared" si="19"/>
        <v>1.3300173451688602E-2</v>
      </c>
      <c r="AW90" s="3">
        <f t="shared" si="19"/>
        <v>1.3278334086414894E-2</v>
      </c>
      <c r="AX90" s="3">
        <f t="shared" si="19"/>
        <v>1.3242845117845117E-2</v>
      </c>
      <c r="AY90" s="3">
        <f t="shared" si="19"/>
        <v>1.319433652766986E-2</v>
      </c>
      <c r="AZ90" s="3">
        <f t="shared" si="19"/>
        <v>1.3133400116871191E-2</v>
      </c>
      <c r="BA90" s="3">
        <f t="shared" si="19"/>
        <v>1.3060592355029262E-2</v>
      </c>
      <c r="BB90" s="3">
        <f t="shared" si="19"/>
        <v>1.297643697821951E-2</v>
      </c>
      <c r="BC90" s="3">
        <f t="shared" si="19"/>
        <v>1.2881427361005754E-2</v>
      </c>
      <c r="BD90" s="3">
        <f t="shared" si="19"/>
        <v>1.2776028685119595E-2</v>
      </c>
      <c r="BE90" s="3">
        <f t="shared" si="19"/>
        <v>1.2660679924871132E-2</v>
      </c>
      <c r="BF90" s="3">
        <f t="shared" si="19"/>
        <v>1.2535795667108798E-2</v>
      </c>
      <c r="BG90" s="3">
        <f t="shared" si="19"/>
        <v>1.2401767781593435E-2</v>
      </c>
      <c r="BH90" s="3">
        <f t="shared" si="19"/>
        <v>1.2258966955936654E-2</v>
      </c>
      <c r="BI90" s="3">
        <f t="shared" si="19"/>
        <v>1.2107744107744107E-2</v>
      </c>
      <c r="BJ90" s="3">
        <f t="shared" si="19"/>
        <v>1.194843168527379E-2</v>
      </c>
    </row>
    <row r="91" spans="15:62" x14ac:dyDescent="0.25">
      <c r="O91" s="104"/>
      <c r="P91" s="2">
        <v>32</v>
      </c>
      <c r="Q91" s="3">
        <f t="shared" si="14"/>
        <v>0</v>
      </c>
      <c r="R91" s="3">
        <f t="shared" si="19"/>
        <v>1.2406897255382106E-3</v>
      </c>
      <c r="S91" s="3">
        <f t="shared" si="19"/>
        <v>2.3810295468049483E-3</v>
      </c>
      <c r="T91" s="3">
        <f t="shared" si="19"/>
        <v>3.4296208841663391E-3</v>
      </c>
      <c r="U91" s="3">
        <f t="shared" si="19"/>
        <v>4.3941094446144947E-3</v>
      </c>
      <c r="V91" s="3">
        <f t="shared" si="19"/>
        <v>5.2813143722234635E-3</v>
      </c>
      <c r="W91" s="3">
        <f t="shared" si="19"/>
        <v>6.0973370064279159E-3</v>
      </c>
      <c r="X91" s="3">
        <f t="shared" si="19"/>
        <v>6.8476529082589681E-3</v>
      </c>
      <c r="Y91" s="3">
        <f t="shared" si="19"/>
        <v>7.5371900826446282E-3</v>
      </c>
      <c r="Z91" s="3">
        <f t="shared" si="19"/>
        <v>8.1703957535443142E-3</v>
      </c>
      <c r="AA91" s="3">
        <f t="shared" si="19"/>
        <v>8.7512935997784494E-3</v>
      </c>
      <c r="AB91" s="3">
        <f t="shared" si="19"/>
        <v>9.2835330044632371E-3</v>
      </c>
      <c r="AC91" s="3">
        <f t="shared" si="19"/>
        <v>9.7704315886134076E-3</v>
      </c>
      <c r="AD91" s="3">
        <f t="shared" si="19"/>
        <v>1.0215012073597932E-2</v>
      </c>
      <c r="AE91" s="3">
        <f t="shared" si="19"/>
        <v>1.0620034335449354E-2</v>
      </c>
      <c r="AF91" s="3">
        <f t="shared" si="19"/>
        <v>1.0988023367133618E-2</v>
      </c>
      <c r="AG91" s="3">
        <f t="shared" si="19"/>
        <v>1.1321293745536171E-2</v>
      </c>
      <c r="AH91" s="3">
        <f t="shared" si="19"/>
        <v>1.1621971102490584E-2</v>
      </c>
      <c r="AI91" s="3">
        <f t="shared" si="19"/>
        <v>1.1892011019283747E-2</v>
      </c>
      <c r="AJ91" s="3">
        <f t="shared" si="19"/>
        <v>1.2133215698278087E-2</v>
      </c>
      <c r="AK91" s="3">
        <f t="shared" si="19"/>
        <v>1.2347248710885076E-2</v>
      </c>
      <c r="AL91" s="3">
        <f t="shared" si="19"/>
        <v>1.2535648075956824E-2</v>
      </c>
      <c r="AM91" s="3">
        <f t="shared" si="19"/>
        <v>1.2699837885023071E-2</v>
      </c>
      <c r="AN91" s="3">
        <f t="shared" si="19"/>
        <v>1.2841138659320477E-2</v>
      </c>
      <c r="AO91" s="3">
        <f t="shared" si="19"/>
        <v>1.2960776597140233E-2</v>
      </c>
      <c r="AP91" s="3">
        <f t="shared" si="19"/>
        <v>1.3059891847770639E-2</v>
      </c>
      <c r="AQ91" s="3">
        <f t="shared" si="19"/>
        <v>1.3139545929514582E-2</v>
      </c>
      <c r="AR91" s="3">
        <f t="shared" si="19"/>
        <v>1.32007283933324E-2</v>
      </c>
      <c r="AS91" s="3">
        <f t="shared" si="19"/>
        <v>1.3244362820120396E-2</v>
      </c>
      <c r="AT91" s="3">
        <f t="shared" si="19"/>
        <v>1.3271312228093154E-2</v>
      </c>
      <c r="AU91" s="3">
        <f t="shared" si="19"/>
        <v>1.328238395687076E-2</v>
      </c>
      <c r="AV91" s="3">
        <f t="shared" si="19"/>
        <v>1.3278334086414894E-2</v>
      </c>
      <c r="AW91" s="3">
        <f t="shared" si="19"/>
        <v>1.3259871441689625E-2</v>
      </c>
      <c r="AX91" s="3">
        <f t="shared" si="19"/>
        <v>1.3227661227661228E-2</v>
      </c>
      <c r="AY91" s="3">
        <f t="shared" si="19"/>
        <v>1.3182328333843486E-2</v>
      </c>
      <c r="AZ91" s="3">
        <f t="shared" si="19"/>
        <v>1.3124460342913534E-2</v>
      </c>
      <c r="BA91" s="3">
        <f t="shared" si="19"/>
        <v>1.3054610273861612E-2</v>
      </c>
      <c r="BB91" s="3">
        <f t="shared" si="19"/>
        <v>1.297329908660607E-2</v>
      </c>
      <c r="BC91" s="3">
        <f t="shared" si="19"/>
        <v>1.2881017971927063E-2</v>
      </c>
      <c r="BD91" s="3">
        <f t="shared" si="19"/>
        <v>1.277823044788474E-2</v>
      </c>
      <c r="BE91" s="3">
        <f t="shared" si="19"/>
        <v>1.2665374281535897E-2</v>
      </c>
      <c r="BF91" s="3">
        <f t="shared" si="19"/>
        <v>1.2542863252701359E-2</v>
      </c>
      <c r="BG91" s="3">
        <f t="shared" si="19"/>
        <v>1.2411088774725139E-2</v>
      </c>
      <c r="BH91" s="3">
        <f t="shared" si="19"/>
        <v>1.2270421385572902E-2</v>
      </c>
      <c r="BI91" s="3">
        <f t="shared" si="19"/>
        <v>1.2121212121212121E-2</v>
      </c>
      <c r="BJ91" s="3">
        <f t="shared" si="19"/>
        <v>1.1963793781975601E-2</v>
      </c>
    </row>
    <row r="92" spans="15:62" x14ac:dyDescent="0.25">
      <c r="O92" s="104"/>
      <c r="P92" s="1">
        <v>33</v>
      </c>
      <c r="Q92" s="3">
        <f t="shared" si="14"/>
        <v>0</v>
      </c>
      <c r="R92" s="3">
        <f t="shared" si="19"/>
        <v>1.2200435729847494E-3</v>
      </c>
      <c r="S92" s="3">
        <f t="shared" si="19"/>
        <v>2.343434343434344E-3</v>
      </c>
      <c r="T92" s="3">
        <f t="shared" si="19"/>
        <v>3.3782267115600451E-3</v>
      </c>
      <c r="U92" s="3">
        <f t="shared" si="19"/>
        <v>4.331604331604331E-3</v>
      </c>
      <c r="V92" s="3">
        <f t="shared" si="19"/>
        <v>5.2099946836788938E-3</v>
      </c>
      <c r="W92" s="3">
        <f t="shared" si="19"/>
        <v>6.0191660191660197E-3</v>
      </c>
      <c r="X92" s="3">
        <f t="shared" si="19"/>
        <v>6.7643097643097644E-3</v>
      </c>
      <c r="Y92" s="3">
        <f t="shared" si="19"/>
        <v>7.4501108647450119E-3</v>
      </c>
      <c r="Z92" s="3">
        <f t="shared" si="19"/>
        <v>8.0808080808080808E-3</v>
      </c>
      <c r="AA92" s="3">
        <f t="shared" si="19"/>
        <v>8.660245869548196E-3</v>
      </c>
      <c r="AB92" s="3">
        <f t="shared" si="19"/>
        <v>9.1919191919191921E-3</v>
      </c>
      <c r="AC92" s="3">
        <f t="shared" si="19"/>
        <v>9.6790123456790122E-3</v>
      </c>
      <c r="AD92" s="3">
        <f t="shared" si="19"/>
        <v>1.0124432733128385E-2</v>
      </c>
      <c r="AE92" s="3">
        <f t="shared" si="19"/>
        <v>1.053084031807436E-2</v>
      </c>
      <c r="AF92" s="3">
        <f t="shared" si="19"/>
        <v>1.0900673400673399E-2</v>
      </c>
      <c r="AG92" s="3">
        <f t="shared" si="19"/>
        <v>1.1236171236171237E-2</v>
      </c>
      <c r="AH92" s="3">
        <f t="shared" si="19"/>
        <v>1.1539393939393938E-2</v>
      </c>
      <c r="AI92" s="3">
        <f t="shared" si="19"/>
        <v>1.1812240047534167E-2</v>
      </c>
      <c r="AJ92" s="3">
        <f t="shared" si="19"/>
        <v>1.2056462056462056E-2</v>
      </c>
      <c r="AK92" s="3">
        <f t="shared" si="19"/>
        <v>1.2273680198208502E-2</v>
      </c>
      <c r="AL92" s="3">
        <f t="shared" si="19"/>
        <v>1.2465394687616911E-2</v>
      </c>
      <c r="AM92" s="3">
        <f t="shared" si="19"/>
        <v>1.2632996632996635E-2</v>
      </c>
      <c r="AN92" s="3">
        <f t="shared" si="19"/>
        <v>1.2777777777777777E-2</v>
      </c>
      <c r="AO92" s="3">
        <f t="shared" si="19"/>
        <v>1.2900939216728689E-2</v>
      </c>
      <c r="AP92" s="3">
        <f t="shared" si="19"/>
        <v>1.3003599210495764E-2</v>
      </c>
      <c r="AQ92" s="3">
        <f t="shared" si="19"/>
        <v>1.3086800205444274E-2</v>
      </c>
      <c r="AR92" s="3">
        <f t="shared" si="19"/>
        <v>1.3151515151515152E-2</v>
      </c>
      <c r="AS92" s="3">
        <f t="shared" si="19"/>
        <v>1.3198653198653199E-2</v>
      </c>
      <c r="AT92" s="3">
        <f t="shared" si="19"/>
        <v>1.3229064841968069E-2</v>
      </c>
      <c r="AU92" s="3">
        <f t="shared" si="19"/>
        <v>1.3243546576879909E-2</v>
      </c>
      <c r="AV92" s="3">
        <f t="shared" si="19"/>
        <v>1.3242845117845117E-2</v>
      </c>
      <c r="AW92" s="3">
        <f t="shared" si="19"/>
        <v>1.3227661227661228E-2</v>
      </c>
      <c r="AX92" s="3">
        <f t="shared" si="19"/>
        <v>1.3198653198653199E-2</v>
      </c>
      <c r="AY92" s="3">
        <f t="shared" si="19"/>
        <v>1.3156440022111663E-2</v>
      </c>
      <c r="AZ92" s="3">
        <f t="shared" si="19"/>
        <v>1.3101604278074868E-2</v>
      </c>
      <c r="BA92" s="3">
        <f t="shared" si="19"/>
        <v>1.303469477382521E-2</v>
      </c>
      <c r="BB92" s="3">
        <f t="shared" si="19"/>
        <v>1.2956228956228957E-2</v>
      </c>
      <c r="BC92" s="3">
        <f t="shared" si="19"/>
        <v>1.2866695120216248E-2</v>
      </c>
      <c r="BD92" s="3">
        <f t="shared" si="19"/>
        <v>1.2766554433221101E-2</v>
      </c>
      <c r="BE92" s="3">
        <f t="shared" si="19"/>
        <v>1.2656242793229095E-2</v>
      </c>
      <c r="BF92" s="3">
        <f t="shared" si="19"/>
        <v>1.2536172536172535E-2</v>
      </c>
      <c r="BG92" s="3">
        <f t="shared" si="19"/>
        <v>1.2406734006734007E-2</v>
      </c>
      <c r="BH92" s="3">
        <f t="shared" si="19"/>
        <v>1.2268297005139112E-2</v>
      </c>
      <c r="BI92" s="3">
        <f t="shared" si="19"/>
        <v>1.2121212121212121E-2</v>
      </c>
      <c r="BJ92" s="3">
        <f t="shared" si="19"/>
        <v>1.1965811965811967E-2</v>
      </c>
    </row>
    <row r="93" spans="15:62" x14ac:dyDescent="0.25">
      <c r="O93" s="104"/>
      <c r="P93" s="2">
        <v>34</v>
      </c>
      <c r="Q93" s="3">
        <f t="shared" si="14"/>
        <v>0</v>
      </c>
      <c r="R93" s="3">
        <f t="shared" si="19"/>
        <v>1.1992945326278659E-3</v>
      </c>
      <c r="S93" s="3">
        <f t="shared" si="19"/>
        <v>2.3054620276842502E-3</v>
      </c>
      <c r="T93" s="3">
        <f t="shared" si="19"/>
        <v>3.3260533260533261E-3</v>
      </c>
      <c r="U93" s="3">
        <f t="shared" si="19"/>
        <v>4.267824443263039E-3</v>
      </c>
      <c r="V93" s="3">
        <f t="shared" si="19"/>
        <v>5.1368384701718029E-3</v>
      </c>
      <c r="W93" s="3">
        <f t="shared" si="19"/>
        <v>5.9385521885521892E-3</v>
      </c>
      <c r="X93" s="3">
        <f t="shared" si="19"/>
        <v>6.677890011223344E-3</v>
      </c>
      <c r="Y93" s="3">
        <f t="shared" si="19"/>
        <v>7.3593073593073589E-3</v>
      </c>
      <c r="Z93" s="3">
        <f t="shared" si="19"/>
        <v>7.9868451961475212E-3</v>
      </c>
      <c r="AA93" s="3">
        <f t="shared" si="19"/>
        <v>8.5641771247831847E-3</v>
      </c>
      <c r="AB93" s="3">
        <f t="shared" si="19"/>
        <v>9.094650205761317E-3</v>
      </c>
      <c r="AC93" s="3">
        <f t="shared" si="19"/>
        <v>9.5813204508856682E-3</v>
      </c>
      <c r="AD93" s="3">
        <f t="shared" si="19"/>
        <v>1.0026983785849033E-2</v>
      </c>
      <c r="AE93" s="3">
        <f t="shared" si="19"/>
        <v>1.0434203142536473E-2</v>
      </c>
      <c r="AF93" s="3">
        <f t="shared" si="19"/>
        <v>1.0805332233903661E-2</v>
      </c>
      <c r="AG93" s="3">
        <f t="shared" ref="R93:BJ98" si="20">IFERROR((VLOOKUP($P93,$D$15:$E$60,2,FALSE)*VLOOKUP(AG$8,$B$15:$C$60,2,FALSE))/($P93+AG$58),0)</f>
        <v>1.1142536475869809E-2</v>
      </c>
      <c r="AH93" s="3">
        <f t="shared" si="20"/>
        <v>1.1447811447811448E-2</v>
      </c>
      <c r="AI93" s="3">
        <f t="shared" si="20"/>
        <v>1.1722999222999223E-2</v>
      </c>
      <c r="AJ93" s="3">
        <f t="shared" si="20"/>
        <v>1.1969802850305994E-2</v>
      </c>
      <c r="AK93" s="3">
        <f t="shared" si="20"/>
        <v>1.2189799226836264E-2</v>
      </c>
      <c r="AL93" s="3">
        <f t="shared" si="20"/>
        <v>1.2384450566268749E-2</v>
      </c>
      <c r="AM93" s="3">
        <f t="shared" si="20"/>
        <v>1.2555114638447971E-2</v>
      </c>
      <c r="AN93" s="3">
        <f t="shared" si="20"/>
        <v>1.2703053931124106E-2</v>
      </c>
      <c r="AO93" s="3">
        <f t="shared" si="20"/>
        <v>1.2829443863926622E-2</v>
      </c>
      <c r="AP93" s="3">
        <f t="shared" si="20"/>
        <v>1.2935380167018586E-2</v>
      </c>
      <c r="AQ93" s="3">
        <f t="shared" si="20"/>
        <v>1.3021885521885521E-2</v>
      </c>
      <c r="AR93" s="3">
        <f t="shared" si="20"/>
        <v>1.3089915548931942E-2</v>
      </c>
      <c r="AS93" s="3">
        <f t="shared" si="20"/>
        <v>1.3140364215633032E-2</v>
      </c>
      <c r="AT93" s="3">
        <f t="shared" si="20"/>
        <v>1.3174068729624285E-2</v>
      </c>
      <c r="AU93" s="3">
        <f t="shared" si="20"/>
        <v>1.3191813973063972E-2</v>
      </c>
      <c r="AV93" s="3">
        <f t="shared" si="20"/>
        <v>1.319433652766986E-2</v>
      </c>
      <c r="AW93" s="3">
        <f t="shared" si="20"/>
        <v>1.3182328333843486E-2</v>
      </c>
      <c r="AX93" s="3">
        <f t="shared" si="20"/>
        <v>1.3156440022111663E-2</v>
      </c>
      <c r="AY93" s="3">
        <f t="shared" si="20"/>
        <v>1.3117283950617283E-2</v>
      </c>
      <c r="AZ93" s="3">
        <f t="shared" si="20"/>
        <v>1.3065436978480456E-2</v>
      </c>
      <c r="BA93" s="3">
        <f t="shared" si="20"/>
        <v>1.3001443001443003E-2</v>
      </c>
      <c r="BB93" s="3">
        <f t="shared" si="20"/>
        <v>1.2925815273233113E-2</v>
      </c>
      <c r="BC93" s="3">
        <f t="shared" si="20"/>
        <v>1.2839038533482977E-2</v>
      </c>
      <c r="BD93" s="3">
        <f t="shared" si="20"/>
        <v>1.2741570960749043E-2</v>
      </c>
      <c r="BE93" s="3">
        <f t="shared" si="20"/>
        <v>1.26338459671793E-2</v>
      </c>
      <c r="BF93" s="3">
        <f t="shared" si="20"/>
        <v>1.2516273849607181E-2</v>
      </c>
      <c r="BG93" s="3">
        <f t="shared" si="20"/>
        <v>1.2389243310295941E-2</v>
      </c>
      <c r="BH93" s="3">
        <f t="shared" si="20"/>
        <v>1.2253122859183466E-2</v>
      </c>
      <c r="BI93" s="3">
        <f t="shared" si="20"/>
        <v>1.2108262108262107E-2</v>
      </c>
      <c r="BJ93" s="3">
        <f t="shared" si="20"/>
        <v>1.1954992967651195E-2</v>
      </c>
    </row>
    <row r="94" spans="15:62" x14ac:dyDescent="0.25">
      <c r="O94" s="104"/>
      <c r="P94" s="1">
        <v>35</v>
      </c>
      <c r="Q94" s="3">
        <f t="shared" si="14"/>
        <v>0</v>
      </c>
      <c r="R94" s="3">
        <f t="shared" si="20"/>
        <v>1.1784511784511786E-3</v>
      </c>
      <c r="S94" s="3">
        <f t="shared" si="20"/>
        <v>2.267143176234086E-3</v>
      </c>
      <c r="T94" s="3">
        <f t="shared" si="20"/>
        <v>3.2731622444541106E-3</v>
      </c>
      <c r="U94" s="3">
        <f t="shared" si="20"/>
        <v>4.202867839231475E-3</v>
      </c>
      <c r="V94" s="3">
        <f t="shared" si="20"/>
        <v>5.06198347107438E-3</v>
      </c>
      <c r="W94" s="3">
        <f t="shared" si="20"/>
        <v>5.8556742592219312E-3</v>
      </c>
      <c r="X94" s="3">
        <f t="shared" si="20"/>
        <v>6.5886134067952244E-3</v>
      </c>
      <c r="Y94" s="3">
        <f t="shared" si="20"/>
        <v>7.2650394003459543E-3</v>
      </c>
      <c r="Z94" s="3">
        <f t="shared" si="20"/>
        <v>7.888805409466567E-3</v>
      </c>
      <c r="AA94" s="3">
        <f t="shared" si="20"/>
        <v>8.4634220997857369E-3</v>
      </c>
      <c r="AB94" s="3">
        <f t="shared" si="20"/>
        <v>8.9920948616600809E-3</v>
      </c>
      <c r="AC94" s="3">
        <f t="shared" si="20"/>
        <v>9.4777562862669255E-3</v>
      </c>
      <c r="AD94" s="3">
        <f t="shared" si="20"/>
        <v>9.9230945821854911E-3</v>
      </c>
      <c r="AE94" s="3">
        <f t="shared" si="20"/>
        <v>1.0330578512396695E-2</v>
      </c>
      <c r="AF94" s="3">
        <f t="shared" si="20"/>
        <v>1.0702479338842974E-2</v>
      </c>
      <c r="AG94" s="3">
        <f t="shared" si="20"/>
        <v>1.1040890185275215E-2</v>
      </c>
      <c r="AH94" s="3">
        <f t="shared" si="20"/>
        <v>1.1347743165924986E-2</v>
      </c>
      <c r="AI94" s="3">
        <f t="shared" si="20"/>
        <v>1.1624824575081866E-2</v>
      </c>
      <c r="AJ94" s="3">
        <f t="shared" si="20"/>
        <v>1.1873788388939906E-2</v>
      </c>
      <c r="AK94" s="3">
        <f t="shared" si="20"/>
        <v>1.2096168294515404E-2</v>
      </c>
      <c r="AL94" s="3">
        <f t="shared" si="20"/>
        <v>1.2293388429752066E-2</v>
      </c>
      <c r="AM94" s="3">
        <f t="shared" si="20"/>
        <v>1.2466772993088784E-2</v>
      </c>
      <c r="AN94" s="3">
        <f t="shared" si="20"/>
        <v>1.261755485893417E-2</v>
      </c>
      <c r="AO94" s="3">
        <f t="shared" si="20"/>
        <v>1.2746883316991177E-2</v>
      </c>
      <c r="AP94" s="3">
        <f t="shared" si="20"/>
        <v>1.2855831037649222E-2</v>
      </c>
      <c r="AQ94" s="3">
        <f t="shared" si="20"/>
        <v>1.2945400352255792E-2</v>
      </c>
      <c r="AR94" s="3">
        <f t="shared" si="20"/>
        <v>1.3016528925619835E-2</v>
      </c>
      <c r="AS94" s="3">
        <f t="shared" si="20"/>
        <v>1.3070094888276707E-2</v>
      </c>
      <c r="AT94" s="3">
        <f t="shared" si="20"/>
        <v>1.3106921487603307E-2</v>
      </c>
      <c r="AU94" s="3">
        <f t="shared" si="20"/>
        <v>1.312778130959949E-2</v>
      </c>
      <c r="AV94" s="3">
        <f t="shared" si="20"/>
        <v>1.3133400116871191E-2</v>
      </c>
      <c r="AW94" s="3">
        <f t="shared" si="20"/>
        <v>1.3124460342913534E-2</v>
      </c>
      <c r="AX94" s="3">
        <f t="shared" si="20"/>
        <v>1.3101604278074868E-2</v>
      </c>
      <c r="AY94" s="3">
        <f t="shared" si="20"/>
        <v>1.3065436978480456E-2</v>
      </c>
      <c r="AZ94" s="3">
        <f t="shared" si="20"/>
        <v>1.3016528925619837E-2</v>
      </c>
      <c r="BA94" s="3">
        <f t="shared" si="20"/>
        <v>1.2955418461180306E-2</v>
      </c>
      <c r="BB94" s="3">
        <f t="shared" si="20"/>
        <v>1.2882614018977657E-2</v>
      </c>
      <c r="BC94" s="3">
        <f t="shared" si="20"/>
        <v>1.2798596173440507E-2</v>
      </c>
      <c r="BD94" s="3">
        <f t="shared" si="20"/>
        <v>1.2703819522001341E-2</v>
      </c>
      <c r="BE94" s="3">
        <f t="shared" si="20"/>
        <v>1.2598714416896235E-2</v>
      </c>
      <c r="BF94" s="3">
        <f t="shared" si="20"/>
        <v>1.2483688560243584E-2</v>
      </c>
      <c r="BG94" s="3">
        <f t="shared" si="20"/>
        <v>1.2359128474830955E-2</v>
      </c>
      <c r="BH94" s="3">
        <f t="shared" si="20"/>
        <v>1.2225400861764501E-2</v>
      </c>
      <c r="BI94" s="3">
        <f t="shared" si="20"/>
        <v>1.2082853855005755E-2</v>
      </c>
      <c r="BJ94" s="3">
        <f t="shared" si="20"/>
        <v>1.1931818181818182E-2</v>
      </c>
    </row>
    <row r="95" spans="15:62" x14ac:dyDescent="0.25">
      <c r="O95" s="104"/>
      <c r="P95" s="2">
        <v>36</v>
      </c>
      <c r="Q95" s="3">
        <f t="shared" si="14"/>
        <v>0</v>
      </c>
      <c r="R95" s="3">
        <f t="shared" si="20"/>
        <v>1.1575211575211577E-3</v>
      </c>
      <c r="S95" s="3">
        <f t="shared" si="20"/>
        <v>2.2285051471654348E-3</v>
      </c>
      <c r="T95" s="3">
        <f t="shared" si="20"/>
        <v>3.2196086741541293E-3</v>
      </c>
      <c r="U95" s="3">
        <f t="shared" si="20"/>
        <v>4.1368227731864099E-3</v>
      </c>
      <c r="V95" s="3">
        <f t="shared" si="20"/>
        <v>4.9855539877712825E-3</v>
      </c>
      <c r="W95" s="3">
        <f t="shared" si="20"/>
        <v>5.7706939525121355E-3</v>
      </c>
      <c r="X95" s="3">
        <f t="shared" si="20"/>
        <v>6.4966792662352925E-3</v>
      </c>
      <c r="Y95" s="3">
        <f t="shared" si="20"/>
        <v>7.1675432006010533E-3</v>
      </c>
      <c r="Z95" s="3">
        <f t="shared" si="20"/>
        <v>7.7869605142332418E-3</v>
      </c>
      <c r="AA95" s="3">
        <f t="shared" si="20"/>
        <v>8.3582864215275294E-3</v>
      </c>
      <c r="AB95" s="3">
        <f t="shared" si="20"/>
        <v>8.8845905867182481E-3</v>
      </c>
      <c r="AC95" s="3">
        <f t="shared" si="20"/>
        <v>9.36868686868687E-3</v>
      </c>
      <c r="AD95" s="3">
        <f t="shared" si="20"/>
        <v>9.8131594235490345E-3</v>
      </c>
      <c r="AE95" s="3">
        <f t="shared" si="20"/>
        <v>1.022038567493113E-2</v>
      </c>
      <c r="AF95" s="3">
        <f t="shared" si="20"/>
        <v>1.0592556581861395E-2</v>
      </c>
      <c r="AG95" s="3">
        <f t="shared" si="20"/>
        <v>1.0931694568058205E-2</v>
      </c>
      <c r="AH95" s="3">
        <f t="shared" si="20"/>
        <v>1.1239669421487604E-2</v>
      </c>
      <c r="AI95" s="3">
        <f t="shared" si="20"/>
        <v>1.1518212427303338E-2</v>
      </c>
      <c r="AJ95" s="3">
        <f t="shared" si="20"/>
        <v>1.1768928959011604E-2</v>
      </c>
      <c r="AK95" s="3">
        <f t="shared" si="20"/>
        <v>1.199330972058245E-2</v>
      </c>
      <c r="AL95" s="3">
        <f t="shared" si="20"/>
        <v>1.2192740805180999E-2</v>
      </c>
      <c r="AM95" s="3">
        <f t="shared" si="20"/>
        <v>1.23685127133403E-2</v>
      </c>
      <c r="AN95" s="3">
        <f t="shared" si="20"/>
        <v>1.2521828454031844E-2</v>
      </c>
      <c r="AO95" s="3">
        <f t="shared" si="20"/>
        <v>1.2653810835629019E-2</v>
      </c>
      <c r="AP95" s="3">
        <f t="shared" si="20"/>
        <v>1.2765509039726628E-2</v>
      </c>
      <c r="AQ95" s="3">
        <f t="shared" si="20"/>
        <v>1.2857904558784326E-2</v>
      </c>
      <c r="AR95" s="3">
        <f t="shared" si="20"/>
        <v>1.2931916568280206E-2</v>
      </c>
      <c r="AS95" s="3">
        <f t="shared" si="20"/>
        <v>1.2988406795224979E-2</v>
      </c>
      <c r="AT95" s="3">
        <f t="shared" si="20"/>
        <v>1.3028183937274848E-2</v>
      </c>
      <c r="AU95" s="3">
        <f t="shared" si="20"/>
        <v>1.3052007680106854E-2</v>
      </c>
      <c r="AV95" s="3">
        <f t="shared" si="20"/>
        <v>1.3060592355029262E-2</v>
      </c>
      <c r="AW95" s="3">
        <f t="shared" si="20"/>
        <v>1.3054610273861612E-2</v>
      </c>
      <c r="AX95" s="3">
        <f t="shared" si="20"/>
        <v>1.303469477382521E-2</v>
      </c>
      <c r="AY95" s="3">
        <f t="shared" si="20"/>
        <v>1.3001443001443003E-2</v>
      </c>
      <c r="AZ95" s="3">
        <f t="shared" si="20"/>
        <v>1.2955418461180306E-2</v>
      </c>
      <c r="BA95" s="3">
        <f t="shared" si="20"/>
        <v>1.2897153351698809E-2</v>
      </c>
      <c r="BB95" s="3">
        <f t="shared" si="20"/>
        <v>1.2827150710089691E-2</v>
      </c>
      <c r="BC95" s="3">
        <f t="shared" si="20"/>
        <v>1.274588638225002E-2</v>
      </c>
      <c r="BD95" s="3">
        <f t="shared" si="20"/>
        <v>1.2653810835629019E-2</v>
      </c>
      <c r="BE95" s="3">
        <f t="shared" si="20"/>
        <v>1.255135082886279E-2</v>
      </c>
      <c r="BF95" s="3">
        <f t="shared" si="20"/>
        <v>1.2438910951307646E-2</v>
      </c>
      <c r="BG95" s="3">
        <f t="shared" si="20"/>
        <v>1.2316875044147774E-2</v>
      </c>
      <c r="BH95" s="3">
        <f t="shared" si="20"/>
        <v>1.2185607513570692E-2</v>
      </c>
      <c r="BI95" s="3">
        <f t="shared" si="20"/>
        <v>1.2045454545454547E-2</v>
      </c>
      <c r="BJ95" s="3">
        <f t="shared" si="20"/>
        <v>1.1896745230078564E-2</v>
      </c>
    </row>
    <row r="96" spans="15:62" x14ac:dyDescent="0.25">
      <c r="O96" s="104"/>
      <c r="P96" s="1">
        <v>37</v>
      </c>
      <c r="Q96" s="3">
        <f t="shared" si="14"/>
        <v>0</v>
      </c>
      <c r="R96" s="3">
        <f t="shared" si="20"/>
        <v>1.1365113119499084E-3</v>
      </c>
      <c r="S96" s="3">
        <f t="shared" si="20"/>
        <v>2.1895724926027957E-3</v>
      </c>
      <c r="T96" s="3">
        <f t="shared" si="20"/>
        <v>3.165442301805938E-3</v>
      </c>
      <c r="U96" s="3">
        <f t="shared" si="20"/>
        <v>4.0697688886898054E-3</v>
      </c>
      <c r="V96" s="3">
        <f t="shared" si="20"/>
        <v>4.9076624834200593E-3</v>
      </c>
      <c r="W96" s="3">
        <f t="shared" si="20"/>
        <v>5.6837579459143948E-3</v>
      </c>
      <c r="X96" s="3">
        <f t="shared" si="20"/>
        <v>6.4022687851888948E-3</v>
      </c>
      <c r="Y96" s="3">
        <f t="shared" si="20"/>
        <v>7.0670339761248853E-3</v>
      </c>
      <c r="Z96" s="3">
        <f t="shared" si="20"/>
        <v>7.6815586697009629E-3</v>
      </c>
      <c r="AA96" s="3">
        <f t="shared" si="20"/>
        <v>8.2490497061741431E-3</v>
      </c>
      <c r="AB96" s="3">
        <f t="shared" si="20"/>
        <v>8.7724466891133564E-3</v>
      </c>
      <c r="AC96" s="3">
        <f t="shared" si="20"/>
        <v>9.2544492544492547E-3</v>
      </c>
      <c r="AD96" s="3">
        <f t="shared" si="20"/>
        <v>9.6975410672380368E-3</v>
      </c>
      <c r="AE96" s="3">
        <f t="shared" si="20"/>
        <v>1.0104010995276594E-2</v>
      </c>
      <c r="AF96" s="3">
        <f t="shared" si="20"/>
        <v>1.0475971839608201E-2</v>
      </c>
      <c r="AG96" s="3">
        <f t="shared" si="20"/>
        <v>1.0815376944593641E-2</v>
      </c>
      <c r="AH96" s="3">
        <f t="shared" si="20"/>
        <v>1.1124034962418802E-2</v>
      </c>
      <c r="AI96" s="3">
        <f t="shared" si="20"/>
        <v>1.1403623006928792E-2</v>
      </c>
      <c r="AJ96" s="3">
        <f t="shared" si="20"/>
        <v>1.165569839812264E-2</v>
      </c>
      <c r="AK96" s="3">
        <f t="shared" si="20"/>
        <v>1.1881709170385408E-2</v>
      </c>
      <c r="AL96" s="3">
        <f t="shared" si="20"/>
        <v>1.2083003493661801E-2</v>
      </c>
      <c r="AM96" s="3">
        <f t="shared" si="20"/>
        <v>1.2260838136544352E-2</v>
      </c>
      <c r="AN96" s="3">
        <f t="shared" si="20"/>
        <v>1.241638608305275E-2</v>
      </c>
      <c r="AO96" s="3">
        <f t="shared" si="20"/>
        <v>1.2550743400221789E-2</v>
      </c>
      <c r="AP96" s="3">
        <f t="shared" si="20"/>
        <v>1.2664935441084026E-2</v>
      </c>
      <c r="AQ96" s="3">
        <f t="shared" si="20"/>
        <v>1.2759922456892154E-2</v>
      </c>
      <c r="AR96" s="3">
        <f t="shared" si="20"/>
        <v>1.2836604683195594E-2</v>
      </c>
      <c r="AS96" s="3">
        <f t="shared" si="20"/>
        <v>1.2895826956433019E-2</v>
      </c>
      <c r="AT96" s="3">
        <f t="shared" si="20"/>
        <v>1.2938382910834703E-2</v>
      </c>
      <c r="AU96" s="3">
        <f t="shared" si="20"/>
        <v>1.2965018799482843E-2</v>
      </c>
      <c r="AV96" s="3">
        <f t="shared" si="20"/>
        <v>1.297643697821951E-2</v>
      </c>
      <c r="AW96" s="3">
        <f t="shared" si="20"/>
        <v>1.297329908660607E-2</v>
      </c>
      <c r="AX96" s="3">
        <f t="shared" si="20"/>
        <v>1.2956228956228957E-2</v>
      </c>
      <c r="AY96" s="3">
        <f t="shared" si="20"/>
        <v>1.2925815273233113E-2</v>
      </c>
      <c r="AZ96" s="3">
        <f t="shared" si="20"/>
        <v>1.2882614018977657E-2</v>
      </c>
      <c r="BA96" s="3">
        <f t="shared" si="20"/>
        <v>1.2827150710089691E-2</v>
      </c>
      <c r="BB96" s="3">
        <f t="shared" si="20"/>
        <v>1.2759922456892154E-2</v>
      </c>
      <c r="BC96" s="3">
        <f t="shared" si="20"/>
        <v>1.2681399857157433E-2</v>
      </c>
      <c r="BD96" s="3">
        <f t="shared" si="20"/>
        <v>1.2592028740354101E-2</v>
      </c>
      <c r="BE96" s="3">
        <f t="shared" si="20"/>
        <v>1.2492231775978331E-2</v>
      </c>
      <c r="BF96" s="3">
        <f t="shared" si="20"/>
        <v>1.2382409958167534E-2</v>
      </c>
      <c r="BG96" s="3">
        <f t="shared" si="20"/>
        <v>1.2262943977558477E-2</v>
      </c>
      <c r="BH96" s="3">
        <f t="shared" si="20"/>
        <v>1.2134195490256098E-2</v>
      </c>
      <c r="BI96" s="3">
        <f t="shared" si="20"/>
        <v>1.1996508292804589E-2</v>
      </c>
      <c r="BJ96" s="3">
        <f t="shared" si="20"/>
        <v>1.1850209411185022E-2</v>
      </c>
    </row>
    <row r="97" spans="15:62" x14ac:dyDescent="0.25">
      <c r="O97" s="104"/>
      <c r="P97" s="2">
        <v>38</v>
      </c>
      <c r="Q97" s="3">
        <f t="shared" si="14"/>
        <v>0</v>
      </c>
      <c r="R97" s="3">
        <f t="shared" si="20"/>
        <v>1.1154277820944487E-3</v>
      </c>
      <c r="S97" s="3">
        <f t="shared" si="20"/>
        <v>2.1503673094582188E-3</v>
      </c>
      <c r="T97" s="3">
        <f t="shared" si="20"/>
        <v>3.1107079665837981E-3</v>
      </c>
      <c r="U97" s="3">
        <f t="shared" si="20"/>
        <v>4.0017782442024865E-3</v>
      </c>
      <c r="V97" s="3">
        <f t="shared" si="20"/>
        <v>4.8284109594891834E-3</v>
      </c>
      <c r="W97" s="3">
        <f t="shared" si="20"/>
        <v>5.5949995826028885E-3</v>
      </c>
      <c r="X97" s="3">
        <f t="shared" si="20"/>
        <v>6.3055470530217995E-3</v>
      </c>
      <c r="Y97" s="3">
        <f t="shared" si="20"/>
        <v>6.963708228530362E-3</v>
      </c>
      <c r="Z97" s="3">
        <f t="shared" si="20"/>
        <v>7.5728269151866838E-3</v>
      </c>
      <c r="AA97" s="3">
        <f t="shared" si="20"/>
        <v>8.1359682685440259E-3</v>
      </c>
      <c r="AB97" s="3">
        <f t="shared" si="20"/>
        <v>8.6559472273757994E-3</v>
      </c>
      <c r="AC97" s="3">
        <f t="shared" si="20"/>
        <v>9.1353535353535346E-3</v>
      </c>
      <c r="AD97" s="3">
        <f t="shared" si="20"/>
        <v>9.5765738189980618E-3</v>
      </c>
      <c r="AE97" s="3">
        <f t="shared" si="20"/>
        <v>9.9818111181747531E-3</v>
      </c>
      <c r="AF97" s="3">
        <f t="shared" si="20"/>
        <v>1.035310220558934E-2</v>
      </c>
      <c r="AG97" s="3">
        <f t="shared" si="20"/>
        <v>1.0692332981895271E-2</v>
      </c>
      <c r="AH97" s="3">
        <f t="shared" si="20"/>
        <v>1.1001252191334836E-2</v>
      </c>
      <c r="AI97" s="3">
        <f t="shared" si="20"/>
        <v>1.1281483667847304E-2</v>
      </c>
      <c r="AJ97" s="3">
        <f t="shared" si="20"/>
        <v>1.153453729211305E-2</v>
      </c>
      <c r="AK97" s="3">
        <f t="shared" si="20"/>
        <v>1.1761818815110351E-2</v>
      </c>
      <c r="AL97" s="3">
        <f t="shared" si="20"/>
        <v>1.1964638682666418E-2</v>
      </c>
      <c r="AM97" s="3">
        <f t="shared" si="20"/>
        <v>1.214421997755331E-2</v>
      </c>
      <c r="AN97" s="3">
        <f t="shared" si="20"/>
        <v>1.2301705580394104E-2</v>
      </c>
      <c r="AO97" s="3">
        <f t="shared" si="20"/>
        <v>1.2438164637578127E-2</v>
      </c>
      <c r="AP97" s="3">
        <f t="shared" si="20"/>
        <v>1.2554598413184273E-2</v>
      </c>
      <c r="AQ97" s="3">
        <f t="shared" si="20"/>
        <v>1.2651945592286501E-2</v>
      </c>
      <c r="AR97" s="3">
        <f t="shared" si="20"/>
        <v>1.2731087094723459E-2</v>
      </c>
      <c r="AS97" s="3">
        <f t="shared" si="20"/>
        <v>1.2792850451252655E-2</v>
      </c>
      <c r="AT97" s="3">
        <f t="shared" si="20"/>
        <v>1.2838013787810262E-2</v>
      </c>
      <c r="AU97" s="3">
        <f t="shared" si="20"/>
        <v>1.2867309458218547E-2</v>
      </c>
      <c r="AV97" s="3">
        <f t="shared" si="20"/>
        <v>1.2881427361005754E-2</v>
      </c>
      <c r="AW97" s="3">
        <f t="shared" si="20"/>
        <v>1.2881017971927063E-2</v>
      </c>
      <c r="AX97" s="3">
        <f t="shared" si="20"/>
        <v>1.2866695120216248E-2</v>
      </c>
      <c r="AY97" s="3">
        <f t="shared" si="20"/>
        <v>1.2839038533482977E-2</v>
      </c>
      <c r="AZ97" s="3">
        <f t="shared" si="20"/>
        <v>1.2798596173440507E-2</v>
      </c>
      <c r="BA97" s="3">
        <f t="shared" si="20"/>
        <v>1.274588638225002E-2</v>
      </c>
      <c r="BB97" s="3">
        <f t="shared" si="20"/>
        <v>1.2681399857157433E-2</v>
      </c>
      <c r="BC97" s="3">
        <f t="shared" si="20"/>
        <v>1.2605601469237832E-2</v>
      </c>
      <c r="BD97" s="3">
        <f t="shared" si="20"/>
        <v>1.2518931940419543E-2</v>
      </c>
      <c r="BE97" s="3">
        <f t="shared" si="20"/>
        <v>1.2421809391506361E-2</v>
      </c>
      <c r="BF97" s="3">
        <f t="shared" si="20"/>
        <v>1.231463077262847E-2</v>
      </c>
      <c r="BG97" s="3">
        <f t="shared" si="20"/>
        <v>1.219777318640955E-2</v>
      </c>
      <c r="BH97" s="3">
        <f t="shared" si="20"/>
        <v>1.2071595113121489E-2</v>
      </c>
      <c r="BI97" s="3">
        <f t="shared" si="20"/>
        <v>1.1936437546193644E-2</v>
      </c>
      <c r="BJ97" s="3">
        <f t="shared" si="20"/>
        <v>1.1792625045637094E-2</v>
      </c>
    </row>
    <row r="98" spans="15:62" x14ac:dyDescent="0.25">
      <c r="O98" s="104"/>
      <c r="P98" s="1">
        <v>39</v>
      </c>
      <c r="Q98" s="3">
        <f t="shared" si="14"/>
        <v>0</v>
      </c>
      <c r="R98" s="3">
        <f t="shared" si="20"/>
        <v>1.0942760942760942E-3</v>
      </c>
      <c r="S98" s="3">
        <f t="shared" si="20"/>
        <v>2.1109095388474552E-3</v>
      </c>
      <c r="T98" s="3">
        <f t="shared" si="20"/>
        <v>3.0554462372644189E-3</v>
      </c>
      <c r="U98" s="3">
        <f t="shared" si="20"/>
        <v>3.9329161950726428E-3</v>
      </c>
      <c r="V98" s="3">
        <f t="shared" si="20"/>
        <v>4.7478921445863595E-3</v>
      </c>
      <c r="W98" s="3">
        <f t="shared" si="20"/>
        <v>5.5045403530252024E-3</v>
      </c>
      <c r="X98" s="3">
        <f t="shared" si="20"/>
        <v>6.2066648035027485E-3</v>
      </c>
      <c r="Y98" s="3">
        <f t="shared" si="20"/>
        <v>6.8577457358888691E-3</v>
      </c>
      <c r="Z98" s="3">
        <f t="shared" si="20"/>
        <v>7.4609733700642797E-3</v>
      </c>
      <c r="AA98" s="3">
        <f t="shared" si="20"/>
        <v>8.0192774997969816E-3</v>
      </c>
      <c r="AB98" s="3">
        <f t="shared" si="20"/>
        <v>8.5353535353535365E-3</v>
      </c>
      <c r="AC98" s="3">
        <f t="shared" si="20"/>
        <v>9.0116854822737177E-3</v>
      </c>
      <c r="AD98" s="3">
        <f t="shared" si="20"/>
        <v>9.4505662687480868E-3</v>
      </c>
      <c r="AE98" s="3">
        <f t="shared" si="20"/>
        <v>9.8541157717830091E-3</v>
      </c>
      <c r="AF98" s="3">
        <f t="shared" si="20"/>
        <v>1.0224296840458455E-2</v>
      </c>
      <c r="AG98" s="3">
        <f t="shared" si="20"/>
        <v>1.0562929571194033E-2</v>
      </c>
      <c r="AH98" s="3">
        <f t="shared" si="20"/>
        <v>1.0871704053522236E-2</v>
      </c>
      <c r="AI98" s="3">
        <f t="shared" si="20"/>
        <v>1.1152191774201344E-2</v>
      </c>
      <c r="AJ98" s="3">
        <f t="shared" si="20"/>
        <v>1.1405855841592519E-2</v>
      </c>
      <c r="AK98" s="3">
        <f t="shared" si="20"/>
        <v>1.1634060170269725E-2</v>
      </c>
      <c r="AL98" s="3">
        <f t="shared" si="20"/>
        <v>1.1838077747168656E-2</v>
      </c>
      <c r="AM98" s="3">
        <f t="shared" si="20"/>
        <v>1.2019098084671857E-2</v>
      </c>
      <c r="AN98" s="3">
        <f t="shared" si="20"/>
        <v>1.21782339524275E-2</v>
      </c>
      <c r="AO98" s="3">
        <f t="shared" si="20"/>
        <v>1.2316527468042619E-2</v>
      </c>
      <c r="AP98" s="3">
        <f t="shared" si="20"/>
        <v>1.24349556167738E-2</v>
      </c>
      <c r="AQ98" s="3">
        <f t="shared" si="20"/>
        <v>1.253443526170799E-2</v>
      </c>
      <c r="AR98" s="3">
        <f t="shared" si="20"/>
        <v>1.2615827698472328E-2</v>
      </c>
      <c r="AS98" s="3">
        <f t="shared" si="20"/>
        <v>1.2679942802059491E-2</v>
      </c>
      <c r="AT98" s="3">
        <f t="shared" si="20"/>
        <v>1.2727542807756714E-2</v>
      </c>
      <c r="AU98" s="3">
        <f t="shared" si="20"/>
        <v>1.2759345763298331E-2</v>
      </c>
      <c r="AV98" s="3">
        <f t="shared" si="20"/>
        <v>1.2776028685119595E-2</v>
      </c>
      <c r="AW98" s="3">
        <f t="shared" si="20"/>
        <v>1.277823044788474E-2</v>
      </c>
      <c r="AX98" s="3">
        <f t="shared" si="20"/>
        <v>1.2766554433221101E-2</v>
      </c>
      <c r="AY98" s="3">
        <f t="shared" si="20"/>
        <v>1.2741570960749043E-2</v>
      </c>
      <c r="AZ98" s="3">
        <f t="shared" si="20"/>
        <v>1.2703819522001341E-2</v>
      </c>
      <c r="BA98" s="3">
        <f t="shared" si="20"/>
        <v>1.2653810835629019E-2</v>
      </c>
      <c r="BB98" s="3">
        <f t="shared" si="20"/>
        <v>1.2592028740354101E-2</v>
      </c>
      <c r="BC98" s="3">
        <f t="shared" si="20"/>
        <v>1.2518931940419543E-2</v>
      </c>
      <c r="BD98" s="3">
        <f t="shared" si="20"/>
        <v>1.2434955616773798E-2</v>
      </c>
      <c r="BE98" s="3">
        <f t="shared" si="20"/>
        <v>1.2340512915886909E-2</v>
      </c>
      <c r="BF98" s="3">
        <f t="shared" si="20"/>
        <v>1.2235996326905417E-2</v>
      </c>
      <c r="BG98" s="3">
        <f t="shared" si="20"/>
        <v>1.2121778956795792E-2</v>
      </c>
      <c r="BH98" s="3">
        <f t="shared" si="20"/>
        <v>1.1998215712184672E-2</v>
      </c>
      <c r="BI98" s="3">
        <f t="shared" si="20"/>
        <v>1.1865644395764877E-2</v>
      </c>
      <c r="BJ98" s="3">
        <f t="shared" si="20"/>
        <v>1.1724386724386724E-2</v>
      </c>
    </row>
    <row r="99" spans="15:62" x14ac:dyDescent="0.25">
      <c r="O99" s="104"/>
      <c r="P99" s="2">
        <v>40</v>
      </c>
      <c r="Q99" s="3">
        <f t="shared" si="14"/>
        <v>0</v>
      </c>
      <c r="R99" s="3">
        <f t="shared" ref="R99:BJ104" si="21">IFERROR((VLOOKUP($P99,$D$15:$E$60,2,FALSE)*VLOOKUP(R$8,$B$15:$C$60,2,FALSE))/($P99+R$58),0)</f>
        <v>1.0730612356628618E-3</v>
      </c>
      <c r="S99" s="3">
        <f t="shared" si="21"/>
        <v>2.0712172227323744E-3</v>
      </c>
      <c r="T99" s="3">
        <f t="shared" si="21"/>
        <v>2.9996939087848177E-3</v>
      </c>
      <c r="U99" s="3">
        <f t="shared" si="21"/>
        <v>3.8632421552531743E-3</v>
      </c>
      <c r="V99" s="3">
        <f t="shared" si="21"/>
        <v>4.6661905247763827E-3</v>
      </c>
      <c r="W99" s="3">
        <f t="shared" si="21"/>
        <v>5.4124911832421716E-3</v>
      </c>
      <c r="X99" s="3">
        <f t="shared" si="21"/>
        <v>6.1057599419946278E-3</v>
      </c>
      <c r="Y99" s="3">
        <f t="shared" si="21"/>
        <v>6.7493112947658402E-3</v>
      </c>
      <c r="Z99" s="3">
        <f t="shared" si="21"/>
        <v>7.3461891643709825E-3</v>
      </c>
      <c r="AA99" s="3">
        <f t="shared" si="21"/>
        <v>7.8991939598000212E-3</v>
      </c>
      <c r="AB99" s="3">
        <f t="shared" si="21"/>
        <v>8.410906450122135E-3</v>
      </c>
      <c r="AC99" s="3">
        <f t="shared" si="21"/>
        <v>8.8837088837088844E-3</v>
      </c>
      <c r="AD99" s="3">
        <f t="shared" si="21"/>
        <v>9.319803716601887E-3</v>
      </c>
      <c r="AE99" s="3">
        <f t="shared" si="21"/>
        <v>9.7212302599507978E-3</v>
      </c>
      <c r="AF99" s="3">
        <f t="shared" si="21"/>
        <v>1.0089879511367113E-2</v>
      </c>
      <c r="AG99" s="3">
        <f t="shared" si="21"/>
        <v>1.0427507397204367E-2</v>
      </c>
      <c r="AH99" s="3">
        <f t="shared" si="21"/>
        <v>1.0735746620914083E-2</v>
      </c>
      <c r="AI99" s="3">
        <f t="shared" si="21"/>
        <v>1.1016117285709762E-2</v>
      </c>
      <c r="AJ99" s="3">
        <f t="shared" si="21"/>
        <v>1.1270036436959908E-2</v>
      </c>
      <c r="AK99" s="3">
        <f t="shared" si="21"/>
        <v>1.1498826650341801E-2</v>
      </c>
      <c r="AL99" s="3">
        <f t="shared" si="21"/>
        <v>1.1703723775258796E-2</v>
      </c>
      <c r="AM99" s="3">
        <f t="shared" si="21"/>
        <v>1.1885883928894682E-2</v>
      </c>
      <c r="AN99" s="3">
        <f t="shared" si="21"/>
        <v>1.20463898241676E-2</v>
      </c>
      <c r="AO99" s="3">
        <f t="shared" si="21"/>
        <v>1.218625650443832E-2</v>
      </c>
      <c r="AP99" s="3">
        <f t="shared" si="21"/>
        <v>1.2306436548860792E-2</v>
      </c>
      <c r="AQ99" s="3">
        <f t="shared" si="21"/>
        <v>1.2407824804519019E-2</v>
      </c>
      <c r="AR99" s="3">
        <f t="shared" si="21"/>
        <v>1.2491262694790509E-2</v>
      </c>
      <c r="AS99" s="3">
        <f t="shared" si="21"/>
        <v>1.2557542147559973E-2</v>
      </c>
      <c r="AT99" s="3">
        <f t="shared" si="21"/>
        <v>1.2607409181849235E-2</v>
      </c>
      <c r="AU99" s="3">
        <f t="shared" si="21"/>
        <v>1.2641567187021729E-2</v>
      </c>
      <c r="AV99" s="3">
        <f t="shared" si="21"/>
        <v>1.2660679924871132E-2</v>
      </c>
      <c r="AW99" s="3">
        <f t="shared" si="21"/>
        <v>1.2665374281535897E-2</v>
      </c>
      <c r="AX99" s="3">
        <f t="shared" si="21"/>
        <v>1.2656242793229095E-2</v>
      </c>
      <c r="AY99" s="3">
        <f t="shared" si="21"/>
        <v>1.26338459671793E-2</v>
      </c>
      <c r="AZ99" s="3">
        <f t="shared" si="21"/>
        <v>1.2598714416896235E-2</v>
      </c>
      <c r="BA99" s="3">
        <f t="shared" si="21"/>
        <v>1.255135082886279E-2</v>
      </c>
      <c r="BB99" s="3">
        <f t="shared" si="21"/>
        <v>1.2492231775978331E-2</v>
      </c>
      <c r="BC99" s="3">
        <f t="shared" si="21"/>
        <v>1.2421809391506361E-2</v>
      </c>
      <c r="BD99" s="3">
        <f t="shared" si="21"/>
        <v>1.2340512915886909E-2</v>
      </c>
      <c r="BE99" s="3">
        <f t="shared" si="21"/>
        <v>1.2248750127538005E-2</v>
      </c>
      <c r="BF99" s="3">
        <f t="shared" si="21"/>
        <v>1.2146908667671853E-2</v>
      </c>
      <c r="BG99" s="3">
        <f t="shared" si="21"/>
        <v>1.2035357268173232E-2</v>
      </c>
      <c r="BH99" s="3">
        <f t="shared" si="21"/>
        <v>1.1914446890715602E-2</v>
      </c>
      <c r="BI99" s="3">
        <f t="shared" si="21"/>
        <v>1.1784511784511783E-2</v>
      </c>
      <c r="BJ99" s="3">
        <f t="shared" si="21"/>
        <v>1.1645870469399881E-2</v>
      </c>
    </row>
    <row r="100" spans="15:62" x14ac:dyDescent="0.25">
      <c r="O100" s="104"/>
      <c r="P100" s="1">
        <v>41</v>
      </c>
      <c r="Q100" s="3">
        <f t="shared" si="14"/>
        <v>0</v>
      </c>
      <c r="R100" s="3">
        <f t="shared" si="21"/>
        <v>1.0517877184543852E-3</v>
      </c>
      <c r="S100" s="3">
        <f t="shared" si="21"/>
        <v>2.0313067247528138E-3</v>
      </c>
      <c r="T100" s="3">
        <f t="shared" si="21"/>
        <v>2.9434844310877368E-3</v>
      </c>
      <c r="U100" s="3">
        <f t="shared" si="21"/>
        <v>3.7928102574567224E-3</v>
      </c>
      <c r="V100" s="3">
        <f t="shared" si="21"/>
        <v>4.583383239509721E-3</v>
      </c>
      <c r="W100" s="3">
        <f t="shared" si="21"/>
        <v>5.3189535587988192E-3</v>
      </c>
      <c r="X100" s="3">
        <f t="shared" si="21"/>
        <v>6.002958881746759E-3</v>
      </c>
      <c r="Y100" s="3">
        <f t="shared" si="21"/>
        <v>6.638556248945859E-3</v>
      </c>
      <c r="Z100" s="3">
        <f t="shared" si="21"/>
        <v>7.2286501377410474E-3</v>
      </c>
      <c r="AA100" s="3">
        <f t="shared" si="21"/>
        <v>7.7759172233325532E-3</v>
      </c>
      <c r="AB100" s="3">
        <f t="shared" si="21"/>
        <v>8.2828282828282824E-3</v>
      </c>
      <c r="AC100" s="3">
        <f t="shared" si="21"/>
        <v>8.7516676195921479E-3</v>
      </c>
      <c r="AD100" s="3">
        <f t="shared" si="21"/>
        <v>9.1845503293314732E-3</v>
      </c>
      <c r="AE100" s="3">
        <f t="shared" si="21"/>
        <v>9.5834376826112351E-3</v>
      </c>
      <c r="AF100" s="3">
        <f t="shared" si="21"/>
        <v>9.9501508592417676E-3</v>
      </c>
      <c r="AG100" s="3">
        <f t="shared" si="21"/>
        <v>1.028638323694145E-2</v>
      </c>
      <c r="AH100" s="3">
        <f t="shared" si="21"/>
        <v>1.0593711408758429E-2</v>
      </c>
      <c r="AI100" s="3">
        <f t="shared" si="21"/>
        <v>1.0873605080076575E-2</v>
      </c>
      <c r="AJ100" s="3">
        <f t="shared" si="21"/>
        <v>1.1127435975920825E-2</v>
      </c>
      <c r="AK100" s="3">
        <f t="shared" si="21"/>
        <v>1.1356485872134158E-2</v>
      </c>
      <c r="AL100" s="3">
        <f t="shared" si="21"/>
        <v>1.1561953849343878E-2</v>
      </c>
      <c r="AM100" s="3">
        <f t="shared" si="21"/>
        <v>1.1744962856073966E-2</v>
      </c>
      <c r="AN100" s="3">
        <f t="shared" si="21"/>
        <v>1.1906565656565655E-2</v>
      </c>
      <c r="AO100" s="3">
        <f t="shared" si="21"/>
        <v>1.2047750229568411E-2</v>
      </c>
      <c r="AP100" s="3">
        <f t="shared" si="21"/>
        <v>1.216944467633173E-2</v>
      </c>
      <c r="AQ100" s="3">
        <f t="shared" si="21"/>
        <v>1.2272521689075284E-2</v>
      </c>
      <c r="AR100" s="3">
        <f t="shared" si="21"/>
        <v>1.2357802625182305E-2</v>
      </c>
      <c r="AS100" s="3">
        <f t="shared" si="21"/>
        <v>1.2426061227115245E-2</v>
      </c>
      <c r="AT100" s="3">
        <f t="shared" si="21"/>
        <v>1.247802702348157E-2</v>
      </c>
      <c r="AU100" s="3">
        <f t="shared" si="21"/>
        <v>1.2514388442685495E-2</v>
      </c>
      <c r="AV100" s="3">
        <f t="shared" si="21"/>
        <v>1.2535795667108798E-2</v>
      </c>
      <c r="AW100" s="3">
        <f t="shared" si="21"/>
        <v>1.2542863252701359E-2</v>
      </c>
      <c r="AX100" s="3">
        <f t="shared" si="21"/>
        <v>1.2536172536172535E-2</v>
      </c>
      <c r="AY100" s="3">
        <f t="shared" si="21"/>
        <v>1.2516273849607181E-2</v>
      </c>
      <c r="AZ100" s="3">
        <f t="shared" si="21"/>
        <v>1.2483688560243584E-2</v>
      </c>
      <c r="BA100" s="3">
        <f t="shared" si="21"/>
        <v>1.2438910951307646E-2</v>
      </c>
      <c r="BB100" s="3">
        <f t="shared" si="21"/>
        <v>1.2382409958167534E-2</v>
      </c>
      <c r="BC100" s="3">
        <f t="shared" si="21"/>
        <v>1.231463077262847E-2</v>
      </c>
      <c r="BD100" s="3">
        <f t="shared" si="21"/>
        <v>1.2235996326905417E-2</v>
      </c>
      <c r="BE100" s="3">
        <f t="shared" si="21"/>
        <v>1.2146908667671853E-2</v>
      </c>
      <c r="BF100" s="3">
        <f t="shared" si="21"/>
        <v>1.2047750229568411E-2</v>
      </c>
      <c r="BG100" s="3">
        <f t="shared" si="21"/>
        <v>1.1938885016650623E-2</v>
      </c>
      <c r="BH100" s="3">
        <f t="shared" si="21"/>
        <v>1.1820659699447579E-2</v>
      </c>
      <c r="BI100" s="3">
        <f t="shared" si="21"/>
        <v>1.1693404634581104E-2</v>
      </c>
      <c r="BJ100" s="3">
        <f t="shared" si="21"/>
        <v>1.1557434813248767E-2</v>
      </c>
    </row>
    <row r="101" spans="15:62" x14ac:dyDescent="0.25">
      <c r="O101" s="104"/>
      <c r="P101" s="2">
        <v>42</v>
      </c>
      <c r="Q101" s="3">
        <f t="shared" si="14"/>
        <v>0</v>
      </c>
      <c r="R101" s="3">
        <f t="shared" si="21"/>
        <v>1.030459635110798E-3</v>
      </c>
      <c r="S101" s="3">
        <f t="shared" si="21"/>
        <v>1.9911929209449871E-3</v>
      </c>
      <c r="T101" s="3">
        <f t="shared" si="21"/>
        <v>2.8868482807876752E-3</v>
      </c>
      <c r="U101" s="3">
        <f t="shared" si="21"/>
        <v>3.721669927203524E-3</v>
      </c>
      <c r="V101" s="3">
        <f t="shared" si="21"/>
        <v>4.4995408631772265E-3</v>
      </c>
      <c r="W101" s="3">
        <f t="shared" si="21"/>
        <v>5.2240205081114169E-3</v>
      </c>
      <c r="X101" s="3">
        <f t="shared" si="21"/>
        <v>5.8983777165595337E-3</v>
      </c>
      <c r="Y101" s="3">
        <f t="shared" si="21"/>
        <v>6.525619834710744E-3</v>
      </c>
      <c r="Z101" s="3">
        <f t="shared" si="21"/>
        <v>7.1085183384648623E-3</v>
      </c>
      <c r="AA101" s="3">
        <f t="shared" si="21"/>
        <v>7.6496315132678766E-3</v>
      </c>
      <c r="AB101" s="3">
        <f t="shared" si="21"/>
        <v>8.1513245664189063E-3</v>
      </c>
      <c r="AC101" s="3">
        <f t="shared" si="21"/>
        <v>8.6157875046763942E-3</v>
      </c>
      <c r="AD101" s="3">
        <f t="shared" si="21"/>
        <v>9.045051061579986E-3</v>
      </c>
      <c r="AE101" s="3">
        <f t="shared" si="21"/>
        <v>9.4410009182736444E-3</v>
      </c>
      <c r="AF101" s="3">
        <f t="shared" si="21"/>
        <v>9.8053904273999962E-3</v>
      </c>
      <c r="AG101" s="3">
        <f t="shared" si="21"/>
        <v>1.0139852020729763E-2</v>
      </c>
      <c r="AH101" s="3">
        <f t="shared" si="21"/>
        <v>1.0445907456693279E-2</v>
      </c>
      <c r="AI101" s="3">
        <f t="shared" si="21"/>
        <v>1.0724977043158862E-2</v>
      </c>
      <c r="AJ101" s="3">
        <f t="shared" si="21"/>
        <v>1.0978387953052631E-2</v>
      </c>
      <c r="AK101" s="3">
        <f t="shared" si="21"/>
        <v>1.1207381735240975E-2</v>
      </c>
      <c r="AL101" s="3">
        <f t="shared" si="21"/>
        <v>1.1413121110090808E-2</v>
      </c>
      <c r="AM101" s="3">
        <f t="shared" si="21"/>
        <v>1.1596696127946128E-2</v>
      </c>
      <c r="AN101" s="3">
        <f t="shared" si="21"/>
        <v>1.1759129759129759E-2</v>
      </c>
      <c r="AO101" s="3">
        <f t="shared" si="21"/>
        <v>1.1901382975763141E-2</v>
      </c>
      <c r="AP101" s="3">
        <f t="shared" si="21"/>
        <v>1.2024359378497778E-2</v>
      </c>
      <c r="AQ101" s="3">
        <f t="shared" si="21"/>
        <v>1.2128909415005672E-2</v>
      </c>
      <c r="AR101" s="3">
        <f t="shared" si="21"/>
        <v>1.2215834231644507E-2</v>
      </c>
      <c r="AS101" s="3">
        <f t="shared" si="21"/>
        <v>1.2285889194980104E-2</v>
      </c>
      <c r="AT101" s="3">
        <f t="shared" si="21"/>
        <v>1.2339787115715413E-2</v>
      </c>
      <c r="AU101" s="3">
        <f t="shared" si="21"/>
        <v>1.2378201203958779E-2</v>
      </c>
      <c r="AV101" s="3">
        <f t="shared" si="21"/>
        <v>1.2401767781593435E-2</v>
      </c>
      <c r="AW101" s="3">
        <f t="shared" si="21"/>
        <v>1.2411088774725139E-2</v>
      </c>
      <c r="AX101" s="3">
        <f t="shared" si="21"/>
        <v>1.2406734006734007E-2</v>
      </c>
      <c r="AY101" s="3">
        <f t="shared" si="21"/>
        <v>1.2389243310295941E-2</v>
      </c>
      <c r="AZ101" s="3">
        <f t="shared" si="21"/>
        <v>1.2359128474830955E-2</v>
      </c>
      <c r="BA101" s="3">
        <f t="shared" si="21"/>
        <v>1.2316875044147774E-2</v>
      </c>
      <c r="BB101" s="3">
        <f t="shared" si="21"/>
        <v>1.2262943977558477E-2</v>
      </c>
      <c r="BC101" s="3">
        <f t="shared" si="21"/>
        <v>1.219777318640955E-2</v>
      </c>
      <c r="BD101" s="3">
        <f t="shared" si="21"/>
        <v>1.2121778956795792E-2</v>
      </c>
      <c r="BE101" s="3">
        <f t="shared" si="21"/>
        <v>1.2035357268173232E-2</v>
      </c>
      <c r="BF101" s="3">
        <f t="shared" si="21"/>
        <v>1.1938885016650623E-2</v>
      </c>
      <c r="BG101" s="3">
        <f t="shared" si="21"/>
        <v>1.1832721150902968E-2</v>
      </c>
      <c r="BH101" s="3">
        <f t="shared" si="21"/>
        <v>1.1717207727902917E-2</v>
      </c>
      <c r="BI101" s="3">
        <f t="shared" si="21"/>
        <v>1.1592670894996476E-2</v>
      </c>
      <c r="BJ101" s="3">
        <f t="shared" si="21"/>
        <v>1.145942180424939E-2</v>
      </c>
    </row>
    <row r="102" spans="15:62" x14ac:dyDescent="0.25">
      <c r="O102" s="104"/>
      <c r="P102" s="1">
        <v>43</v>
      </c>
      <c r="Q102" s="3">
        <f t="shared" si="14"/>
        <v>0</v>
      </c>
      <c r="R102" s="3">
        <f t="shared" si="21"/>
        <v>1.0090807060504031E-3</v>
      </c>
      <c r="S102" s="3">
        <f t="shared" si="21"/>
        <v>1.9508893650307794E-3</v>
      </c>
      <c r="T102" s="3">
        <f t="shared" si="21"/>
        <v>2.8298132843587393E-3</v>
      </c>
      <c r="U102" s="3">
        <f t="shared" si="21"/>
        <v>3.6498663835865643E-3</v>
      </c>
      <c r="V102" s="3">
        <f t="shared" si="21"/>
        <v>4.414728088970513E-3</v>
      </c>
      <c r="W102" s="3">
        <f t="shared" si="21"/>
        <v>5.1277774654398039E-3</v>
      </c>
      <c r="X102" s="3">
        <f t="shared" si="21"/>
        <v>5.7921232527293129E-3</v>
      </c>
      <c r="Y102" s="3">
        <f t="shared" si="21"/>
        <v>6.4106303678496202E-3</v>
      </c>
      <c r="Z102" s="3">
        <f t="shared" si="21"/>
        <v>6.9859433495797147E-3</v>
      </c>
      <c r="AA102" s="3">
        <f t="shared" si="21"/>
        <v>7.520507148866212E-3</v>
      </c>
      <c r="AB102" s="3">
        <f t="shared" si="21"/>
        <v>8.0165856091782024E-3</v>
      </c>
      <c r="AC102" s="3">
        <f t="shared" si="21"/>
        <v>8.4762779308233862E-3</v>
      </c>
      <c r="AD102" s="3">
        <f t="shared" si="21"/>
        <v>8.9015333712303413E-3</v>
      </c>
      <c r="AE102" s="3">
        <f t="shared" si="21"/>
        <v>9.2941643978326598E-3</v>
      </c>
      <c r="AF102" s="3">
        <f t="shared" si="21"/>
        <v>9.6558584803098906E-3</v>
      </c>
      <c r="AG102" s="3">
        <f t="shared" si="21"/>
        <v>9.98818868361755E-3</v>
      </c>
      <c r="AH102" s="3">
        <f t="shared" si="21"/>
        <v>1.0292623201714111E-2</v>
      </c>
      <c r="AI102" s="3">
        <f t="shared" si="21"/>
        <v>1.0570533953544388E-2</v>
      </c>
      <c r="AJ102" s="3">
        <f t="shared" si="21"/>
        <v>1.0823204347153517E-2</v>
      </c>
      <c r="AK102" s="3">
        <f t="shared" si="21"/>
        <v>1.1051836304361559E-2</v>
      </c>
      <c r="AL102" s="3">
        <f t="shared" si="21"/>
        <v>1.1257556626874809E-2</v>
      </c>
      <c r="AM102" s="3">
        <f t="shared" si="21"/>
        <v>1.144142277475611E-2</v>
      </c>
      <c r="AN102" s="3">
        <f t="shared" si="21"/>
        <v>1.1604428119579636E-2</v>
      </c>
      <c r="AO102" s="3">
        <f t="shared" si="21"/>
        <v>1.1747506727153948E-2</v>
      </c>
      <c r="AP102" s="3">
        <f t="shared" si="21"/>
        <v>1.1871537718240038E-2</v>
      </c>
      <c r="AQ102" s="3">
        <f t="shared" si="21"/>
        <v>1.1977349250076524E-2</v>
      </c>
      <c r="AR102" s="3">
        <f t="shared" si="21"/>
        <v>1.2065722156631249E-2</v>
      </c>
      <c r="AS102" s="3">
        <f t="shared" si="21"/>
        <v>1.2137393281225975E-2</v>
      </c>
      <c r="AT102" s="3">
        <f t="shared" si="21"/>
        <v>1.2193058531442372E-2</v>
      </c>
      <c r="AU102" s="3">
        <f t="shared" si="21"/>
        <v>1.2233375682939817E-2</v>
      </c>
      <c r="AV102" s="3">
        <f t="shared" si="21"/>
        <v>1.2258966955936654E-2</v>
      </c>
      <c r="AW102" s="3">
        <f t="shared" si="21"/>
        <v>1.2270421385572902E-2</v>
      </c>
      <c r="AX102" s="3">
        <f t="shared" si="21"/>
        <v>1.2268297005139112E-2</v>
      </c>
      <c r="AY102" s="3">
        <f t="shared" si="21"/>
        <v>1.2253122859183466E-2</v>
      </c>
      <c r="AZ102" s="3">
        <f t="shared" si="21"/>
        <v>1.2225400861764501E-2</v>
      </c>
      <c r="BA102" s="3">
        <f t="shared" si="21"/>
        <v>1.2185607513570692E-2</v>
      </c>
      <c r="BB102" s="3">
        <f t="shared" si="21"/>
        <v>1.2134195490256098E-2</v>
      </c>
      <c r="BC102" s="3">
        <f t="shared" si="21"/>
        <v>1.2071595113121489E-2</v>
      </c>
      <c r="BD102" s="3">
        <f t="shared" si="21"/>
        <v>1.1998215712184672E-2</v>
      </c>
      <c r="BE102" s="3">
        <f t="shared" si="21"/>
        <v>1.1914446890715602E-2</v>
      </c>
      <c r="BF102" s="3">
        <f t="shared" si="21"/>
        <v>1.1820659699447579E-2</v>
      </c>
      <c r="BG102" s="3">
        <f t="shared" si="21"/>
        <v>1.1717207727902917E-2</v>
      </c>
      <c r="BH102" s="3">
        <f t="shared" si="21"/>
        <v>1.1604428119579636E-2</v>
      </c>
      <c r="BI102" s="3">
        <f t="shared" si="21"/>
        <v>1.1482642517125276E-2</v>
      </c>
      <c r="BJ102" s="3">
        <f t="shared" si="21"/>
        <v>1.1352157943067036E-2</v>
      </c>
    </row>
    <row r="103" spans="15:62" x14ac:dyDescent="0.25">
      <c r="O103" s="104"/>
      <c r="P103" s="2">
        <v>44</v>
      </c>
      <c r="Q103" s="3">
        <f t="shared" si="14"/>
        <v>0</v>
      </c>
      <c r="R103" s="3">
        <f t="shared" si="21"/>
        <v>9.8765432098765434E-4</v>
      </c>
      <c r="S103" s="3">
        <f t="shared" si="21"/>
        <v>1.9104084321475629E-3</v>
      </c>
      <c r="T103" s="3">
        <f t="shared" si="21"/>
        <v>2.7724049000644748E-3</v>
      </c>
      <c r="U103" s="3">
        <f t="shared" si="21"/>
        <v>3.5774410774410772E-3</v>
      </c>
      <c r="V103" s="3">
        <f t="shared" si="21"/>
        <v>4.3290043290043281E-3</v>
      </c>
      <c r="W103" s="3">
        <f t="shared" si="21"/>
        <v>5.0303030303030308E-3</v>
      </c>
      <c r="X103" s="3">
        <f t="shared" si="21"/>
        <v>5.6842939195880368E-3</v>
      </c>
      <c r="Y103" s="3">
        <f t="shared" si="21"/>
        <v>6.2937062937062933E-3</v>
      </c>
      <c r="Z103" s="3">
        <f t="shared" si="21"/>
        <v>6.8610634648370496E-3</v>
      </c>
      <c r="AA103" s="3">
        <f t="shared" si="21"/>
        <v>7.3887018331462778E-3</v>
      </c>
      <c r="AB103" s="3">
        <f t="shared" si="21"/>
        <v>7.8787878787878792E-3</v>
      </c>
      <c r="AC103" s="3">
        <f t="shared" si="21"/>
        <v>8.3333333333333332E-3</v>
      </c>
      <c r="AD103" s="3">
        <f t="shared" si="21"/>
        <v>8.7542087542087539E-3</v>
      </c>
      <c r="AE103" s="3">
        <f t="shared" si="21"/>
        <v>9.1431556948798325E-3</v>
      </c>
      <c r="AF103" s="3">
        <f t="shared" si="21"/>
        <v>9.5017976373908564E-3</v>
      </c>
      <c r="AG103" s="3">
        <f t="shared" si="21"/>
        <v>9.8316498316498319E-3</v>
      </c>
      <c r="AH103" s="3">
        <f t="shared" si="21"/>
        <v>1.0134128166915052E-2</v>
      </c>
      <c r="AI103" s="3">
        <f t="shared" si="21"/>
        <v>1.0410557184750735E-2</v>
      </c>
      <c r="AJ103" s="3">
        <f t="shared" si="21"/>
        <v>1.0662177328843996E-2</v>
      </c>
      <c r="AK103" s="3">
        <f t="shared" si="21"/>
        <v>1.0890151515151516E-2</v>
      </c>
      <c r="AL103" s="3">
        <f t="shared" si="21"/>
        <v>1.1095571095571095E-2</v>
      </c>
      <c r="AM103" s="3">
        <f t="shared" si="21"/>
        <v>1.127946127946128E-2</v>
      </c>
      <c r="AN103" s="3">
        <f t="shared" si="21"/>
        <v>1.1442786069651741E-2</v>
      </c>
      <c r="AO103" s="3">
        <f t="shared" si="21"/>
        <v>1.158645276292335E-2</v>
      </c>
      <c r="AP103" s="3">
        <f t="shared" si="21"/>
        <v>1.1711316059142147E-2</v>
      </c>
      <c r="AQ103" s="3">
        <f t="shared" si="21"/>
        <v>1.1818181818181818E-2</v>
      </c>
      <c r="AR103" s="3">
        <f t="shared" si="21"/>
        <v>1.1907810499359794E-2</v>
      </c>
      <c r="AS103" s="3">
        <f t="shared" si="21"/>
        <v>1.1980920314253648E-2</v>
      </c>
      <c r="AT103" s="3">
        <f t="shared" si="21"/>
        <v>1.2038190120381903E-2</v>
      </c>
      <c r="AU103" s="3">
        <f t="shared" si="21"/>
        <v>1.2080262080262078E-2</v>
      </c>
      <c r="AV103" s="3">
        <f t="shared" si="21"/>
        <v>1.2107744107744107E-2</v>
      </c>
      <c r="AW103" s="3">
        <f t="shared" si="21"/>
        <v>1.2121212121212121E-2</v>
      </c>
      <c r="AX103" s="3">
        <f t="shared" si="21"/>
        <v>1.2121212121212121E-2</v>
      </c>
      <c r="AY103" s="3">
        <f t="shared" si="21"/>
        <v>1.2108262108262107E-2</v>
      </c>
      <c r="AZ103" s="3">
        <f t="shared" si="21"/>
        <v>1.2082853855005755E-2</v>
      </c>
      <c r="BA103" s="3">
        <f t="shared" si="21"/>
        <v>1.2045454545454547E-2</v>
      </c>
      <c r="BB103" s="3">
        <f t="shared" si="21"/>
        <v>1.1996508292804589E-2</v>
      </c>
      <c r="BC103" s="3">
        <f t="shared" si="21"/>
        <v>1.1936437546193644E-2</v>
      </c>
      <c r="BD103" s="3">
        <f t="shared" si="21"/>
        <v>1.1865644395764877E-2</v>
      </c>
      <c r="BE103" s="3">
        <f t="shared" si="21"/>
        <v>1.1784511784511783E-2</v>
      </c>
      <c r="BF103" s="3">
        <f t="shared" si="21"/>
        <v>1.1693404634581104E-2</v>
      </c>
      <c r="BG103" s="3">
        <f t="shared" si="21"/>
        <v>1.1592670894996476E-2</v>
      </c>
      <c r="BH103" s="3">
        <f t="shared" si="21"/>
        <v>1.1482642517125276E-2</v>
      </c>
      <c r="BI103" s="3">
        <f t="shared" si="21"/>
        <v>1.1363636363636364E-2</v>
      </c>
      <c r="BJ103" s="3">
        <f t="shared" si="21"/>
        <v>1.1235955056179775E-2</v>
      </c>
    </row>
    <row r="104" spans="15:62" x14ac:dyDescent="0.25">
      <c r="O104" s="104"/>
      <c r="P104" s="1">
        <v>45</v>
      </c>
      <c r="Q104" s="3">
        <f t="shared" si="14"/>
        <v>0</v>
      </c>
      <c r="R104" s="3">
        <f t="shared" si="21"/>
        <v>9.6618357487922714E-4</v>
      </c>
      <c r="S104" s="3">
        <f t="shared" si="21"/>
        <v>1.8697614442295296E-3</v>
      </c>
      <c r="T104" s="3">
        <f t="shared" si="21"/>
        <v>2.7146464646464648E-3</v>
      </c>
      <c r="U104" s="3">
        <f t="shared" si="21"/>
        <v>3.5044320758606472E-3</v>
      </c>
      <c r="V104" s="3">
        <f t="shared" si="21"/>
        <v>4.242424242424242E-3</v>
      </c>
      <c r="W104" s="3">
        <f t="shared" si="21"/>
        <v>4.9316696375519909E-3</v>
      </c>
      <c r="X104" s="3">
        <f t="shared" si="21"/>
        <v>5.5749805749805747E-3</v>
      </c>
      <c r="Y104" s="3">
        <f t="shared" si="21"/>
        <v>6.1749571183533445E-3</v>
      </c>
      <c r="Z104" s="3">
        <f t="shared" si="21"/>
        <v>6.7340067340067346E-3</v>
      </c>
      <c r="AA104" s="3">
        <f t="shared" si="21"/>
        <v>7.2543617998163459E-3</v>
      </c>
      <c r="AB104" s="3">
        <f t="shared" si="21"/>
        <v>7.7380952380952384E-3</v>
      </c>
      <c r="AC104" s="3">
        <f t="shared" si="21"/>
        <v>8.1871345029239772E-3</v>
      </c>
      <c r="AD104" s="3">
        <f t="shared" si="21"/>
        <v>8.6032741205154997E-3</v>
      </c>
      <c r="AE104" s="3">
        <f t="shared" si="21"/>
        <v>8.9881869542886485E-3</v>
      </c>
      <c r="AF104" s="3">
        <f t="shared" si="21"/>
        <v>9.3434343434343429E-3</v>
      </c>
      <c r="AG104" s="3">
        <f t="shared" si="21"/>
        <v>9.670475244245736E-3</v>
      </c>
      <c r="AH104" s="3">
        <f t="shared" si="21"/>
        <v>9.9706744868035182E-3</v>
      </c>
      <c r="AI104" s="3">
        <f t="shared" si="21"/>
        <v>1.0245310245310247E-2</v>
      </c>
      <c r="AJ104" s="3">
        <f t="shared" si="21"/>
        <v>1.0495580808080808E-2</v>
      </c>
      <c r="AK104" s="3">
        <f t="shared" si="21"/>
        <v>1.0722610722610723E-2</v>
      </c>
      <c r="AL104" s="3">
        <f t="shared" si="21"/>
        <v>1.0927456382001837E-2</v>
      </c>
      <c r="AM104" s="3">
        <f t="shared" si="21"/>
        <v>1.1111111111111112E-2</v>
      </c>
      <c r="AN104" s="3">
        <f t="shared" si="21"/>
        <v>1.1274509803921568E-2</v>
      </c>
      <c r="AO104" s="3">
        <f t="shared" si="21"/>
        <v>1.1418533157663592E-2</v>
      </c>
      <c r="AP104" s="3">
        <f t="shared" si="21"/>
        <v>1.1544011544011546E-2</v>
      </c>
      <c r="AQ104" s="3">
        <f t="shared" si="21"/>
        <v>1.1651728553137003E-2</v>
      </c>
      <c r="AR104" s="3">
        <f t="shared" si="21"/>
        <v>1.1742424242424242E-2</v>
      </c>
      <c r="AS104" s="3">
        <f t="shared" si="21"/>
        <v>1.181679811816798E-2</v>
      </c>
      <c r="AT104" s="3">
        <f t="shared" si="21"/>
        <v>1.1875511875511877E-2</v>
      </c>
      <c r="AU104" s="3">
        <f t="shared" si="21"/>
        <v>1.1919191919191918E-2</v>
      </c>
      <c r="AV104" s="3">
        <f t="shared" ref="AV104:BJ104" si="22">IFERROR((VLOOKUP($P104,$D$15:$E$60,2,FALSE)*VLOOKUP(AV$8,$B$15:$C$60,2,FALSE))/($P104+AV$58),0)</f>
        <v>1.194843168527379E-2</v>
      </c>
      <c r="AW104" s="3">
        <f t="shared" si="22"/>
        <v>1.1963793781975601E-2</v>
      </c>
      <c r="AX104" s="3">
        <f t="shared" si="22"/>
        <v>1.1965811965811967E-2</v>
      </c>
      <c r="AY104" s="3">
        <f t="shared" si="22"/>
        <v>1.1954992967651195E-2</v>
      </c>
      <c r="AZ104" s="3">
        <f t="shared" si="22"/>
        <v>1.1931818181818182E-2</v>
      </c>
      <c r="BA104" s="3">
        <f t="shared" si="22"/>
        <v>1.1896745230078564E-2</v>
      </c>
      <c r="BB104" s="3">
        <f t="shared" si="22"/>
        <v>1.1850209411185022E-2</v>
      </c>
      <c r="BC104" s="3">
        <f t="shared" si="22"/>
        <v>1.1792625045637094E-2</v>
      </c>
      <c r="BD104" s="3">
        <f t="shared" si="22"/>
        <v>1.1724386724386724E-2</v>
      </c>
      <c r="BE104" s="3">
        <f t="shared" si="22"/>
        <v>1.1645870469399881E-2</v>
      </c>
      <c r="BF104" s="3">
        <f t="shared" si="22"/>
        <v>1.1557434813248767E-2</v>
      </c>
      <c r="BG104" s="3">
        <f t="shared" si="22"/>
        <v>1.145942180424939E-2</v>
      </c>
      <c r="BH104" s="3">
        <f t="shared" si="22"/>
        <v>1.1352157943067036E-2</v>
      </c>
      <c r="BI104" s="3">
        <f t="shared" si="22"/>
        <v>1.1235955056179775E-2</v>
      </c>
      <c r="BJ104" s="3">
        <f t="shared" si="22"/>
        <v>1.1111111111111112E-2</v>
      </c>
    </row>
    <row r="105" spans="15:62" x14ac:dyDescent="0.25">
      <c r="O105" s="16"/>
      <c r="P105" s="2"/>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row>
  </sheetData>
  <sheetProtection algorithmName="SHA-512" hashValue="TMyl1KZRgTR1l6tc8X9He/he1mw+5a2GAlpzBhJnRXsLzHKjbIgLK9ONTSnMj0AfDdXTeiRjNsCGozot/Xb3bQ==" saltValue="cmGcGFpJZuWVvYrUB2clsA==" spinCount="100000" sheet="1" objects="1" scenarios="1" selectLockedCells="1"/>
  <mergeCells count="19">
    <mergeCell ref="O59:O104"/>
    <mergeCell ref="O9:O54"/>
    <mergeCell ref="C11:D11"/>
    <mergeCell ref="C6:D6"/>
    <mergeCell ref="Q57:BI57"/>
    <mergeCell ref="P56:BI56"/>
    <mergeCell ref="C7:D7"/>
    <mergeCell ref="C8:D8"/>
    <mergeCell ref="C10:D10"/>
    <mergeCell ref="Q7:BI7"/>
    <mergeCell ref="B13:C13"/>
    <mergeCell ref="D13:E13"/>
    <mergeCell ref="B1:E1"/>
    <mergeCell ref="G1:I1"/>
    <mergeCell ref="C5:D5"/>
    <mergeCell ref="O6:BI6"/>
    <mergeCell ref="G2:G3"/>
    <mergeCell ref="G4:G5"/>
    <mergeCell ref="C4:D4"/>
  </mergeCells>
  <conditionalFormatting sqref="C5:C6 C11:C12 Q55:BI55 Q9:BJ54">
    <cfRule type="colorScale" priority="21">
      <colorScale>
        <cfvo type="min"/>
        <cfvo type="percentile" val="50"/>
        <cfvo type="max"/>
        <color rgb="FFF8696B"/>
        <color rgb="FFFFEB84"/>
        <color rgb="FF63BE7B"/>
      </colorScale>
    </cfRule>
  </conditionalFormatting>
  <conditionalFormatting sqref="Q105:BI105 Q59:BJ104">
    <cfRule type="colorScale" priority="4">
      <colorScale>
        <cfvo type="min"/>
        <cfvo type="percentile" val="50"/>
        <cfvo type="max"/>
        <color rgb="FFF8696B"/>
        <color rgb="FFFFEB84"/>
        <color rgb="FF63BE7B"/>
      </colorScale>
    </cfRule>
  </conditionalFormatting>
  <conditionalFormatting sqref="C8:C9">
    <cfRule type="colorScale" priority="3">
      <colorScale>
        <cfvo type="min"/>
        <cfvo type="percentile" val="50"/>
        <cfvo type="max"/>
        <color rgb="FFF8696B"/>
        <color rgb="FFFFEB84"/>
        <color rgb="FF63BE7B"/>
      </colorScale>
    </cfRule>
  </conditionalFormatting>
  <conditionalFormatting sqref="I2:I5">
    <cfRule type="duplicateValues" dxfId="135" priority="1"/>
  </conditionalFormatting>
  <dataValidations count="3">
    <dataValidation type="whole" allowBlank="1" showInputMessage="1" showErrorMessage="1" sqref="C3" xr:uid="{81783CB9-FE32-4517-883E-B0C38168770C}">
      <formula1>0</formula1>
      <formula2>44</formula2>
    </dataValidation>
    <dataValidation type="whole" allowBlank="1" showInputMessage="1" showErrorMessage="1" sqref="E3:E10" xr:uid="{DF17651F-AC8E-42D9-B959-A2AB96F22440}">
      <formula1>0</formula1>
      <formula2>46</formula2>
    </dataValidation>
    <dataValidation type="whole" allowBlank="1" showInputMessage="1" showErrorMessage="1" sqref="C2 E2" xr:uid="{14BA2B8F-EFEA-4152-80DF-C903404A9FFD}">
      <formula1>0</formula1>
      <formula2>45</formula2>
    </dataValidation>
  </dataValidations>
  <pageMargins left="0.7" right="0.7" top="0.75" bottom="0.75" header="0.3" footer="0.3"/>
  <pageSetup paperSize="9" orientation="portrait" r:id="rId1"/>
  <ignoredErrors>
    <ignoredError sqref="J3 J5"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536BA-542B-468E-BB9A-A6282BD88F70}">
  <sheetPr codeName="Hoja3"/>
  <dimension ref="B1:AZ67"/>
  <sheetViews>
    <sheetView showGridLines="0" zoomScale="58" zoomScaleNormal="150" workbookViewId="0">
      <selection activeCell="E2" sqref="E2"/>
    </sheetView>
  </sheetViews>
  <sheetFormatPr baseColWidth="10" defaultColWidth="8.85546875" defaultRowHeight="15" x14ac:dyDescent="0.25"/>
  <cols>
    <col min="1" max="1" width="8.85546875" style="1"/>
    <col min="2" max="5" width="22.7109375" style="1" customWidth="1"/>
    <col min="6" max="6" width="8.85546875" style="1"/>
    <col min="7" max="7" width="11.28515625" style="1" customWidth="1"/>
    <col min="8" max="8" width="11.28515625" style="1" hidden="1" customWidth="1"/>
    <col min="9" max="14" width="8.85546875" style="1"/>
    <col min="15" max="15" width="8.85546875" style="1" customWidth="1"/>
    <col min="16" max="48" width="8.85546875" style="1"/>
    <col min="49" max="52" width="8.85546875" style="1" hidden="1" customWidth="1"/>
    <col min="53" max="16384" width="8.85546875" style="1"/>
  </cols>
  <sheetData>
    <row r="1" spans="2:52" ht="14.45" customHeight="1" thickBot="1" x14ac:dyDescent="0.3">
      <c r="B1" s="107" t="s">
        <v>0</v>
      </c>
      <c r="C1" s="107"/>
      <c r="D1" s="107"/>
      <c r="E1" s="107"/>
      <c r="G1" s="95" t="s">
        <v>12</v>
      </c>
      <c r="H1" s="95"/>
      <c r="I1" s="108"/>
    </row>
    <row r="2" spans="2:52" ht="14.45" customHeight="1" thickBot="1" x14ac:dyDescent="0.3">
      <c r="B2" s="4" t="s">
        <v>9</v>
      </c>
      <c r="C2" s="26">
        <v>19</v>
      </c>
      <c r="D2" s="5" t="s">
        <v>10</v>
      </c>
      <c r="E2" s="20">
        <v>17</v>
      </c>
      <c r="G2" s="96" t="s">
        <v>9</v>
      </c>
      <c r="H2" s="17">
        <f ca="1">_xlfn.RANK.EQ(AX7,$AX$7:$AX$36)</f>
        <v>21</v>
      </c>
      <c r="I2" s="8" t="str">
        <f ca="1">_xlfn.CONCAT("4.A.",H2)</f>
        <v>4.A.21</v>
      </c>
      <c r="J2" s="7" t="str">
        <f ca="1">VLOOKUP(I2,ListadoDeTemas1[[Tema]:[Nombre del tema]],2,FALSE)</f>
        <v>Análisis de la evolución de la balanza de pagos y de la Posición de Inversión Internacional de España desde la adopción del euro. Posición neta del Banco de España frente al Eurosistema. La sostenibilidad externa.</v>
      </c>
    </row>
    <row r="3" spans="2:52" ht="14.45" customHeight="1" x14ac:dyDescent="0.25">
      <c r="B3" s="4"/>
      <c r="G3" s="96"/>
      <c r="H3" s="17">
        <f ca="1">_xlfn.RANK.EQ(AX8,$AX$7:$AX$36)</f>
        <v>9</v>
      </c>
      <c r="I3" s="8" t="str">
        <f ca="1">_xlfn.CONCAT("4.A.",H3)</f>
        <v>4.A.9</v>
      </c>
      <c r="J3" s="7" t="str">
        <f ca="1">VLOOKUP(I3,ListadoDeTemas1[[Tema]:[Nombre del tema]],2,FALSE)</f>
        <v>Análisis de la industria en España. Características y situación actual. Los retos de la industria y la política industrial en España en el contexto de las economías desarrolladas. La estrategia de la UE.</v>
      </c>
    </row>
    <row r="4" spans="2:52" ht="14.45" customHeight="1" thickBot="1" x14ac:dyDescent="0.3">
      <c r="C4" s="97" t="s">
        <v>11</v>
      </c>
      <c r="D4" s="97"/>
      <c r="G4" s="96" t="s">
        <v>10</v>
      </c>
      <c r="H4" s="17">
        <f ca="1">_xlfn.RANK.EQ(AZ7,$AZ$7:$AZ$32)</f>
        <v>18</v>
      </c>
      <c r="I4" s="8" t="str">
        <f ca="1">_xlfn.CONCAT("4.B.",H4)</f>
        <v>4.B.18</v>
      </c>
      <c r="J4" s="7" t="str">
        <f ca="1">VLOOKUP(I4,ListadoDeTemas1[[Tema]:[Nombre del tema]],2,FALSE)</f>
        <v>Fiscalidad internacional. El Impuesto sobre la Renta de no Residentes en España. Convenios de doble imposición, con especial referencia al modelo de la OCDE. El problema de la erosión de bases imponibles y propuestas de solución.</v>
      </c>
    </row>
    <row r="5" spans="2:52" ht="14.45" customHeight="1" thickBot="1" x14ac:dyDescent="0.3">
      <c r="C5" s="98">
        <f>VLOOKUP($E$2,$P$6:$AU$33,$C$2+2,FALSE)</f>
        <v>0.77679929266136161</v>
      </c>
      <c r="D5" s="99"/>
      <c r="G5" s="96"/>
      <c r="H5" s="17">
        <f ca="1">_xlfn.RANK.EQ(AZ8,$AZ$7:$AZ$32)</f>
        <v>14</v>
      </c>
      <c r="I5" s="8" t="str">
        <f ca="1">_xlfn.CONCAT("4.B.",H5)</f>
        <v>4.B.14</v>
      </c>
      <c r="J5" s="7" t="str">
        <f ca="1">VLOOKUP(I5,ListadoDeTemas1[[Tema]:[Nombre del tema]],2,FALSE)</f>
        <v>La teoría del federalismo fiscal: la asignación óptima de las funciones entre los distintos niveles de gobierno para alcanzar el bienestar máximo. La financiación de las haciendas territoriales: impuestos, transferencias y deuda.</v>
      </c>
      <c r="O5" s="103" t="s">
        <v>11</v>
      </c>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row>
    <row r="6" spans="2:52" ht="14.45" customHeight="1" x14ac:dyDescent="0.25">
      <c r="C6" s="100" t="str" cm="1">
        <f t="array" ref="C6">IFERROR(_xlfn.IFS(IFERROR(VLOOKUP($E$2,$P$6:$AU$35,$C$2+2,FALSE)&lt;VLOOKUP($E$2+1,$P$6:$AU$35,$C$2+1,FALSE),1=0),"Cambiar un tema de la parte A por un tema de la parte B",VLOOKUP($E$2,$P$6:$AU$35,$C$2+2,FALSE)&lt;VLOOKUP($E$2-1,$P$6:$AU$35,$C$2+3,FALSE),"Cambiar un tema de la parte B por un tema de la parte A"),"")</f>
        <v/>
      </c>
      <c r="D6" s="100"/>
      <c r="Q6" s="2">
        <v>0</v>
      </c>
      <c r="R6" s="2">
        <v>1</v>
      </c>
      <c r="S6" s="2">
        <v>2</v>
      </c>
      <c r="T6" s="2">
        <v>3</v>
      </c>
      <c r="U6" s="2">
        <v>4</v>
      </c>
      <c r="V6" s="2">
        <v>5</v>
      </c>
      <c r="W6" s="2">
        <v>6</v>
      </c>
      <c r="X6" s="2">
        <v>7</v>
      </c>
      <c r="Y6" s="2">
        <v>8</v>
      </c>
      <c r="Z6" s="2">
        <v>9</v>
      </c>
      <c r="AA6" s="2">
        <v>10</v>
      </c>
      <c r="AB6" s="2">
        <v>11</v>
      </c>
      <c r="AC6" s="2">
        <v>12</v>
      </c>
      <c r="AD6" s="2">
        <v>13</v>
      </c>
      <c r="AE6" s="2">
        <v>14</v>
      </c>
      <c r="AF6" s="2">
        <v>15</v>
      </c>
      <c r="AG6" s="2">
        <v>16</v>
      </c>
      <c r="AH6" s="2">
        <v>17</v>
      </c>
      <c r="AI6" s="2">
        <v>18</v>
      </c>
      <c r="AJ6" s="2">
        <v>19</v>
      </c>
      <c r="AK6" s="2">
        <v>20</v>
      </c>
      <c r="AL6" s="2">
        <v>21</v>
      </c>
      <c r="AM6" s="2">
        <v>22</v>
      </c>
      <c r="AN6" s="2">
        <v>23</v>
      </c>
      <c r="AO6" s="2">
        <v>24</v>
      </c>
      <c r="AP6" s="2">
        <v>25</v>
      </c>
      <c r="AQ6" s="2">
        <v>26</v>
      </c>
      <c r="AR6" s="2">
        <v>27</v>
      </c>
      <c r="AS6" s="2">
        <v>28</v>
      </c>
      <c r="AT6" s="2">
        <v>29</v>
      </c>
      <c r="AU6" s="2">
        <v>30</v>
      </c>
      <c r="AX6" s="1" t="s">
        <v>213</v>
      </c>
      <c r="AZ6" s="1" t="s">
        <v>214</v>
      </c>
    </row>
    <row r="7" spans="2:52" ht="14.45" customHeight="1" thickBot="1" x14ac:dyDescent="0.3">
      <c r="C7" s="97" t="s">
        <v>127</v>
      </c>
      <c r="D7" s="97"/>
      <c r="O7" s="104" t="s">
        <v>7</v>
      </c>
      <c r="P7" s="2">
        <v>0</v>
      </c>
      <c r="Q7" s="3">
        <f>VLOOKUP($P7,$D$15:$E$41,2,FALSE)*VLOOKUP(Q$6,$B$15:$C$45,2,FALSE)</f>
        <v>0</v>
      </c>
      <c r="R7" s="3">
        <f t="shared" ref="R7:AU15" si="0">VLOOKUP($P7,$D$15:$E$41,2,FALSE)*VLOOKUP(R$6,$B$15:$C$45,2,FALSE)</f>
        <v>0</v>
      </c>
      <c r="S7" s="3">
        <f t="shared" si="0"/>
        <v>0</v>
      </c>
      <c r="T7" s="3">
        <f t="shared" si="0"/>
        <v>0</v>
      </c>
      <c r="U7" s="3">
        <f t="shared" si="0"/>
        <v>0</v>
      </c>
      <c r="V7" s="3">
        <f t="shared" si="0"/>
        <v>0</v>
      </c>
      <c r="W7" s="3">
        <f t="shared" si="0"/>
        <v>0</v>
      </c>
      <c r="X7" s="3">
        <f t="shared" si="0"/>
        <v>0</v>
      </c>
      <c r="Y7" s="3">
        <f t="shared" si="0"/>
        <v>0</v>
      </c>
      <c r="Z7" s="3">
        <f t="shared" si="0"/>
        <v>0</v>
      </c>
      <c r="AA7" s="3">
        <f t="shared" si="0"/>
        <v>0</v>
      </c>
      <c r="AB7" s="3">
        <f t="shared" si="0"/>
        <v>0</v>
      </c>
      <c r="AC7" s="3">
        <f t="shared" si="0"/>
        <v>0</v>
      </c>
      <c r="AD7" s="3">
        <f t="shared" si="0"/>
        <v>0</v>
      </c>
      <c r="AE7" s="3">
        <f t="shared" si="0"/>
        <v>0</v>
      </c>
      <c r="AF7" s="3">
        <f t="shared" si="0"/>
        <v>0</v>
      </c>
      <c r="AG7" s="3">
        <f t="shared" si="0"/>
        <v>0</v>
      </c>
      <c r="AH7" s="3">
        <f t="shared" si="0"/>
        <v>0</v>
      </c>
      <c r="AI7" s="3">
        <f t="shared" si="0"/>
        <v>0</v>
      </c>
      <c r="AJ7" s="3">
        <f t="shared" si="0"/>
        <v>0</v>
      </c>
      <c r="AK7" s="3">
        <f t="shared" si="0"/>
        <v>0</v>
      </c>
      <c r="AL7" s="3">
        <f t="shared" si="0"/>
        <v>0</v>
      </c>
      <c r="AM7" s="3">
        <f t="shared" si="0"/>
        <v>0</v>
      </c>
      <c r="AN7" s="3">
        <f t="shared" si="0"/>
        <v>0</v>
      </c>
      <c r="AO7" s="3">
        <f t="shared" si="0"/>
        <v>0</v>
      </c>
      <c r="AP7" s="3">
        <f t="shared" si="0"/>
        <v>0</v>
      </c>
      <c r="AQ7" s="3">
        <f t="shared" si="0"/>
        <v>0</v>
      </c>
      <c r="AR7" s="3">
        <f t="shared" si="0"/>
        <v>0</v>
      </c>
      <c r="AS7" s="3">
        <f t="shared" si="0"/>
        <v>0</v>
      </c>
      <c r="AT7" s="3">
        <f t="shared" si="0"/>
        <v>0</v>
      </c>
      <c r="AU7" s="3">
        <f t="shared" si="0"/>
        <v>0</v>
      </c>
      <c r="AW7" s="1">
        <v>1</v>
      </c>
      <c r="AX7" s="1">
        <f ca="1">RAND()</f>
        <v>0.37528968997110812</v>
      </c>
      <c r="AY7" s="1">
        <v>1</v>
      </c>
      <c r="AZ7" s="1">
        <f ca="1">RAND()</f>
        <v>0.4690213122460779</v>
      </c>
    </row>
    <row r="8" spans="2:52" ht="14.45" customHeight="1" thickBot="1" x14ac:dyDescent="0.3">
      <c r="C8" s="98">
        <f>VLOOKUP($E$2,$P$38:$AU$65,$C$2+2,FALSE)</f>
        <v>2.1577758129482268E-2</v>
      </c>
      <c r="D8" s="99"/>
      <c r="O8" s="104"/>
      <c r="P8" s="2">
        <v>1</v>
      </c>
      <c r="Q8" s="3">
        <f t="shared" ref="Q8:AF33" si="1">VLOOKUP($P8,$D$15:$E$41,2,FALSE)*VLOOKUP(Q$6,$B$15:$C$45,2,FALSE)</f>
        <v>0</v>
      </c>
      <c r="R8" s="3">
        <f t="shared" si="1"/>
        <v>5.1282051282051282E-3</v>
      </c>
      <c r="S8" s="3">
        <f t="shared" si="1"/>
        <v>1.0079575596816975E-2</v>
      </c>
      <c r="T8" s="3">
        <f t="shared" si="1"/>
        <v>1.4854111405835544E-2</v>
      </c>
      <c r="U8" s="3">
        <f t="shared" si="1"/>
        <v>1.9451812555260833E-2</v>
      </c>
      <c r="V8" s="3">
        <f t="shared" si="1"/>
        <v>2.387267904509284E-2</v>
      </c>
      <c r="W8" s="3">
        <f t="shared" si="1"/>
        <v>2.8116710875331567E-2</v>
      </c>
      <c r="X8" s="3">
        <f t="shared" si="1"/>
        <v>3.2183908045977018E-2</v>
      </c>
      <c r="Y8" s="3">
        <f t="shared" si="1"/>
        <v>3.6074270557029178E-2</v>
      </c>
      <c r="Z8" s="3">
        <f t="shared" si="1"/>
        <v>3.9787798408488062E-2</v>
      </c>
      <c r="AA8" s="3">
        <f t="shared" si="1"/>
        <v>4.3324491600353669E-2</v>
      </c>
      <c r="AB8" s="3">
        <f t="shared" si="1"/>
        <v>4.6684350132626E-2</v>
      </c>
      <c r="AC8" s="3">
        <f t="shared" si="1"/>
        <v>4.986737400530504E-2</v>
      </c>
      <c r="AD8" s="3">
        <f t="shared" si="1"/>
        <v>5.2873563218390811E-2</v>
      </c>
      <c r="AE8" s="3">
        <f t="shared" si="1"/>
        <v>5.5702917771883291E-2</v>
      </c>
      <c r="AF8" s="3">
        <f t="shared" si="1"/>
        <v>5.8355437665782495E-2</v>
      </c>
      <c r="AG8" s="3">
        <f t="shared" si="0"/>
        <v>6.0831122900088422E-2</v>
      </c>
      <c r="AH8" s="3">
        <f t="shared" si="0"/>
        <v>6.3129973474801065E-2</v>
      </c>
      <c r="AI8" s="3">
        <f t="shared" si="0"/>
        <v>6.5251989389920426E-2</v>
      </c>
      <c r="AJ8" s="3">
        <f t="shared" si="0"/>
        <v>6.7197170645446502E-2</v>
      </c>
      <c r="AK8" s="3">
        <f t="shared" si="0"/>
        <v>6.8965517241379309E-2</v>
      </c>
      <c r="AL8" s="3">
        <f t="shared" si="0"/>
        <v>7.0557029177718833E-2</v>
      </c>
      <c r="AM8" s="3">
        <f t="shared" si="0"/>
        <v>7.1971706454465073E-2</v>
      </c>
      <c r="AN8" s="3">
        <f t="shared" si="0"/>
        <v>7.3209549071618057E-2</v>
      </c>
      <c r="AO8" s="3">
        <f t="shared" si="0"/>
        <v>7.4270557029177731E-2</v>
      </c>
      <c r="AP8" s="3">
        <f t="shared" si="0"/>
        <v>7.515473032714412E-2</v>
      </c>
      <c r="AQ8" s="3">
        <f t="shared" si="0"/>
        <v>7.586206896551724E-2</v>
      </c>
      <c r="AR8" s="3">
        <f t="shared" si="0"/>
        <v>7.6392572944297091E-2</v>
      </c>
      <c r="AS8" s="3">
        <f t="shared" si="0"/>
        <v>7.6746242263483658E-2</v>
      </c>
      <c r="AT8" s="3">
        <f t="shared" si="0"/>
        <v>7.6923076923076927E-2</v>
      </c>
      <c r="AU8" s="3">
        <f t="shared" si="0"/>
        <v>7.6923076923076927E-2</v>
      </c>
      <c r="AW8" s="1">
        <v>2</v>
      </c>
      <c r="AX8" s="1">
        <f t="shared" ref="AX8:AZ36" ca="1" si="2">RAND()</f>
        <v>0.72928242475066474</v>
      </c>
      <c r="AY8" s="1">
        <v>2</v>
      </c>
      <c r="AZ8" s="1">
        <f t="shared" ca="1" si="2"/>
        <v>0.6233434204805528</v>
      </c>
    </row>
    <row r="9" spans="2:52" ht="14.45" customHeight="1" x14ac:dyDescent="0.25">
      <c r="C9" s="14"/>
      <c r="D9" s="14"/>
      <c r="O9" s="104"/>
      <c r="P9" s="2">
        <v>2</v>
      </c>
      <c r="Q9" s="3">
        <f t="shared" si="1"/>
        <v>0</v>
      </c>
      <c r="R9" s="3">
        <f t="shared" si="0"/>
        <v>1.0051282051282051E-2</v>
      </c>
      <c r="S9" s="3">
        <f t="shared" si="0"/>
        <v>1.975596816976127E-2</v>
      </c>
      <c r="T9" s="3">
        <f t="shared" si="0"/>
        <v>2.9114058355437664E-2</v>
      </c>
      <c r="U9" s="3">
        <f t="shared" si="0"/>
        <v>3.8125552608311235E-2</v>
      </c>
      <c r="V9" s="3">
        <f t="shared" si="0"/>
        <v>4.6790450928381966E-2</v>
      </c>
      <c r="W9" s="3">
        <f t="shared" si="0"/>
        <v>5.5108753315649871E-2</v>
      </c>
      <c r="X9" s="3">
        <f t="shared" si="0"/>
        <v>6.3080459770114949E-2</v>
      </c>
      <c r="Y9" s="3">
        <f t="shared" si="0"/>
        <v>7.0705570291777181E-2</v>
      </c>
      <c r="Z9" s="3">
        <f t="shared" si="0"/>
        <v>7.7984084880636587E-2</v>
      </c>
      <c r="AA9" s="3">
        <f t="shared" si="0"/>
        <v>8.4916003536693194E-2</v>
      </c>
      <c r="AB9" s="3">
        <f t="shared" si="0"/>
        <v>9.1501326259946947E-2</v>
      </c>
      <c r="AC9" s="3">
        <f t="shared" si="0"/>
        <v>9.7740053050397874E-2</v>
      </c>
      <c r="AD9" s="3">
        <f t="shared" si="0"/>
        <v>0.10363218390804597</v>
      </c>
      <c r="AE9" s="3">
        <f t="shared" si="0"/>
        <v>0.10917771883289125</v>
      </c>
      <c r="AF9" s="3">
        <f t="shared" si="0"/>
        <v>0.11437665782493368</v>
      </c>
      <c r="AG9" s="3">
        <f t="shared" si="0"/>
        <v>0.11922900088417329</v>
      </c>
      <c r="AH9" s="3">
        <f t="shared" si="0"/>
        <v>0.12373474801061007</v>
      </c>
      <c r="AI9" s="3">
        <f t="shared" si="0"/>
        <v>0.12789389920424404</v>
      </c>
      <c r="AJ9" s="3">
        <f t="shared" si="0"/>
        <v>0.13170645446507515</v>
      </c>
      <c r="AK9" s="3">
        <f t="shared" si="0"/>
        <v>0.13517241379310344</v>
      </c>
      <c r="AL9" s="3">
        <f t="shared" si="0"/>
        <v>0.13829177718832891</v>
      </c>
      <c r="AM9" s="3">
        <f t="shared" si="0"/>
        <v>0.14106454465075155</v>
      </c>
      <c r="AN9" s="3">
        <f t="shared" si="0"/>
        <v>0.14349071618037137</v>
      </c>
      <c r="AO9" s="3">
        <f t="shared" si="0"/>
        <v>0.14557029177718833</v>
      </c>
      <c r="AP9" s="3">
        <f t="shared" si="0"/>
        <v>0.14730327144120248</v>
      </c>
      <c r="AQ9" s="3">
        <f t="shared" si="0"/>
        <v>0.14868965517241378</v>
      </c>
      <c r="AR9" s="3">
        <f t="shared" si="0"/>
        <v>0.14972944297082227</v>
      </c>
      <c r="AS9" s="3">
        <f t="shared" si="0"/>
        <v>0.15042263483642795</v>
      </c>
      <c r="AT9" s="3">
        <f t="shared" si="0"/>
        <v>0.15076923076923077</v>
      </c>
      <c r="AU9" s="3">
        <f t="shared" si="0"/>
        <v>0.15076923076923077</v>
      </c>
      <c r="AW9" s="1">
        <v>3</v>
      </c>
      <c r="AX9" s="1">
        <f t="shared" ca="1" si="2"/>
        <v>0.4253420935920792</v>
      </c>
      <c r="AY9" s="1">
        <v>3</v>
      </c>
      <c r="AZ9" s="1">
        <f t="shared" ca="1" si="2"/>
        <v>0.96071711331014831</v>
      </c>
    </row>
    <row r="10" spans="2:52" ht="14.45" customHeight="1" thickBot="1" x14ac:dyDescent="0.3">
      <c r="C10" s="93" t="s">
        <v>128</v>
      </c>
      <c r="D10" s="93"/>
      <c r="O10" s="104"/>
      <c r="P10" s="2">
        <v>3</v>
      </c>
      <c r="Q10" s="3">
        <f t="shared" si="1"/>
        <v>0</v>
      </c>
      <c r="R10" s="3">
        <f t="shared" si="0"/>
        <v>1.4769230769230767E-2</v>
      </c>
      <c r="S10" s="3">
        <f t="shared" si="0"/>
        <v>2.9029177718832885E-2</v>
      </c>
      <c r="T10" s="3">
        <f t="shared" si="0"/>
        <v>4.2779840848806358E-2</v>
      </c>
      <c r="U10" s="3">
        <f t="shared" si="0"/>
        <v>5.6021220159151196E-2</v>
      </c>
      <c r="V10" s="3">
        <f t="shared" si="0"/>
        <v>6.8753315649867364E-2</v>
      </c>
      <c r="W10" s="3">
        <f t="shared" si="0"/>
        <v>8.0976127320954897E-2</v>
      </c>
      <c r="X10" s="3">
        <f t="shared" si="0"/>
        <v>9.2689655172413787E-2</v>
      </c>
      <c r="Y10" s="3">
        <f t="shared" si="0"/>
        <v>0.10389389920424401</v>
      </c>
      <c r="Z10" s="3">
        <f t="shared" si="0"/>
        <v>0.1145888594164456</v>
      </c>
      <c r="AA10" s="3">
        <f t="shared" si="0"/>
        <v>0.12477453580901855</v>
      </c>
      <c r="AB10" s="3">
        <f t="shared" si="0"/>
        <v>0.13445092838196285</v>
      </c>
      <c r="AC10" s="3">
        <f t="shared" si="0"/>
        <v>0.14361803713527849</v>
      </c>
      <c r="AD10" s="3">
        <f t="shared" si="0"/>
        <v>0.15227586206896551</v>
      </c>
      <c r="AE10" s="3">
        <f t="shared" si="0"/>
        <v>0.16042440318302387</v>
      </c>
      <c r="AF10" s="3">
        <f t="shared" si="0"/>
        <v>0.16806366047745355</v>
      </c>
      <c r="AG10" s="3">
        <f t="shared" si="0"/>
        <v>0.17519363395225462</v>
      </c>
      <c r="AH10" s="3">
        <f t="shared" si="0"/>
        <v>0.18181432360742703</v>
      </c>
      <c r="AI10" s="3">
        <f t="shared" si="0"/>
        <v>0.18792572944297081</v>
      </c>
      <c r="AJ10" s="3">
        <f t="shared" si="0"/>
        <v>0.1935278514588859</v>
      </c>
      <c r="AK10" s="3">
        <f t="shared" si="0"/>
        <v>0.19862068965517241</v>
      </c>
      <c r="AL10" s="3">
        <f t="shared" si="0"/>
        <v>0.20320424403183021</v>
      </c>
      <c r="AM10" s="3">
        <f t="shared" si="0"/>
        <v>0.20727851458885937</v>
      </c>
      <c r="AN10" s="3">
        <f t="shared" si="0"/>
        <v>0.21084350132625995</v>
      </c>
      <c r="AO10" s="3">
        <f t="shared" si="0"/>
        <v>0.21389920424403183</v>
      </c>
      <c r="AP10" s="3">
        <f t="shared" si="0"/>
        <v>0.21644562334217504</v>
      </c>
      <c r="AQ10" s="3">
        <f t="shared" si="0"/>
        <v>0.21848275862068964</v>
      </c>
      <c r="AR10" s="3">
        <f t="shared" si="0"/>
        <v>0.22001061007957556</v>
      </c>
      <c r="AS10" s="3">
        <f t="shared" si="0"/>
        <v>0.22102917771883288</v>
      </c>
      <c r="AT10" s="3">
        <f t="shared" si="0"/>
        <v>0.22153846153846152</v>
      </c>
      <c r="AU10" s="3">
        <f t="shared" si="0"/>
        <v>0.22153846153846152</v>
      </c>
      <c r="AW10" s="1">
        <v>4</v>
      </c>
      <c r="AX10" s="1">
        <f t="shared" ca="1" si="2"/>
        <v>9.1197189726126782E-2</v>
      </c>
      <c r="AY10" s="1">
        <v>4</v>
      </c>
      <c r="AZ10" s="1">
        <f t="shared" ca="1" si="2"/>
        <v>0.25148897175325502</v>
      </c>
    </row>
    <row r="11" spans="2:52" ht="14.45" customHeight="1" thickBot="1" x14ac:dyDescent="0.3">
      <c r="C11" s="101">
        <f>C8/MAX(Q39:AU65)</f>
        <v>1</v>
      </c>
      <c r="D11" s="102"/>
      <c r="O11" s="104"/>
      <c r="P11" s="2">
        <v>4</v>
      </c>
      <c r="Q11" s="3">
        <f t="shared" si="1"/>
        <v>0</v>
      </c>
      <c r="R11" s="3">
        <f t="shared" si="0"/>
        <v>1.9282051282051283E-2</v>
      </c>
      <c r="S11" s="3">
        <f t="shared" si="0"/>
        <v>3.7899204244031828E-2</v>
      </c>
      <c r="T11" s="3">
        <f t="shared" si="0"/>
        <v>5.5851458885941646E-2</v>
      </c>
      <c r="U11" s="3">
        <f t="shared" si="0"/>
        <v>7.3138815207780733E-2</v>
      </c>
      <c r="V11" s="3">
        <f t="shared" si="0"/>
        <v>8.9761273209549075E-2</v>
      </c>
      <c r="W11" s="3">
        <f t="shared" si="0"/>
        <v>0.10571883289124669</v>
      </c>
      <c r="X11" s="3">
        <f t="shared" si="0"/>
        <v>0.12101149425287357</v>
      </c>
      <c r="Y11" s="3">
        <f t="shared" si="0"/>
        <v>0.13563925729442969</v>
      </c>
      <c r="Z11" s="3">
        <f t="shared" si="0"/>
        <v>0.14960212201591511</v>
      </c>
      <c r="AA11" s="3">
        <f t="shared" si="0"/>
        <v>0.16290008841732978</v>
      </c>
      <c r="AB11" s="3">
        <f t="shared" si="0"/>
        <v>0.17553315649867374</v>
      </c>
      <c r="AC11" s="3">
        <f t="shared" si="0"/>
        <v>0.18750132625994695</v>
      </c>
      <c r="AD11" s="3">
        <f t="shared" si="0"/>
        <v>0.19880459770114944</v>
      </c>
      <c r="AE11" s="3">
        <f t="shared" si="0"/>
        <v>0.20944297082228117</v>
      </c>
      <c r="AF11" s="3">
        <f t="shared" si="0"/>
        <v>0.21941644562334217</v>
      </c>
      <c r="AG11" s="3">
        <f t="shared" si="0"/>
        <v>0.22872502210433246</v>
      </c>
      <c r="AH11" s="3">
        <f t="shared" si="0"/>
        <v>0.23736870026525198</v>
      </c>
      <c r="AI11" s="3">
        <f t="shared" si="0"/>
        <v>0.2453474801061008</v>
      </c>
      <c r="AJ11" s="3">
        <f t="shared" si="0"/>
        <v>0.25266136162687886</v>
      </c>
      <c r="AK11" s="3">
        <f t="shared" si="0"/>
        <v>0.25931034482758619</v>
      </c>
      <c r="AL11" s="3">
        <f t="shared" si="0"/>
        <v>0.26529442970822281</v>
      </c>
      <c r="AM11" s="3">
        <f t="shared" si="0"/>
        <v>0.27061361626878866</v>
      </c>
      <c r="AN11" s="3">
        <f t="shared" si="0"/>
        <v>0.27526790450928385</v>
      </c>
      <c r="AO11" s="3">
        <f t="shared" si="0"/>
        <v>0.27925729442970826</v>
      </c>
      <c r="AP11" s="3">
        <f t="shared" si="0"/>
        <v>0.2825817860300619</v>
      </c>
      <c r="AQ11" s="3">
        <f t="shared" si="0"/>
        <v>0.28524137931034482</v>
      </c>
      <c r="AR11" s="3">
        <f t="shared" si="0"/>
        <v>0.28723607427055703</v>
      </c>
      <c r="AS11" s="3">
        <f t="shared" si="0"/>
        <v>0.28856587091069852</v>
      </c>
      <c r="AT11" s="3">
        <f t="shared" si="0"/>
        <v>0.28923076923076924</v>
      </c>
      <c r="AU11" s="3">
        <f t="shared" si="0"/>
        <v>0.28923076923076924</v>
      </c>
      <c r="AW11" s="1">
        <v>5</v>
      </c>
      <c r="AX11" s="1">
        <f t="shared" ca="1" si="2"/>
        <v>0.8552346598559708</v>
      </c>
      <c r="AY11" s="1">
        <v>5</v>
      </c>
      <c r="AZ11" s="1">
        <f t="shared" ca="1" si="2"/>
        <v>0.91728931697935079</v>
      </c>
    </row>
    <row r="12" spans="2:52" ht="14.45" customHeight="1" x14ac:dyDescent="0.25">
      <c r="C12" s="13"/>
      <c r="D12" s="13"/>
      <c r="O12" s="104"/>
      <c r="P12" s="2">
        <v>5</v>
      </c>
      <c r="Q12" s="3">
        <f t="shared" si="1"/>
        <v>0</v>
      </c>
      <c r="R12" s="3">
        <f t="shared" si="0"/>
        <v>2.3589743589743591E-2</v>
      </c>
      <c r="S12" s="3">
        <f t="shared" si="0"/>
        <v>4.6366047745358088E-2</v>
      </c>
      <c r="T12" s="3">
        <f t="shared" si="0"/>
        <v>6.83289124668435E-2</v>
      </c>
      <c r="U12" s="3">
        <f t="shared" si="0"/>
        <v>8.9478337754199833E-2</v>
      </c>
      <c r="V12" s="3">
        <f t="shared" si="0"/>
        <v>0.10981432360742706</v>
      </c>
      <c r="W12" s="3">
        <f t="shared" si="0"/>
        <v>0.12933687002652522</v>
      </c>
      <c r="X12" s="3">
        <f t="shared" si="0"/>
        <v>0.14804597701149427</v>
      </c>
      <c r="Y12" s="3">
        <f t="shared" si="0"/>
        <v>0.16594164456233421</v>
      </c>
      <c r="Z12" s="3">
        <f t="shared" si="0"/>
        <v>0.18302387267904507</v>
      </c>
      <c r="AA12" s="3">
        <f t="shared" si="0"/>
        <v>0.19929266136162688</v>
      </c>
      <c r="AB12" s="3">
        <f t="shared" si="0"/>
        <v>0.21474801061007959</v>
      </c>
      <c r="AC12" s="3">
        <f t="shared" si="0"/>
        <v>0.22938992042440318</v>
      </c>
      <c r="AD12" s="3">
        <f t="shared" si="0"/>
        <v>0.24321839080459773</v>
      </c>
      <c r="AE12" s="3">
        <f t="shared" si="0"/>
        <v>0.25623342175066316</v>
      </c>
      <c r="AF12" s="3">
        <f t="shared" si="0"/>
        <v>0.2684350132625995</v>
      </c>
      <c r="AG12" s="3">
        <f t="shared" si="0"/>
        <v>0.27982316534040674</v>
      </c>
      <c r="AH12" s="3">
        <f t="shared" si="0"/>
        <v>0.2903978779840849</v>
      </c>
      <c r="AI12" s="3">
        <f t="shared" si="0"/>
        <v>0.30015915119363396</v>
      </c>
      <c r="AJ12" s="3">
        <f t="shared" si="0"/>
        <v>0.30910698496905392</v>
      </c>
      <c r="AK12" s="3">
        <f t="shared" si="0"/>
        <v>0.31724137931034485</v>
      </c>
      <c r="AL12" s="3">
        <f t="shared" si="0"/>
        <v>0.32456233421750663</v>
      </c>
      <c r="AM12" s="3">
        <f t="shared" si="0"/>
        <v>0.33106984969053932</v>
      </c>
      <c r="AN12" s="3">
        <f t="shared" si="0"/>
        <v>0.33676392572944303</v>
      </c>
      <c r="AO12" s="3">
        <f t="shared" si="0"/>
        <v>0.34164456233421753</v>
      </c>
      <c r="AP12" s="3">
        <f t="shared" si="0"/>
        <v>0.34571175950486299</v>
      </c>
      <c r="AQ12" s="3">
        <f t="shared" si="0"/>
        <v>0.34896551724137931</v>
      </c>
      <c r="AR12" s="3">
        <f t="shared" si="0"/>
        <v>0.35140583554376659</v>
      </c>
      <c r="AS12" s="3">
        <f t="shared" si="0"/>
        <v>0.35303271441202483</v>
      </c>
      <c r="AT12" s="3">
        <f t="shared" si="0"/>
        <v>0.35384615384615387</v>
      </c>
      <c r="AU12" s="3">
        <f t="shared" si="0"/>
        <v>0.35384615384615387</v>
      </c>
      <c r="AW12" s="1">
        <v>6</v>
      </c>
      <c r="AX12" s="1">
        <f t="shared" ca="1" si="2"/>
        <v>0.7024436561691455</v>
      </c>
      <c r="AY12" s="1">
        <v>6</v>
      </c>
      <c r="AZ12" s="1">
        <f t="shared" ca="1" si="2"/>
        <v>0.40926511065645099</v>
      </c>
    </row>
    <row r="13" spans="2:52" ht="14.45" customHeight="1" x14ac:dyDescent="0.25">
      <c r="B13" s="93" t="s">
        <v>1</v>
      </c>
      <c r="C13" s="93"/>
      <c r="D13" s="93" t="s">
        <v>3</v>
      </c>
      <c r="E13" s="93"/>
      <c r="O13" s="104"/>
      <c r="P13" s="2">
        <v>6</v>
      </c>
      <c r="Q13" s="3">
        <f t="shared" si="1"/>
        <v>0</v>
      </c>
      <c r="R13" s="3">
        <f t="shared" si="0"/>
        <v>2.7692307692307693E-2</v>
      </c>
      <c r="S13" s="3">
        <f t="shared" si="0"/>
        <v>5.4429708222811665E-2</v>
      </c>
      <c r="T13" s="3">
        <f t="shared" si="0"/>
        <v>8.0212201591511934E-2</v>
      </c>
      <c r="U13" s="3">
        <f t="shared" si="0"/>
        <v>0.1050397877984085</v>
      </c>
      <c r="V13" s="3">
        <f t="shared" si="0"/>
        <v>0.12891246684350133</v>
      </c>
      <c r="W13" s="3">
        <f t="shared" si="0"/>
        <v>0.15183023872679047</v>
      </c>
      <c r="X13" s="3">
        <f t="shared" si="0"/>
        <v>0.17379310344827589</v>
      </c>
      <c r="Y13" s="3">
        <f t="shared" si="0"/>
        <v>0.19480106100795755</v>
      </c>
      <c r="Z13" s="3">
        <f t="shared" si="0"/>
        <v>0.21485411140583552</v>
      </c>
      <c r="AA13" s="3">
        <f t="shared" si="0"/>
        <v>0.23395225464190983</v>
      </c>
      <c r="AB13" s="3">
        <f t="shared" si="0"/>
        <v>0.25209549071618037</v>
      </c>
      <c r="AC13" s="3">
        <f t="shared" si="0"/>
        <v>0.26928381962864723</v>
      </c>
      <c r="AD13" s="3">
        <f t="shared" si="0"/>
        <v>0.28551724137931034</v>
      </c>
      <c r="AE13" s="3">
        <f t="shared" si="0"/>
        <v>0.30079575596816976</v>
      </c>
      <c r="AF13" s="3">
        <f t="shared" si="0"/>
        <v>0.31511936339522545</v>
      </c>
      <c r="AG13" s="3">
        <f t="shared" si="0"/>
        <v>0.32848806366047745</v>
      </c>
      <c r="AH13" s="3">
        <f t="shared" si="0"/>
        <v>0.34090185676392576</v>
      </c>
      <c r="AI13" s="3">
        <f t="shared" si="0"/>
        <v>0.35236074270557033</v>
      </c>
      <c r="AJ13" s="3">
        <f t="shared" si="0"/>
        <v>0.36286472148541116</v>
      </c>
      <c r="AK13" s="3">
        <f t="shared" si="0"/>
        <v>0.3724137931034483</v>
      </c>
      <c r="AL13" s="3">
        <f t="shared" si="0"/>
        <v>0.3810079575596817</v>
      </c>
      <c r="AM13" s="3">
        <f t="shared" si="0"/>
        <v>0.38864721485411141</v>
      </c>
      <c r="AN13" s="3">
        <f t="shared" si="0"/>
        <v>0.39533156498673749</v>
      </c>
      <c r="AO13" s="3">
        <f t="shared" si="0"/>
        <v>0.40106100795755972</v>
      </c>
      <c r="AP13" s="3">
        <f t="shared" si="0"/>
        <v>0.40583554376657827</v>
      </c>
      <c r="AQ13" s="3">
        <f t="shared" si="0"/>
        <v>0.40965517241379312</v>
      </c>
      <c r="AR13" s="3">
        <f t="shared" si="0"/>
        <v>0.41251989389920424</v>
      </c>
      <c r="AS13" s="3">
        <f t="shared" si="0"/>
        <v>0.41442970822281172</v>
      </c>
      <c r="AT13" s="3">
        <f t="shared" si="0"/>
        <v>0.41538461538461541</v>
      </c>
      <c r="AU13" s="3">
        <f t="shared" si="0"/>
        <v>0.41538461538461541</v>
      </c>
      <c r="AW13" s="1">
        <v>7</v>
      </c>
      <c r="AX13" s="1">
        <f t="shared" ca="1" si="2"/>
        <v>0.92508239082640187</v>
      </c>
      <c r="AY13" s="1">
        <v>7</v>
      </c>
      <c r="AZ13" s="1">
        <f t="shared" ca="1" si="2"/>
        <v>0.49869269201935174</v>
      </c>
    </row>
    <row r="14" spans="2:52" x14ac:dyDescent="0.25">
      <c r="B14" s="1" t="s">
        <v>4</v>
      </c>
      <c r="C14" s="1" t="s">
        <v>2</v>
      </c>
      <c r="D14" s="1" t="s">
        <v>4</v>
      </c>
      <c r="E14" s="1" t="s">
        <v>2</v>
      </c>
      <c r="O14" s="104"/>
      <c r="P14" s="2">
        <v>7</v>
      </c>
      <c r="Q14" s="3">
        <f t="shared" si="1"/>
        <v>0</v>
      </c>
      <c r="R14" s="3">
        <f t="shared" si="0"/>
        <v>3.1589743589743584E-2</v>
      </c>
      <c r="S14" s="3">
        <f t="shared" si="0"/>
        <v>6.2090185676392559E-2</v>
      </c>
      <c r="T14" s="3">
        <f t="shared" si="0"/>
        <v>9.1501326259946947E-2</v>
      </c>
      <c r="U14" s="3">
        <f t="shared" si="0"/>
        <v>0.11982316534040673</v>
      </c>
      <c r="V14" s="3">
        <f t="shared" si="0"/>
        <v>0.14705570291777187</v>
      </c>
      <c r="W14" s="3">
        <f t="shared" si="0"/>
        <v>0.17319893899204242</v>
      </c>
      <c r="X14" s="3">
        <f t="shared" si="0"/>
        <v>0.19825287356321838</v>
      </c>
      <c r="Y14" s="3">
        <f t="shared" si="0"/>
        <v>0.22221750663129969</v>
      </c>
      <c r="Z14" s="3">
        <f t="shared" si="0"/>
        <v>0.24509283819628641</v>
      </c>
      <c r="AA14" s="3">
        <f t="shared" si="0"/>
        <v>0.26687886825817858</v>
      </c>
      <c r="AB14" s="3">
        <f t="shared" si="0"/>
        <v>0.28757559681697609</v>
      </c>
      <c r="AC14" s="3">
        <f t="shared" si="0"/>
        <v>0.30718302387267898</v>
      </c>
      <c r="AD14" s="3">
        <f t="shared" si="0"/>
        <v>0.32570114942528733</v>
      </c>
      <c r="AE14" s="3">
        <f t="shared" si="0"/>
        <v>0.34312997347480101</v>
      </c>
      <c r="AF14" s="3">
        <f t="shared" si="0"/>
        <v>0.35946949602122014</v>
      </c>
      <c r="AG14" s="3">
        <f t="shared" si="0"/>
        <v>0.3747197170645446</v>
      </c>
      <c r="AH14" s="3">
        <f t="shared" si="0"/>
        <v>0.38888063660477451</v>
      </c>
      <c r="AI14" s="3">
        <f t="shared" si="0"/>
        <v>0.40195225464190981</v>
      </c>
      <c r="AJ14" s="3">
        <f t="shared" si="0"/>
        <v>0.41393457117595039</v>
      </c>
      <c r="AK14" s="3">
        <f t="shared" si="0"/>
        <v>0.42482758620689653</v>
      </c>
      <c r="AL14" s="3">
        <f t="shared" si="0"/>
        <v>0.43463129973474796</v>
      </c>
      <c r="AM14" s="3">
        <f t="shared" si="0"/>
        <v>0.44334571175950482</v>
      </c>
      <c r="AN14" s="3">
        <f t="shared" si="0"/>
        <v>0.45097082228116714</v>
      </c>
      <c r="AO14" s="3">
        <f t="shared" si="0"/>
        <v>0.45750663129973473</v>
      </c>
      <c r="AP14" s="3">
        <f t="shared" si="0"/>
        <v>0.46295313881520778</v>
      </c>
      <c r="AQ14" s="3">
        <f t="shared" si="0"/>
        <v>0.46731034482758615</v>
      </c>
      <c r="AR14" s="3">
        <f t="shared" si="0"/>
        <v>0.47057824933686998</v>
      </c>
      <c r="AS14" s="3">
        <f t="shared" si="0"/>
        <v>0.47275685234305925</v>
      </c>
      <c r="AT14" s="3">
        <f t="shared" si="0"/>
        <v>0.47384615384615381</v>
      </c>
      <c r="AU14" s="3">
        <f t="shared" si="0"/>
        <v>0.47384615384615381</v>
      </c>
      <c r="AW14" s="1">
        <v>8</v>
      </c>
      <c r="AX14" s="1">
        <f t="shared" ca="1" si="2"/>
        <v>0.41496028328106283</v>
      </c>
      <c r="AY14" s="1">
        <v>8</v>
      </c>
      <c r="AZ14" s="1">
        <f t="shared" ca="1" si="2"/>
        <v>0.90857638562410403</v>
      </c>
    </row>
    <row r="15" spans="2:52" ht="14.45" customHeight="1" x14ac:dyDescent="0.25">
      <c r="B15" s="1">
        <v>30</v>
      </c>
      <c r="C15" s="3">
        <f>(B15/30)+(((30-B15)/30)*(B15/29))</f>
        <v>1</v>
      </c>
      <c r="D15" s="1">
        <v>26</v>
      </c>
      <c r="E15" s="3">
        <f>(D15/26)+(((26-D15)/26)*(D15/25))</f>
        <v>1</v>
      </c>
      <c r="O15" s="104"/>
      <c r="P15" s="2">
        <v>8</v>
      </c>
      <c r="Q15" s="3">
        <f t="shared" si="1"/>
        <v>0</v>
      </c>
      <c r="R15" s="3">
        <f t="shared" si="0"/>
        <v>3.5282051282051287E-2</v>
      </c>
      <c r="S15" s="3">
        <f t="shared" si="0"/>
        <v>6.9347480106100798E-2</v>
      </c>
      <c r="T15" s="3">
        <f t="shared" si="0"/>
        <v>0.10219628647214855</v>
      </c>
      <c r="U15" s="3">
        <f t="shared" si="0"/>
        <v>0.13382847038019455</v>
      </c>
      <c r="V15" s="3">
        <f t="shared" si="0"/>
        <v>0.16424403183023875</v>
      </c>
      <c r="W15" s="3">
        <f t="shared" si="0"/>
        <v>0.19344297082228118</v>
      </c>
      <c r="X15" s="3">
        <f t="shared" si="0"/>
        <v>0.22142528735632186</v>
      </c>
      <c r="Y15" s="3">
        <f t="shared" si="0"/>
        <v>0.24819098143236074</v>
      </c>
      <c r="Z15" s="3">
        <f t="shared" si="0"/>
        <v>0.27374005305039789</v>
      </c>
      <c r="AA15" s="3">
        <f t="shared" si="0"/>
        <v>0.29807250221043324</v>
      </c>
      <c r="AB15" s="3">
        <f t="shared" si="0"/>
        <v>0.32118832891246685</v>
      </c>
      <c r="AC15" s="3">
        <f t="shared" si="0"/>
        <v>0.3430875331564987</v>
      </c>
      <c r="AD15" s="3">
        <f t="shared" si="0"/>
        <v>0.36377011494252876</v>
      </c>
      <c r="AE15" s="3">
        <f t="shared" si="0"/>
        <v>0.38323607427055706</v>
      </c>
      <c r="AF15" s="3">
        <f t="shared" si="0"/>
        <v>0.40148541114058356</v>
      </c>
      <c r="AG15" s="3">
        <f t="shared" si="0"/>
        <v>0.41851812555260837</v>
      </c>
      <c r="AH15" s="3">
        <f t="shared" si="0"/>
        <v>0.43433421750663131</v>
      </c>
      <c r="AI15" s="3">
        <f t="shared" si="0"/>
        <v>0.44893368700265257</v>
      </c>
      <c r="AJ15" s="3">
        <f t="shared" si="0"/>
        <v>0.46231653404067197</v>
      </c>
      <c r="AK15" s="3">
        <f t="shared" si="0"/>
        <v>0.47448275862068973</v>
      </c>
      <c r="AL15" s="3">
        <f t="shared" si="0"/>
        <v>0.48543236074270557</v>
      </c>
      <c r="AM15" s="3">
        <f t="shared" si="0"/>
        <v>0.49516534040671972</v>
      </c>
      <c r="AN15" s="3">
        <f t="shared" si="0"/>
        <v>0.50368169761273218</v>
      </c>
      <c r="AO15" s="3">
        <f t="shared" si="0"/>
        <v>0.51098143236074278</v>
      </c>
      <c r="AP15" s="3">
        <f t="shared" si="0"/>
        <v>0.51706454465075158</v>
      </c>
      <c r="AQ15" s="3">
        <f t="shared" si="0"/>
        <v>0.52193103448275868</v>
      </c>
      <c r="AR15" s="3">
        <f t="shared" si="0"/>
        <v>0.52558090185676398</v>
      </c>
      <c r="AS15" s="3">
        <f t="shared" si="0"/>
        <v>0.52801414677276759</v>
      </c>
      <c r="AT15" s="3">
        <f t="shared" si="0"/>
        <v>0.52923076923076928</v>
      </c>
      <c r="AU15" s="3">
        <f t="shared" si="0"/>
        <v>0.52923076923076928</v>
      </c>
      <c r="AW15" s="1">
        <v>9</v>
      </c>
      <c r="AX15" s="1">
        <f t="shared" ca="1" si="2"/>
        <v>0.58466564765350604</v>
      </c>
      <c r="AY15" s="1">
        <v>9</v>
      </c>
      <c r="AZ15" s="1">
        <f t="shared" ca="1" si="2"/>
        <v>0.46016127814310948</v>
      </c>
    </row>
    <row r="16" spans="2:52" ht="13.9" customHeight="1" x14ac:dyDescent="0.25">
      <c r="B16" s="1">
        <v>29</v>
      </c>
      <c r="C16" s="3">
        <f t="shared" ref="C16:C45" si="3">(B16/30)+(((30-B16)/30)*(B16/29))</f>
        <v>1</v>
      </c>
      <c r="D16" s="1">
        <v>25</v>
      </c>
      <c r="E16" s="3">
        <f t="shared" ref="E16:E41" si="4">(D16/26)+(((26-D16)/26)*(D16/25))</f>
        <v>1</v>
      </c>
      <c r="O16" s="104"/>
      <c r="P16" s="2">
        <v>9</v>
      </c>
      <c r="Q16" s="3">
        <f t="shared" si="1"/>
        <v>0</v>
      </c>
      <c r="R16" s="3">
        <f t="shared" ref="R16:AU24" si="5">VLOOKUP($P16,$D$15:$E$41,2,FALSE)*VLOOKUP(R$6,$B$15:$C$45,2,FALSE)</f>
        <v>3.8769230769230771E-2</v>
      </c>
      <c r="S16" s="3">
        <f t="shared" si="5"/>
        <v>7.620159151193634E-2</v>
      </c>
      <c r="T16" s="3">
        <f t="shared" si="5"/>
        <v>0.11229708222811671</v>
      </c>
      <c r="U16" s="3">
        <f t="shared" si="5"/>
        <v>0.1470557029177719</v>
      </c>
      <c r="V16" s="3">
        <f t="shared" si="5"/>
        <v>0.18047745358090186</v>
      </c>
      <c r="W16" s="3">
        <f t="shared" si="5"/>
        <v>0.21256233421750664</v>
      </c>
      <c r="X16" s="3">
        <f t="shared" si="5"/>
        <v>0.24331034482758623</v>
      </c>
      <c r="Y16" s="3">
        <f t="shared" si="5"/>
        <v>0.27272148541114055</v>
      </c>
      <c r="Z16" s="3">
        <f t="shared" si="5"/>
        <v>0.30079575596816971</v>
      </c>
      <c r="AA16" s="3">
        <f t="shared" si="5"/>
        <v>0.32753315649867376</v>
      </c>
      <c r="AB16" s="3">
        <f t="shared" si="5"/>
        <v>0.35293368700265254</v>
      </c>
      <c r="AC16" s="3">
        <f t="shared" si="5"/>
        <v>0.3769973474801061</v>
      </c>
      <c r="AD16" s="3">
        <f t="shared" si="5"/>
        <v>0.39972413793103451</v>
      </c>
      <c r="AE16" s="3">
        <f t="shared" si="5"/>
        <v>0.42111405835543769</v>
      </c>
      <c r="AF16" s="3">
        <f t="shared" si="5"/>
        <v>0.44116710875331566</v>
      </c>
      <c r="AG16" s="3">
        <f t="shared" si="5"/>
        <v>0.45988328912466847</v>
      </c>
      <c r="AH16" s="3">
        <f t="shared" si="5"/>
        <v>0.47726259946949601</v>
      </c>
      <c r="AI16" s="3">
        <f t="shared" si="5"/>
        <v>0.49330503978779844</v>
      </c>
      <c r="AJ16" s="3">
        <f t="shared" si="5"/>
        <v>0.5080106100795756</v>
      </c>
      <c r="AK16" s="3">
        <f t="shared" si="5"/>
        <v>0.52137931034482765</v>
      </c>
      <c r="AL16" s="3">
        <f t="shared" si="5"/>
        <v>0.53341114058355432</v>
      </c>
      <c r="AM16" s="3">
        <f t="shared" si="5"/>
        <v>0.54410610079575594</v>
      </c>
      <c r="AN16" s="3">
        <f t="shared" si="5"/>
        <v>0.5534641909814324</v>
      </c>
      <c r="AO16" s="3">
        <f t="shared" si="5"/>
        <v>0.56148541114058359</v>
      </c>
      <c r="AP16" s="3">
        <f t="shared" si="5"/>
        <v>0.56816976127320962</v>
      </c>
      <c r="AQ16" s="3">
        <f t="shared" si="5"/>
        <v>0.57351724137931037</v>
      </c>
      <c r="AR16" s="3">
        <f t="shared" si="5"/>
        <v>0.57752785145888597</v>
      </c>
      <c r="AS16" s="3">
        <f t="shared" si="5"/>
        <v>0.5802015915119364</v>
      </c>
      <c r="AT16" s="3">
        <f t="shared" si="5"/>
        <v>0.58153846153846156</v>
      </c>
      <c r="AU16" s="3">
        <f t="shared" si="5"/>
        <v>0.58153846153846156</v>
      </c>
      <c r="AW16" s="1">
        <v>10</v>
      </c>
      <c r="AX16" s="1">
        <f t="shared" ca="1" si="2"/>
        <v>0.98121650521708181</v>
      </c>
      <c r="AY16" s="1">
        <v>10</v>
      </c>
      <c r="AZ16" s="1">
        <f t="shared" ca="1" si="2"/>
        <v>0.52555748054467288</v>
      </c>
    </row>
    <row r="17" spans="2:52" x14ac:dyDescent="0.25">
      <c r="B17" s="1">
        <v>28</v>
      </c>
      <c r="C17" s="3">
        <f t="shared" si="3"/>
        <v>0.99770114942528743</v>
      </c>
      <c r="D17" s="1">
        <v>24</v>
      </c>
      <c r="E17" s="3">
        <f t="shared" si="4"/>
        <v>0.99692307692307702</v>
      </c>
      <c r="O17" s="104"/>
      <c r="P17" s="2">
        <v>10</v>
      </c>
      <c r="Q17" s="3">
        <f t="shared" si="1"/>
        <v>0</v>
      </c>
      <c r="R17" s="3">
        <f t="shared" si="5"/>
        <v>4.205128205128205E-2</v>
      </c>
      <c r="S17" s="3">
        <f t="shared" si="5"/>
        <v>8.2652519893899198E-2</v>
      </c>
      <c r="T17" s="3">
        <f t="shared" si="5"/>
        <v>0.12180371352785145</v>
      </c>
      <c r="U17" s="3">
        <f t="shared" si="5"/>
        <v>0.15950486295313882</v>
      </c>
      <c r="V17" s="3">
        <f t="shared" si="5"/>
        <v>0.19575596816976126</v>
      </c>
      <c r="W17" s="3">
        <f t="shared" si="5"/>
        <v>0.23055702917771884</v>
      </c>
      <c r="X17" s="3">
        <f t="shared" si="5"/>
        <v>0.26390804597701151</v>
      </c>
      <c r="Y17" s="3">
        <f t="shared" si="5"/>
        <v>0.29580901856763919</v>
      </c>
      <c r="Z17" s="3">
        <f t="shared" si="5"/>
        <v>0.32625994694960209</v>
      </c>
      <c r="AA17" s="3">
        <f t="shared" si="5"/>
        <v>0.35526083112290008</v>
      </c>
      <c r="AB17" s="3">
        <f t="shared" si="5"/>
        <v>0.38281167108753311</v>
      </c>
      <c r="AC17" s="3">
        <f t="shared" si="5"/>
        <v>0.4089124668435013</v>
      </c>
      <c r="AD17" s="3">
        <f t="shared" si="5"/>
        <v>0.43356321839080458</v>
      </c>
      <c r="AE17" s="3">
        <f t="shared" si="5"/>
        <v>0.45676392572944297</v>
      </c>
      <c r="AF17" s="3">
        <f t="shared" si="5"/>
        <v>0.47851458885941639</v>
      </c>
      <c r="AG17" s="3">
        <f t="shared" si="5"/>
        <v>0.49881520778072502</v>
      </c>
      <c r="AH17" s="3">
        <f t="shared" si="5"/>
        <v>0.5176657824933687</v>
      </c>
      <c r="AI17" s="3">
        <f t="shared" si="5"/>
        <v>0.53506631299734753</v>
      </c>
      <c r="AJ17" s="3">
        <f t="shared" si="5"/>
        <v>0.55101679929266134</v>
      </c>
      <c r="AK17" s="3">
        <f t="shared" si="5"/>
        <v>0.56551724137931036</v>
      </c>
      <c r="AL17" s="3">
        <f t="shared" si="5"/>
        <v>0.57856763925729437</v>
      </c>
      <c r="AM17" s="3">
        <f t="shared" si="5"/>
        <v>0.59016799292661359</v>
      </c>
      <c r="AN17" s="3">
        <f t="shared" si="5"/>
        <v>0.60031830238726791</v>
      </c>
      <c r="AO17" s="3">
        <f t="shared" si="5"/>
        <v>0.60901856763925732</v>
      </c>
      <c r="AP17" s="3">
        <f t="shared" si="5"/>
        <v>0.61626878868258184</v>
      </c>
      <c r="AQ17" s="3">
        <f t="shared" si="5"/>
        <v>0.62206896551724133</v>
      </c>
      <c r="AR17" s="3">
        <f t="shared" si="5"/>
        <v>0.62641909814323604</v>
      </c>
      <c r="AS17" s="3">
        <f t="shared" si="5"/>
        <v>0.62931918656056585</v>
      </c>
      <c r="AT17" s="3">
        <f t="shared" si="5"/>
        <v>0.63076923076923075</v>
      </c>
      <c r="AU17" s="3">
        <f t="shared" si="5"/>
        <v>0.63076923076923075</v>
      </c>
      <c r="AW17" s="1">
        <v>11</v>
      </c>
      <c r="AX17" s="1">
        <f t="shared" ca="1" si="2"/>
        <v>0.12160084751688538</v>
      </c>
      <c r="AY17" s="1">
        <v>11</v>
      </c>
      <c r="AZ17" s="1">
        <f t="shared" ca="1" si="2"/>
        <v>0.94429369078540992</v>
      </c>
    </row>
    <row r="18" spans="2:52" x14ac:dyDescent="0.25">
      <c r="B18" s="1">
        <v>27</v>
      </c>
      <c r="C18" s="3">
        <f t="shared" si="3"/>
        <v>0.99310344827586206</v>
      </c>
      <c r="D18" s="1">
        <v>23</v>
      </c>
      <c r="E18" s="3">
        <f t="shared" si="4"/>
        <v>0.99076923076923074</v>
      </c>
      <c r="O18" s="104"/>
      <c r="P18" s="2">
        <v>11</v>
      </c>
      <c r="Q18" s="3">
        <f t="shared" si="1"/>
        <v>0</v>
      </c>
      <c r="R18" s="3">
        <f t="shared" si="5"/>
        <v>4.5128205128205132E-2</v>
      </c>
      <c r="S18" s="3">
        <f t="shared" si="5"/>
        <v>8.8700265251989388E-2</v>
      </c>
      <c r="T18" s="3">
        <f t="shared" si="5"/>
        <v>0.1307161803713528</v>
      </c>
      <c r="U18" s="3">
        <f t="shared" si="5"/>
        <v>0.17117595048629533</v>
      </c>
      <c r="V18" s="3">
        <f t="shared" si="5"/>
        <v>0.210079575596817</v>
      </c>
      <c r="W18" s="3">
        <f t="shared" si="5"/>
        <v>0.24742705570291779</v>
      </c>
      <c r="X18" s="3">
        <f t="shared" si="5"/>
        <v>0.28321839080459771</v>
      </c>
      <c r="Y18" s="3">
        <f t="shared" si="5"/>
        <v>0.31745358090185671</v>
      </c>
      <c r="Z18" s="3">
        <f t="shared" si="5"/>
        <v>0.35013262599469491</v>
      </c>
      <c r="AA18" s="3">
        <f t="shared" si="5"/>
        <v>0.38125552608311231</v>
      </c>
      <c r="AB18" s="3">
        <f t="shared" si="5"/>
        <v>0.41082228116710878</v>
      </c>
      <c r="AC18" s="3">
        <f t="shared" si="5"/>
        <v>0.43883289124668434</v>
      </c>
      <c r="AD18" s="3">
        <f t="shared" si="5"/>
        <v>0.4652873563218391</v>
      </c>
      <c r="AE18" s="3">
        <f t="shared" si="5"/>
        <v>0.49018567639257299</v>
      </c>
      <c r="AF18" s="3">
        <f t="shared" si="5"/>
        <v>0.51352785145888591</v>
      </c>
      <c r="AG18" s="3">
        <f t="shared" si="5"/>
        <v>0.53531388152077808</v>
      </c>
      <c r="AH18" s="3">
        <f t="shared" si="5"/>
        <v>0.55554376657824933</v>
      </c>
      <c r="AI18" s="3">
        <f t="shared" si="5"/>
        <v>0.57421750663129978</v>
      </c>
      <c r="AJ18" s="3">
        <f t="shared" si="5"/>
        <v>0.5913351016799292</v>
      </c>
      <c r="AK18" s="3">
        <f t="shared" si="5"/>
        <v>0.60689655172413792</v>
      </c>
      <c r="AL18" s="3">
        <f t="shared" si="5"/>
        <v>0.62090185676392573</v>
      </c>
      <c r="AM18" s="3">
        <f t="shared" si="5"/>
        <v>0.63335101679929262</v>
      </c>
      <c r="AN18" s="3">
        <f t="shared" si="5"/>
        <v>0.64424403183023882</v>
      </c>
      <c r="AO18" s="3">
        <f t="shared" si="5"/>
        <v>0.65358090185676398</v>
      </c>
      <c r="AP18" s="3">
        <f t="shared" si="5"/>
        <v>0.66136162687886835</v>
      </c>
      <c r="AQ18" s="3">
        <f t="shared" si="5"/>
        <v>0.66758620689655179</v>
      </c>
      <c r="AR18" s="3">
        <f t="shared" si="5"/>
        <v>0.67225464190981432</v>
      </c>
      <c r="AS18" s="3">
        <f t="shared" si="5"/>
        <v>0.67536693191865615</v>
      </c>
      <c r="AT18" s="3">
        <f t="shared" si="5"/>
        <v>0.67692307692307696</v>
      </c>
      <c r="AU18" s="3">
        <f t="shared" si="5"/>
        <v>0.67692307692307696</v>
      </c>
      <c r="AW18" s="1">
        <v>12</v>
      </c>
      <c r="AX18" s="1">
        <f t="shared" ca="1" si="2"/>
        <v>0.84914564512008606</v>
      </c>
      <c r="AY18" s="1">
        <v>12</v>
      </c>
      <c r="AZ18" s="1">
        <f t="shared" ca="1" si="2"/>
        <v>0.85819309823056955</v>
      </c>
    </row>
    <row r="19" spans="2:52" x14ac:dyDescent="0.25">
      <c r="B19" s="1">
        <v>26</v>
      </c>
      <c r="C19" s="3">
        <f t="shared" si="3"/>
        <v>0.98620689655172411</v>
      </c>
      <c r="D19" s="1">
        <v>22</v>
      </c>
      <c r="E19" s="3">
        <f t="shared" si="4"/>
        <v>0.98153846153846147</v>
      </c>
      <c r="O19" s="104"/>
      <c r="P19" s="2">
        <v>12</v>
      </c>
      <c r="Q19" s="3">
        <f t="shared" si="1"/>
        <v>0</v>
      </c>
      <c r="R19" s="3">
        <f t="shared" si="5"/>
        <v>4.8000000000000001E-2</v>
      </c>
      <c r="S19" s="3">
        <f t="shared" si="5"/>
        <v>9.4344827586206881E-2</v>
      </c>
      <c r="T19" s="3">
        <f t="shared" si="5"/>
        <v>0.13903448275862068</v>
      </c>
      <c r="U19" s="3">
        <f t="shared" si="5"/>
        <v>0.18206896551724139</v>
      </c>
      <c r="V19" s="3">
        <f t="shared" si="5"/>
        <v>0.22344827586206897</v>
      </c>
      <c r="W19" s="3">
        <f t="shared" si="5"/>
        <v>0.26317241379310347</v>
      </c>
      <c r="X19" s="3">
        <f t="shared" si="5"/>
        <v>0.30124137931034484</v>
      </c>
      <c r="Y19" s="3">
        <f t="shared" si="5"/>
        <v>0.33765517241379306</v>
      </c>
      <c r="Z19" s="3">
        <f t="shared" si="5"/>
        <v>0.37241379310344819</v>
      </c>
      <c r="AA19" s="3">
        <f t="shared" si="5"/>
        <v>0.40551724137931033</v>
      </c>
      <c r="AB19" s="3">
        <f t="shared" si="5"/>
        <v>0.43696551724137928</v>
      </c>
      <c r="AC19" s="3">
        <f t="shared" si="5"/>
        <v>0.46675862068965512</v>
      </c>
      <c r="AD19" s="3">
        <f t="shared" si="5"/>
        <v>0.49489655172413793</v>
      </c>
      <c r="AE19" s="3">
        <f t="shared" si="5"/>
        <v>0.52137931034482754</v>
      </c>
      <c r="AF19" s="3">
        <f t="shared" si="5"/>
        <v>0.54620689655172405</v>
      </c>
      <c r="AG19" s="3">
        <f t="shared" si="5"/>
        <v>0.56937931034482758</v>
      </c>
      <c r="AH19" s="3">
        <f t="shared" si="5"/>
        <v>0.59089655172413791</v>
      </c>
      <c r="AI19" s="3">
        <f t="shared" si="5"/>
        <v>0.61075862068965514</v>
      </c>
      <c r="AJ19" s="3">
        <f t="shared" si="5"/>
        <v>0.62896551724137928</v>
      </c>
      <c r="AK19" s="3">
        <f t="shared" si="5"/>
        <v>0.64551724137931032</v>
      </c>
      <c r="AL19" s="3">
        <f t="shared" si="5"/>
        <v>0.66041379310344817</v>
      </c>
      <c r="AM19" s="3">
        <f t="shared" si="5"/>
        <v>0.67365517241379302</v>
      </c>
      <c r="AN19" s="3">
        <f t="shared" si="5"/>
        <v>0.6852413793103449</v>
      </c>
      <c r="AO19" s="3">
        <f t="shared" si="5"/>
        <v>0.69517241379310346</v>
      </c>
      <c r="AP19" s="3">
        <f t="shared" si="5"/>
        <v>0.70344827586206893</v>
      </c>
      <c r="AQ19" s="3">
        <f t="shared" si="5"/>
        <v>0.7100689655172413</v>
      </c>
      <c r="AR19" s="3">
        <f t="shared" si="5"/>
        <v>0.71503448275862069</v>
      </c>
      <c r="AS19" s="3">
        <f t="shared" si="5"/>
        <v>0.71834482758620688</v>
      </c>
      <c r="AT19" s="3">
        <f t="shared" si="5"/>
        <v>0.72</v>
      </c>
      <c r="AU19" s="3">
        <f t="shared" si="5"/>
        <v>0.72</v>
      </c>
      <c r="AW19" s="1">
        <v>13</v>
      </c>
      <c r="AX19" s="1">
        <f t="shared" ca="1" si="2"/>
        <v>0.45553435743911519</v>
      </c>
      <c r="AY19" s="1">
        <v>13</v>
      </c>
      <c r="AZ19" s="1">
        <f t="shared" ca="1" si="2"/>
        <v>0.80469733571897206</v>
      </c>
    </row>
    <row r="20" spans="2:52" x14ac:dyDescent="0.25">
      <c r="B20" s="1">
        <v>25</v>
      </c>
      <c r="C20" s="3">
        <f t="shared" si="3"/>
        <v>0.97701149425287359</v>
      </c>
      <c r="D20" s="1">
        <v>21</v>
      </c>
      <c r="E20" s="3">
        <f t="shared" si="4"/>
        <v>0.96923076923076923</v>
      </c>
      <c r="O20" s="104"/>
      <c r="P20" s="2">
        <v>13</v>
      </c>
      <c r="Q20" s="3">
        <f t="shared" si="1"/>
        <v>0</v>
      </c>
      <c r="R20" s="3">
        <f t="shared" si="5"/>
        <v>5.0666666666666665E-2</v>
      </c>
      <c r="S20" s="3">
        <f t="shared" si="5"/>
        <v>9.9586206896551718E-2</v>
      </c>
      <c r="T20" s="3">
        <f t="shared" si="5"/>
        <v>0.14675862068965517</v>
      </c>
      <c r="U20" s="3">
        <f t="shared" si="5"/>
        <v>0.19218390804597704</v>
      </c>
      <c r="V20" s="3">
        <f t="shared" si="5"/>
        <v>0.23586206896551726</v>
      </c>
      <c r="W20" s="3">
        <f t="shared" si="5"/>
        <v>0.27779310344827585</v>
      </c>
      <c r="X20" s="3">
        <f t="shared" si="5"/>
        <v>0.31797701149425289</v>
      </c>
      <c r="Y20" s="3">
        <f t="shared" si="5"/>
        <v>0.35641379310344823</v>
      </c>
      <c r="Z20" s="3">
        <f t="shared" si="5"/>
        <v>0.39310344827586202</v>
      </c>
      <c r="AA20" s="3">
        <f t="shared" si="5"/>
        <v>0.42804597701149422</v>
      </c>
      <c r="AB20" s="3">
        <f t="shared" si="5"/>
        <v>0.46124137931034481</v>
      </c>
      <c r="AC20" s="3">
        <f t="shared" si="5"/>
        <v>0.49268965517241375</v>
      </c>
      <c r="AD20" s="3">
        <f t="shared" si="5"/>
        <v>0.52239080459770115</v>
      </c>
      <c r="AE20" s="3">
        <f t="shared" si="5"/>
        <v>0.55034482758620695</v>
      </c>
      <c r="AF20" s="3">
        <f t="shared" si="5"/>
        <v>0.57655172413793099</v>
      </c>
      <c r="AG20" s="3">
        <f t="shared" si="5"/>
        <v>0.60101149425287359</v>
      </c>
      <c r="AH20" s="3">
        <f t="shared" si="5"/>
        <v>0.62372413793103443</v>
      </c>
      <c r="AI20" s="3">
        <f t="shared" si="5"/>
        <v>0.64468965517241383</v>
      </c>
      <c r="AJ20" s="3">
        <f t="shared" si="5"/>
        <v>0.66390804597701147</v>
      </c>
      <c r="AK20" s="3">
        <f t="shared" si="5"/>
        <v>0.68137931034482757</v>
      </c>
      <c r="AL20" s="3">
        <f t="shared" si="5"/>
        <v>0.69710344827586201</v>
      </c>
      <c r="AM20" s="3">
        <f t="shared" si="5"/>
        <v>0.71108045977011491</v>
      </c>
      <c r="AN20" s="3">
        <f t="shared" si="5"/>
        <v>0.72331034482758627</v>
      </c>
      <c r="AO20" s="3">
        <f t="shared" si="5"/>
        <v>0.73379310344827586</v>
      </c>
      <c r="AP20" s="3">
        <f t="shared" si="5"/>
        <v>0.74252873563218391</v>
      </c>
      <c r="AQ20" s="3">
        <f t="shared" si="5"/>
        <v>0.74951724137931031</v>
      </c>
      <c r="AR20" s="3">
        <f t="shared" si="5"/>
        <v>0.75475862068965516</v>
      </c>
      <c r="AS20" s="3">
        <f t="shared" si="5"/>
        <v>0.75825287356321847</v>
      </c>
      <c r="AT20" s="3">
        <f t="shared" si="5"/>
        <v>0.76</v>
      </c>
      <c r="AU20" s="3">
        <f t="shared" si="5"/>
        <v>0.76</v>
      </c>
      <c r="AW20" s="1">
        <v>14</v>
      </c>
      <c r="AX20" s="1">
        <f t="shared" ca="1" si="2"/>
        <v>0.54340142666938374</v>
      </c>
      <c r="AY20" s="1">
        <v>14</v>
      </c>
      <c r="AZ20" s="1">
        <f t="shared" ca="1" si="2"/>
        <v>0.13964109636474864</v>
      </c>
    </row>
    <row r="21" spans="2:52" x14ac:dyDescent="0.25">
      <c r="B21" s="1">
        <v>24</v>
      </c>
      <c r="C21" s="3">
        <f t="shared" si="3"/>
        <v>0.96551724137931039</v>
      </c>
      <c r="D21" s="1">
        <v>20</v>
      </c>
      <c r="E21" s="3">
        <f t="shared" si="4"/>
        <v>0.9538461538461539</v>
      </c>
      <c r="O21" s="104"/>
      <c r="P21" s="2">
        <v>14</v>
      </c>
      <c r="Q21" s="3">
        <f t="shared" si="1"/>
        <v>0</v>
      </c>
      <c r="R21" s="3">
        <f t="shared" si="5"/>
        <v>5.3128205128205132E-2</v>
      </c>
      <c r="S21" s="3">
        <f t="shared" si="5"/>
        <v>0.10442440318302386</v>
      </c>
      <c r="T21" s="3">
        <f t="shared" si="5"/>
        <v>0.15388859416445624</v>
      </c>
      <c r="U21" s="3">
        <f t="shared" si="5"/>
        <v>0.20152077807250224</v>
      </c>
      <c r="V21" s="3">
        <f t="shared" si="5"/>
        <v>0.24732095490716183</v>
      </c>
      <c r="W21" s="3">
        <f t="shared" si="5"/>
        <v>0.29128912466843504</v>
      </c>
      <c r="X21" s="3">
        <f t="shared" si="5"/>
        <v>0.33342528735632188</v>
      </c>
      <c r="Y21" s="3">
        <f t="shared" si="5"/>
        <v>0.37372944297082222</v>
      </c>
      <c r="Z21" s="3">
        <f t="shared" si="5"/>
        <v>0.4122015915119363</v>
      </c>
      <c r="AA21" s="3">
        <f t="shared" si="5"/>
        <v>0.44884173297966401</v>
      </c>
      <c r="AB21" s="3">
        <f t="shared" si="5"/>
        <v>0.48364986737400534</v>
      </c>
      <c r="AC21" s="3">
        <f t="shared" si="5"/>
        <v>0.51662599469496018</v>
      </c>
      <c r="AD21" s="3">
        <f t="shared" si="5"/>
        <v>0.54777011494252881</v>
      </c>
      <c r="AE21" s="3">
        <f t="shared" si="5"/>
        <v>0.57708222811671095</v>
      </c>
      <c r="AF21" s="3">
        <f t="shared" si="5"/>
        <v>0.6045623342175066</v>
      </c>
      <c r="AG21" s="3">
        <f t="shared" si="5"/>
        <v>0.63021043324491599</v>
      </c>
      <c r="AH21" s="3">
        <f t="shared" si="5"/>
        <v>0.654026525198939</v>
      </c>
      <c r="AI21" s="3">
        <f t="shared" si="5"/>
        <v>0.67601061007957564</v>
      </c>
      <c r="AJ21" s="3">
        <f t="shared" si="5"/>
        <v>0.69616268788682578</v>
      </c>
      <c r="AK21" s="3">
        <f t="shared" si="5"/>
        <v>0.71448275862068966</v>
      </c>
      <c r="AL21" s="3">
        <f t="shared" si="5"/>
        <v>0.73097082228116705</v>
      </c>
      <c r="AM21" s="3">
        <f t="shared" si="5"/>
        <v>0.74562687886825818</v>
      </c>
      <c r="AN21" s="3">
        <f t="shared" si="5"/>
        <v>0.75845092838196304</v>
      </c>
      <c r="AO21" s="3">
        <f t="shared" si="5"/>
        <v>0.76944297082228119</v>
      </c>
      <c r="AP21" s="3">
        <f t="shared" si="5"/>
        <v>0.77860300618921319</v>
      </c>
      <c r="AQ21" s="3">
        <f t="shared" si="5"/>
        <v>0.78593103448275858</v>
      </c>
      <c r="AR21" s="3">
        <f t="shared" si="5"/>
        <v>0.79142705570291783</v>
      </c>
      <c r="AS21" s="3">
        <f t="shared" si="5"/>
        <v>0.79509106984969058</v>
      </c>
      <c r="AT21" s="3">
        <f t="shared" si="5"/>
        <v>0.79692307692307696</v>
      </c>
      <c r="AU21" s="3">
        <f t="shared" si="5"/>
        <v>0.79692307692307696</v>
      </c>
      <c r="AW21" s="1">
        <v>15</v>
      </c>
      <c r="AX21" s="1">
        <f t="shared" ca="1" si="2"/>
        <v>0.34233296481240916</v>
      </c>
      <c r="AY21" s="1">
        <v>15</v>
      </c>
      <c r="AZ21" s="1">
        <f t="shared" ca="1" si="2"/>
        <v>0.96099968081812637</v>
      </c>
    </row>
    <row r="22" spans="2:52" x14ac:dyDescent="0.25">
      <c r="B22" s="1">
        <v>23</v>
      </c>
      <c r="C22" s="3">
        <f t="shared" si="3"/>
        <v>0.95172413793103461</v>
      </c>
      <c r="D22" s="1">
        <v>19</v>
      </c>
      <c r="E22" s="3">
        <f t="shared" si="4"/>
        <v>0.93538461538461537</v>
      </c>
      <c r="O22" s="104"/>
      <c r="P22" s="2">
        <v>15</v>
      </c>
      <c r="Q22" s="3">
        <f t="shared" si="1"/>
        <v>0</v>
      </c>
      <c r="R22" s="3">
        <f t="shared" si="5"/>
        <v>5.5384615384615379E-2</v>
      </c>
      <c r="S22" s="3">
        <f t="shared" si="5"/>
        <v>0.10885941644562332</v>
      </c>
      <c r="T22" s="3">
        <f t="shared" si="5"/>
        <v>0.16042440318302387</v>
      </c>
      <c r="U22" s="3">
        <f t="shared" si="5"/>
        <v>0.21007957559681698</v>
      </c>
      <c r="V22" s="3">
        <f t="shared" si="5"/>
        <v>0.25782493368700266</v>
      </c>
      <c r="W22" s="3">
        <f t="shared" si="5"/>
        <v>0.30366047745358088</v>
      </c>
      <c r="X22" s="3">
        <f t="shared" si="5"/>
        <v>0.34758620689655173</v>
      </c>
      <c r="Y22" s="3">
        <f t="shared" si="5"/>
        <v>0.38960212201591504</v>
      </c>
      <c r="Z22" s="3">
        <f t="shared" si="5"/>
        <v>0.42970822281167098</v>
      </c>
      <c r="AA22" s="3">
        <f t="shared" si="5"/>
        <v>0.46790450928381955</v>
      </c>
      <c r="AB22" s="3">
        <f t="shared" si="5"/>
        <v>0.50419098143236074</v>
      </c>
      <c r="AC22" s="3">
        <f t="shared" si="5"/>
        <v>0.53856763925729434</v>
      </c>
      <c r="AD22" s="3">
        <f t="shared" si="5"/>
        <v>0.57103448275862068</v>
      </c>
      <c r="AE22" s="3">
        <f t="shared" si="5"/>
        <v>0.60159151193633953</v>
      </c>
      <c r="AF22" s="3">
        <f t="shared" si="5"/>
        <v>0.6302387267904509</v>
      </c>
      <c r="AG22" s="3">
        <f t="shared" si="5"/>
        <v>0.65697612732095489</v>
      </c>
      <c r="AH22" s="3">
        <f t="shared" si="5"/>
        <v>0.68180371352785141</v>
      </c>
      <c r="AI22" s="3">
        <f t="shared" si="5"/>
        <v>0.70472148541114055</v>
      </c>
      <c r="AJ22" s="3">
        <f t="shared" si="5"/>
        <v>0.7257294429708222</v>
      </c>
      <c r="AK22" s="3">
        <f t="shared" si="5"/>
        <v>0.74482758620689649</v>
      </c>
      <c r="AL22" s="3">
        <f t="shared" si="5"/>
        <v>0.76201591511936329</v>
      </c>
      <c r="AM22" s="3">
        <f t="shared" si="5"/>
        <v>0.77729442970822271</v>
      </c>
      <c r="AN22" s="3">
        <f t="shared" si="5"/>
        <v>0.79066312997347488</v>
      </c>
      <c r="AO22" s="3">
        <f t="shared" si="5"/>
        <v>0.80212201591511934</v>
      </c>
      <c r="AP22" s="3">
        <f t="shared" si="5"/>
        <v>0.81167108753315642</v>
      </c>
      <c r="AQ22" s="3">
        <f t="shared" si="5"/>
        <v>0.81931034482758613</v>
      </c>
      <c r="AR22" s="3">
        <f t="shared" si="5"/>
        <v>0.82503978779840836</v>
      </c>
      <c r="AS22" s="3">
        <f t="shared" si="5"/>
        <v>0.82885941644562333</v>
      </c>
      <c r="AT22" s="3">
        <f t="shared" si="5"/>
        <v>0.8307692307692307</v>
      </c>
      <c r="AU22" s="3">
        <f t="shared" si="5"/>
        <v>0.8307692307692307</v>
      </c>
      <c r="AW22" s="1">
        <v>16</v>
      </c>
      <c r="AX22" s="1">
        <f t="shared" ca="1" si="2"/>
        <v>0.40228848758029323</v>
      </c>
      <c r="AY22" s="1">
        <v>16</v>
      </c>
      <c r="AZ22" s="1">
        <f t="shared" ca="1" si="2"/>
        <v>0.31071415312576411</v>
      </c>
    </row>
    <row r="23" spans="2:52" x14ac:dyDescent="0.25">
      <c r="B23" s="1">
        <v>22</v>
      </c>
      <c r="C23" s="3">
        <f t="shared" si="3"/>
        <v>0.93563218390804592</v>
      </c>
      <c r="D23" s="1">
        <v>18</v>
      </c>
      <c r="E23" s="3">
        <f t="shared" si="4"/>
        <v>0.91384615384615386</v>
      </c>
      <c r="O23" s="104"/>
      <c r="P23" s="2">
        <v>16</v>
      </c>
      <c r="Q23" s="3">
        <f t="shared" si="1"/>
        <v>0</v>
      </c>
      <c r="R23" s="3">
        <f t="shared" si="5"/>
        <v>5.7435897435897436E-2</v>
      </c>
      <c r="S23" s="3">
        <f t="shared" si="5"/>
        <v>0.11289124668435012</v>
      </c>
      <c r="T23" s="3">
        <f t="shared" si="5"/>
        <v>0.1663660477453581</v>
      </c>
      <c r="U23" s="3">
        <f t="shared" si="5"/>
        <v>0.21786030061892134</v>
      </c>
      <c r="V23" s="3">
        <f t="shared" si="5"/>
        <v>0.2673740053050398</v>
      </c>
      <c r="W23" s="3">
        <f t="shared" si="5"/>
        <v>0.31490716180371353</v>
      </c>
      <c r="X23" s="3">
        <f t="shared" si="5"/>
        <v>0.36045977011494257</v>
      </c>
      <c r="Y23" s="3">
        <f t="shared" si="5"/>
        <v>0.40403183023872674</v>
      </c>
      <c r="Z23" s="3">
        <f t="shared" si="5"/>
        <v>0.44562334217506627</v>
      </c>
      <c r="AA23" s="3">
        <f t="shared" si="5"/>
        <v>0.48523430592396111</v>
      </c>
      <c r="AB23" s="3">
        <f t="shared" si="5"/>
        <v>0.52286472148541119</v>
      </c>
      <c r="AC23" s="3">
        <f t="shared" si="5"/>
        <v>0.55851458885941641</v>
      </c>
      <c r="AD23" s="3">
        <f t="shared" si="5"/>
        <v>0.59218390804597709</v>
      </c>
      <c r="AE23" s="3">
        <f t="shared" si="5"/>
        <v>0.62387267904509291</v>
      </c>
      <c r="AF23" s="3">
        <f t="shared" si="5"/>
        <v>0.65358090185676387</v>
      </c>
      <c r="AG23" s="3">
        <f t="shared" si="5"/>
        <v>0.6813085764809903</v>
      </c>
      <c r="AH23" s="3">
        <f t="shared" si="5"/>
        <v>0.70705570291777187</v>
      </c>
      <c r="AI23" s="3">
        <f t="shared" si="5"/>
        <v>0.73082228116710879</v>
      </c>
      <c r="AJ23" s="3">
        <f t="shared" si="5"/>
        <v>0.75260831122900085</v>
      </c>
      <c r="AK23" s="3">
        <f t="shared" si="5"/>
        <v>0.77241379310344838</v>
      </c>
      <c r="AL23" s="3">
        <f t="shared" si="5"/>
        <v>0.79023872679045093</v>
      </c>
      <c r="AM23" s="3">
        <f t="shared" si="5"/>
        <v>0.80608311229000884</v>
      </c>
      <c r="AN23" s="3">
        <f t="shared" si="5"/>
        <v>0.81994694960212222</v>
      </c>
      <c r="AO23" s="3">
        <f t="shared" si="5"/>
        <v>0.83183023872679052</v>
      </c>
      <c r="AP23" s="3">
        <f t="shared" si="5"/>
        <v>0.84173297966401417</v>
      </c>
      <c r="AQ23" s="3">
        <f t="shared" si="5"/>
        <v>0.84965517241379318</v>
      </c>
      <c r="AR23" s="3">
        <f t="shared" si="5"/>
        <v>0.85559681697612733</v>
      </c>
      <c r="AS23" s="3">
        <f t="shared" si="5"/>
        <v>0.85955791335101694</v>
      </c>
      <c r="AT23" s="3">
        <f t="shared" si="5"/>
        <v>0.86153846153846159</v>
      </c>
      <c r="AU23" s="3">
        <f t="shared" si="5"/>
        <v>0.86153846153846159</v>
      </c>
      <c r="AW23" s="1">
        <v>17</v>
      </c>
      <c r="AX23" s="1">
        <f t="shared" ca="1" si="2"/>
        <v>0.92161561688174598</v>
      </c>
      <c r="AY23" s="1">
        <v>17</v>
      </c>
      <c r="AZ23" s="1">
        <f t="shared" ca="1" si="2"/>
        <v>0.76678544051238773</v>
      </c>
    </row>
    <row r="24" spans="2:52" x14ac:dyDescent="0.25">
      <c r="B24" s="1">
        <v>21</v>
      </c>
      <c r="C24" s="3">
        <f t="shared" si="3"/>
        <v>0.91724137931034477</v>
      </c>
      <c r="D24" s="1">
        <v>17</v>
      </c>
      <c r="E24" s="3">
        <f t="shared" si="4"/>
        <v>0.88923076923076927</v>
      </c>
      <c r="O24" s="104"/>
      <c r="P24" s="2">
        <v>17</v>
      </c>
      <c r="Q24" s="3">
        <f t="shared" si="1"/>
        <v>0</v>
      </c>
      <c r="R24" s="3">
        <f t="shared" si="5"/>
        <v>5.928205128205128E-2</v>
      </c>
      <c r="S24" s="3">
        <f t="shared" si="5"/>
        <v>0.11651989389920424</v>
      </c>
      <c r="T24" s="3">
        <f t="shared" si="5"/>
        <v>0.17171352785145888</v>
      </c>
      <c r="U24" s="3">
        <f t="shared" si="5"/>
        <v>0.22486295313881524</v>
      </c>
      <c r="V24" s="3">
        <f t="shared" si="5"/>
        <v>0.27596816976127325</v>
      </c>
      <c r="W24" s="3">
        <f t="shared" si="5"/>
        <v>0.32502917771883294</v>
      </c>
      <c r="X24" s="3">
        <f t="shared" si="5"/>
        <v>0.37204597701149428</v>
      </c>
      <c r="Y24" s="3">
        <f t="shared" si="5"/>
        <v>0.41701856763925726</v>
      </c>
      <c r="Z24" s="3">
        <f t="shared" si="5"/>
        <v>0.45994694960212196</v>
      </c>
      <c r="AA24" s="3">
        <f t="shared" si="5"/>
        <v>0.50083112290008847</v>
      </c>
      <c r="AB24" s="3">
        <f t="shared" si="5"/>
        <v>0.53967108753315651</v>
      </c>
      <c r="AC24" s="3">
        <f t="shared" si="5"/>
        <v>0.57646684350132626</v>
      </c>
      <c r="AD24" s="3">
        <f t="shared" si="5"/>
        <v>0.61121839080459772</v>
      </c>
      <c r="AE24" s="3">
        <f t="shared" si="5"/>
        <v>0.64392572944297088</v>
      </c>
      <c r="AF24" s="3">
        <f t="shared" si="5"/>
        <v>0.67458885941644564</v>
      </c>
      <c r="AG24" s="3">
        <f t="shared" ref="R24:AU32" si="6">VLOOKUP($P24,$D$15:$E$41,2,FALSE)*VLOOKUP(AG$6,$B$15:$C$45,2,FALSE)</f>
        <v>0.7032077807250221</v>
      </c>
      <c r="AH24" s="3">
        <f t="shared" si="6"/>
        <v>0.72978249336870027</v>
      </c>
      <c r="AI24" s="3">
        <f t="shared" si="6"/>
        <v>0.75431299734748014</v>
      </c>
      <c r="AJ24" s="3">
        <f t="shared" si="6"/>
        <v>0.77679929266136161</v>
      </c>
      <c r="AK24" s="3">
        <f t="shared" si="6"/>
        <v>0.79724137931034489</v>
      </c>
      <c r="AL24" s="3">
        <f t="shared" si="6"/>
        <v>0.81563925729442965</v>
      </c>
      <c r="AM24" s="3">
        <f t="shared" si="6"/>
        <v>0.83199292661361623</v>
      </c>
      <c r="AN24" s="3">
        <f t="shared" si="6"/>
        <v>0.84630238726790463</v>
      </c>
      <c r="AO24" s="3">
        <f t="shared" si="6"/>
        <v>0.85856763925729451</v>
      </c>
      <c r="AP24" s="3">
        <f t="shared" si="6"/>
        <v>0.8687886825817861</v>
      </c>
      <c r="AQ24" s="3">
        <f t="shared" si="6"/>
        <v>0.87696551724137928</v>
      </c>
      <c r="AR24" s="3">
        <f t="shared" si="6"/>
        <v>0.88309814323607427</v>
      </c>
      <c r="AS24" s="3">
        <f t="shared" si="6"/>
        <v>0.88718656056587097</v>
      </c>
      <c r="AT24" s="3">
        <f t="shared" si="6"/>
        <v>0.88923076923076927</v>
      </c>
      <c r="AU24" s="3">
        <f t="shared" si="6"/>
        <v>0.88923076923076927</v>
      </c>
      <c r="AW24" s="1">
        <v>18</v>
      </c>
      <c r="AX24" s="1">
        <f t="shared" ca="1" si="2"/>
        <v>0.13232228685573688</v>
      </c>
      <c r="AY24" s="1">
        <v>18</v>
      </c>
      <c r="AZ24" s="1">
        <f t="shared" ca="1" si="2"/>
        <v>0.25918914027573392</v>
      </c>
    </row>
    <row r="25" spans="2:52" x14ac:dyDescent="0.25">
      <c r="B25" s="1">
        <v>20</v>
      </c>
      <c r="C25" s="3">
        <f t="shared" si="3"/>
        <v>0.89655172413793105</v>
      </c>
      <c r="D25" s="1">
        <v>16</v>
      </c>
      <c r="E25" s="3">
        <f t="shared" si="4"/>
        <v>0.86153846153846159</v>
      </c>
      <c r="O25" s="104"/>
      <c r="P25" s="2">
        <v>18</v>
      </c>
      <c r="Q25" s="3">
        <f t="shared" si="1"/>
        <v>0</v>
      </c>
      <c r="R25" s="3">
        <f t="shared" si="6"/>
        <v>6.092307692307692E-2</v>
      </c>
      <c r="S25" s="3">
        <f t="shared" si="6"/>
        <v>0.11974535809018566</v>
      </c>
      <c r="T25" s="3">
        <f t="shared" si="6"/>
        <v>0.17646684350132627</v>
      </c>
      <c r="U25" s="3">
        <f t="shared" si="6"/>
        <v>0.23108753315649869</v>
      </c>
      <c r="V25" s="3">
        <f t="shared" si="6"/>
        <v>0.28360742705570291</v>
      </c>
      <c r="W25" s="3">
        <f t="shared" si="6"/>
        <v>0.33402652519893899</v>
      </c>
      <c r="X25" s="3">
        <f t="shared" si="6"/>
        <v>0.38234482758620691</v>
      </c>
      <c r="Y25" s="3">
        <f t="shared" si="6"/>
        <v>0.42856233421750656</v>
      </c>
      <c r="Z25" s="3">
        <f t="shared" si="6"/>
        <v>0.47267904509283815</v>
      </c>
      <c r="AA25" s="3">
        <f t="shared" si="6"/>
        <v>0.51469496021220162</v>
      </c>
      <c r="AB25" s="3">
        <f t="shared" si="6"/>
        <v>0.55461007957559683</v>
      </c>
      <c r="AC25" s="3">
        <f t="shared" si="6"/>
        <v>0.59242440318302381</v>
      </c>
      <c r="AD25" s="3">
        <f t="shared" si="6"/>
        <v>0.62813793103448279</v>
      </c>
      <c r="AE25" s="3">
        <f t="shared" si="6"/>
        <v>0.66175066312997344</v>
      </c>
      <c r="AF25" s="3">
        <f t="shared" si="6"/>
        <v>0.69326259946949598</v>
      </c>
      <c r="AG25" s="3">
        <f t="shared" si="6"/>
        <v>0.72267374005305041</v>
      </c>
      <c r="AH25" s="3">
        <f t="shared" si="6"/>
        <v>0.74998408488063661</v>
      </c>
      <c r="AI25" s="3">
        <f t="shared" si="6"/>
        <v>0.77519363395225471</v>
      </c>
      <c r="AJ25" s="3">
        <f t="shared" si="6"/>
        <v>0.79830238726790448</v>
      </c>
      <c r="AK25" s="3">
        <f t="shared" si="6"/>
        <v>0.81931034482758625</v>
      </c>
      <c r="AL25" s="3">
        <f t="shared" si="6"/>
        <v>0.83821750663129968</v>
      </c>
      <c r="AM25" s="3">
        <f t="shared" si="6"/>
        <v>0.85502387267904501</v>
      </c>
      <c r="AN25" s="3">
        <f t="shared" si="6"/>
        <v>0.86972944297082244</v>
      </c>
      <c r="AO25" s="3">
        <f t="shared" si="6"/>
        <v>0.88233421750663132</v>
      </c>
      <c r="AP25" s="3">
        <f t="shared" si="6"/>
        <v>0.89283819628647221</v>
      </c>
      <c r="AQ25" s="3">
        <f t="shared" si="6"/>
        <v>0.90124137931034487</v>
      </c>
      <c r="AR25" s="3">
        <f t="shared" si="6"/>
        <v>0.90754376657824931</v>
      </c>
      <c r="AS25" s="3">
        <f t="shared" si="6"/>
        <v>0.91174535809018575</v>
      </c>
      <c r="AT25" s="3">
        <f t="shared" si="6"/>
        <v>0.91384615384615386</v>
      </c>
      <c r="AU25" s="3">
        <f t="shared" si="6"/>
        <v>0.91384615384615386</v>
      </c>
      <c r="AW25" s="1">
        <v>19</v>
      </c>
      <c r="AX25" s="1">
        <f t="shared" ca="1" si="2"/>
        <v>0.3757148812116663</v>
      </c>
      <c r="AY25" s="1">
        <v>19</v>
      </c>
      <c r="AZ25" s="1">
        <f t="shared" ca="1" si="2"/>
        <v>0.70593467234900542</v>
      </c>
    </row>
    <row r="26" spans="2:52" x14ac:dyDescent="0.25">
      <c r="B26" s="1">
        <v>19</v>
      </c>
      <c r="C26" s="3">
        <f t="shared" si="3"/>
        <v>0.87356321839080453</v>
      </c>
      <c r="D26" s="1">
        <v>15</v>
      </c>
      <c r="E26" s="3">
        <f t="shared" si="4"/>
        <v>0.8307692307692307</v>
      </c>
      <c r="O26" s="104"/>
      <c r="P26" s="2">
        <v>19</v>
      </c>
      <c r="Q26" s="3">
        <f t="shared" si="1"/>
        <v>0</v>
      </c>
      <c r="R26" s="3">
        <f t="shared" si="6"/>
        <v>6.2358974358974355E-2</v>
      </c>
      <c r="S26" s="3">
        <f t="shared" si="6"/>
        <v>0.12256763925729441</v>
      </c>
      <c r="T26" s="3">
        <f t="shared" si="6"/>
        <v>0.18062599469496021</v>
      </c>
      <c r="U26" s="3">
        <f t="shared" si="6"/>
        <v>0.23653404067197173</v>
      </c>
      <c r="V26" s="3">
        <f t="shared" si="6"/>
        <v>0.29029177718832894</v>
      </c>
      <c r="W26" s="3">
        <f t="shared" si="6"/>
        <v>0.34189920424403181</v>
      </c>
      <c r="X26" s="3">
        <f t="shared" si="6"/>
        <v>0.39135632183908048</v>
      </c>
      <c r="Y26" s="3">
        <f t="shared" si="6"/>
        <v>0.43866312997347473</v>
      </c>
      <c r="Z26" s="3">
        <f t="shared" si="6"/>
        <v>0.48381962864721478</v>
      </c>
      <c r="AA26" s="3">
        <f t="shared" si="6"/>
        <v>0.52682581786030058</v>
      </c>
      <c r="AB26" s="3">
        <f t="shared" si="6"/>
        <v>0.56768169761273213</v>
      </c>
      <c r="AC26" s="3">
        <f t="shared" si="6"/>
        <v>0.60638726790450925</v>
      </c>
      <c r="AD26" s="3">
        <f t="shared" si="6"/>
        <v>0.64294252873563218</v>
      </c>
      <c r="AE26" s="3">
        <f t="shared" si="6"/>
        <v>0.6773474801061008</v>
      </c>
      <c r="AF26" s="3">
        <f t="shared" si="6"/>
        <v>0.7096021220159151</v>
      </c>
      <c r="AG26" s="3">
        <f t="shared" si="6"/>
        <v>0.7397064544650751</v>
      </c>
      <c r="AH26" s="3">
        <f t="shared" si="6"/>
        <v>0.7676604774535809</v>
      </c>
      <c r="AI26" s="3">
        <f t="shared" si="6"/>
        <v>0.79346419098143239</v>
      </c>
      <c r="AJ26" s="3">
        <f t="shared" si="6"/>
        <v>0.81711759504862946</v>
      </c>
      <c r="AK26" s="3">
        <f t="shared" si="6"/>
        <v>0.83862068965517245</v>
      </c>
      <c r="AL26" s="3">
        <f t="shared" si="6"/>
        <v>0.8579734748010609</v>
      </c>
      <c r="AM26" s="3">
        <f t="shared" si="6"/>
        <v>0.87517595048629526</v>
      </c>
      <c r="AN26" s="3">
        <f t="shared" si="6"/>
        <v>0.89022811671087543</v>
      </c>
      <c r="AO26" s="3">
        <f t="shared" si="6"/>
        <v>0.90312997347480106</v>
      </c>
      <c r="AP26" s="3">
        <f t="shared" si="6"/>
        <v>0.9138815207780725</v>
      </c>
      <c r="AQ26" s="3">
        <f t="shared" si="6"/>
        <v>0.92248275862068962</v>
      </c>
      <c r="AR26" s="3">
        <f t="shared" si="6"/>
        <v>0.92893368700265244</v>
      </c>
      <c r="AS26" s="3">
        <f t="shared" si="6"/>
        <v>0.93323430592396117</v>
      </c>
      <c r="AT26" s="3">
        <f t="shared" si="6"/>
        <v>0.93538461538461537</v>
      </c>
      <c r="AU26" s="3">
        <f t="shared" si="6"/>
        <v>0.93538461538461537</v>
      </c>
      <c r="AW26" s="1">
        <v>20</v>
      </c>
      <c r="AX26" s="1">
        <f t="shared" ca="1" si="2"/>
        <v>0.1632685797232446</v>
      </c>
      <c r="AY26" s="1">
        <v>20</v>
      </c>
      <c r="AZ26" s="1">
        <f t="shared" ca="1" si="2"/>
        <v>0.89624126172312069</v>
      </c>
    </row>
    <row r="27" spans="2:52" x14ac:dyDescent="0.25">
      <c r="B27" s="1">
        <v>18</v>
      </c>
      <c r="C27" s="3">
        <f t="shared" si="3"/>
        <v>0.84827586206896555</v>
      </c>
      <c r="D27" s="1">
        <v>14</v>
      </c>
      <c r="E27" s="3">
        <f t="shared" si="4"/>
        <v>0.79692307692307696</v>
      </c>
      <c r="O27" s="104"/>
      <c r="P27" s="2">
        <v>20</v>
      </c>
      <c r="Q27" s="3">
        <f t="shared" si="1"/>
        <v>0</v>
      </c>
      <c r="R27" s="3">
        <f t="shared" si="6"/>
        <v>6.3589743589743591E-2</v>
      </c>
      <c r="S27" s="3">
        <f t="shared" si="6"/>
        <v>0.1249867374005305</v>
      </c>
      <c r="T27" s="3">
        <f t="shared" si="6"/>
        <v>0.18419098143236076</v>
      </c>
      <c r="U27" s="3">
        <f t="shared" si="6"/>
        <v>0.24120247568523434</v>
      </c>
      <c r="V27" s="3">
        <f t="shared" si="6"/>
        <v>0.29602122015915122</v>
      </c>
      <c r="W27" s="3">
        <f t="shared" si="6"/>
        <v>0.34864721485411143</v>
      </c>
      <c r="X27" s="3">
        <f t="shared" si="6"/>
        <v>0.39908045977011497</v>
      </c>
      <c r="Y27" s="3">
        <f t="shared" si="6"/>
        <v>0.44732095490716178</v>
      </c>
      <c r="Z27" s="3">
        <f t="shared" si="6"/>
        <v>0.49336870026525192</v>
      </c>
      <c r="AA27" s="3">
        <f t="shared" si="6"/>
        <v>0.53722369584438556</v>
      </c>
      <c r="AB27" s="3">
        <f t="shared" si="6"/>
        <v>0.57888594164456231</v>
      </c>
      <c r="AC27" s="3">
        <f t="shared" si="6"/>
        <v>0.61835543766578249</v>
      </c>
      <c r="AD27" s="3">
        <f t="shared" si="6"/>
        <v>0.65563218390804601</v>
      </c>
      <c r="AE27" s="3">
        <f t="shared" si="6"/>
        <v>0.69071618037135285</v>
      </c>
      <c r="AF27" s="3">
        <f t="shared" si="6"/>
        <v>0.72360742705570291</v>
      </c>
      <c r="AG27" s="3">
        <f t="shared" si="6"/>
        <v>0.75430592396109641</v>
      </c>
      <c r="AH27" s="3">
        <f t="shared" si="6"/>
        <v>0.78281167108753313</v>
      </c>
      <c r="AI27" s="3">
        <f t="shared" si="6"/>
        <v>0.80912466843501329</v>
      </c>
      <c r="AJ27" s="3">
        <f t="shared" si="6"/>
        <v>0.83324491600353667</v>
      </c>
      <c r="AK27" s="3">
        <f t="shared" si="6"/>
        <v>0.85517241379310349</v>
      </c>
      <c r="AL27" s="3">
        <f t="shared" si="6"/>
        <v>0.87490716180371353</v>
      </c>
      <c r="AM27" s="3">
        <f t="shared" si="6"/>
        <v>0.8924491600353669</v>
      </c>
      <c r="AN27" s="3">
        <f t="shared" si="6"/>
        <v>0.90779840848806381</v>
      </c>
      <c r="AO27" s="3">
        <f t="shared" si="6"/>
        <v>0.92095490716180384</v>
      </c>
      <c r="AP27" s="3">
        <f t="shared" si="6"/>
        <v>0.93191865605658719</v>
      </c>
      <c r="AQ27" s="3">
        <f t="shared" si="6"/>
        <v>0.94068965517241387</v>
      </c>
      <c r="AR27" s="3">
        <f t="shared" si="6"/>
        <v>0.94726790450928389</v>
      </c>
      <c r="AS27" s="3">
        <f t="shared" si="6"/>
        <v>0.95165340406719734</v>
      </c>
      <c r="AT27" s="3">
        <f t="shared" si="6"/>
        <v>0.9538461538461539</v>
      </c>
      <c r="AU27" s="3">
        <f t="shared" si="6"/>
        <v>0.9538461538461539</v>
      </c>
      <c r="AW27" s="1">
        <v>21</v>
      </c>
      <c r="AX27" s="1">
        <f t="shared" ca="1" si="2"/>
        <v>3.2317172076447798E-2</v>
      </c>
      <c r="AY27" s="1">
        <v>21</v>
      </c>
      <c r="AZ27" s="1">
        <f t="shared" ca="1" si="2"/>
        <v>1.7934666384162967E-2</v>
      </c>
    </row>
    <row r="28" spans="2:52" x14ac:dyDescent="0.25">
      <c r="B28" s="1">
        <v>17</v>
      </c>
      <c r="C28" s="3">
        <f t="shared" si="3"/>
        <v>0.82068965517241377</v>
      </c>
      <c r="D28" s="1">
        <v>13</v>
      </c>
      <c r="E28" s="3">
        <f t="shared" si="4"/>
        <v>0.76</v>
      </c>
      <c r="O28" s="104"/>
      <c r="P28" s="2">
        <v>21</v>
      </c>
      <c r="Q28" s="3">
        <f t="shared" si="1"/>
        <v>0</v>
      </c>
      <c r="R28" s="3">
        <f t="shared" si="6"/>
        <v>6.4615384615384616E-2</v>
      </c>
      <c r="S28" s="3">
        <f t="shared" si="6"/>
        <v>0.12700265251989387</v>
      </c>
      <c r="T28" s="3">
        <f t="shared" si="6"/>
        <v>0.18716180371352784</v>
      </c>
      <c r="U28" s="3">
        <f t="shared" si="6"/>
        <v>0.24509283819628649</v>
      </c>
      <c r="V28" s="3">
        <f t="shared" si="6"/>
        <v>0.30079575596816976</v>
      </c>
      <c r="W28" s="3">
        <f t="shared" si="6"/>
        <v>0.3542705570291777</v>
      </c>
      <c r="X28" s="3">
        <f t="shared" si="6"/>
        <v>0.40551724137931039</v>
      </c>
      <c r="Y28" s="3">
        <f t="shared" si="6"/>
        <v>0.4545358090185676</v>
      </c>
      <c r="Z28" s="3">
        <f t="shared" si="6"/>
        <v>0.50132625994694957</v>
      </c>
      <c r="AA28" s="3">
        <f t="shared" si="6"/>
        <v>0.54588859416445623</v>
      </c>
      <c r="AB28" s="3">
        <f t="shared" si="6"/>
        <v>0.58822281167108748</v>
      </c>
      <c r="AC28" s="3">
        <f t="shared" si="6"/>
        <v>0.62832891246684341</v>
      </c>
      <c r="AD28" s="3">
        <f t="shared" si="6"/>
        <v>0.66620689655172416</v>
      </c>
      <c r="AE28" s="3">
        <f t="shared" si="6"/>
        <v>0.70185676392572949</v>
      </c>
      <c r="AF28" s="3">
        <f t="shared" si="6"/>
        <v>0.7352785145888594</v>
      </c>
      <c r="AG28" s="3">
        <f t="shared" si="6"/>
        <v>0.76647214854111401</v>
      </c>
      <c r="AH28" s="3">
        <f t="shared" si="6"/>
        <v>0.79543766578249331</v>
      </c>
      <c r="AI28" s="3">
        <f t="shared" si="6"/>
        <v>0.82217506631299742</v>
      </c>
      <c r="AJ28" s="3">
        <f t="shared" si="6"/>
        <v>0.84668435013262588</v>
      </c>
      <c r="AK28" s="3">
        <f t="shared" si="6"/>
        <v>0.86896551724137927</v>
      </c>
      <c r="AL28" s="3">
        <f t="shared" si="6"/>
        <v>0.88901856763925724</v>
      </c>
      <c r="AM28" s="3">
        <f t="shared" si="6"/>
        <v>0.9068435013262599</v>
      </c>
      <c r="AN28" s="3">
        <f t="shared" si="6"/>
        <v>0.92244031830238737</v>
      </c>
      <c r="AO28" s="3">
        <f t="shared" si="6"/>
        <v>0.93580901856763932</v>
      </c>
      <c r="AP28" s="3">
        <f t="shared" si="6"/>
        <v>0.94694960212201595</v>
      </c>
      <c r="AQ28" s="3">
        <f t="shared" si="6"/>
        <v>0.95586206896551718</v>
      </c>
      <c r="AR28" s="3">
        <f t="shared" si="6"/>
        <v>0.9625464190981432</v>
      </c>
      <c r="AS28" s="3">
        <f t="shared" si="6"/>
        <v>0.96700265251989392</v>
      </c>
      <c r="AT28" s="3">
        <f t="shared" si="6"/>
        <v>0.96923076923076923</v>
      </c>
      <c r="AU28" s="3">
        <f t="shared" si="6"/>
        <v>0.96923076923076923</v>
      </c>
      <c r="AW28" s="1">
        <v>22</v>
      </c>
      <c r="AX28" s="1">
        <f t="shared" ca="1" si="2"/>
        <v>0.70467032610840541</v>
      </c>
      <c r="AY28" s="1">
        <v>22</v>
      </c>
      <c r="AZ28" s="1">
        <f t="shared" ca="1" si="2"/>
        <v>0.80496838871124687</v>
      </c>
    </row>
    <row r="29" spans="2:52" x14ac:dyDescent="0.25">
      <c r="B29" s="1">
        <v>16</v>
      </c>
      <c r="C29" s="3">
        <f t="shared" si="3"/>
        <v>0.79080459770114941</v>
      </c>
      <c r="D29" s="1">
        <v>12</v>
      </c>
      <c r="E29" s="3">
        <f t="shared" si="4"/>
        <v>0.72</v>
      </c>
      <c r="O29" s="104"/>
      <c r="P29" s="2">
        <v>22</v>
      </c>
      <c r="Q29" s="3">
        <f t="shared" si="1"/>
        <v>0</v>
      </c>
      <c r="R29" s="3">
        <f t="shared" si="6"/>
        <v>6.5435897435897436E-2</v>
      </c>
      <c r="S29" s="3">
        <f t="shared" si="6"/>
        <v>0.1286153846153846</v>
      </c>
      <c r="T29" s="3">
        <f t="shared" si="6"/>
        <v>0.18953846153846152</v>
      </c>
      <c r="U29" s="3">
        <f t="shared" si="6"/>
        <v>0.24820512820512822</v>
      </c>
      <c r="V29" s="3">
        <f t="shared" si="6"/>
        <v>0.30461538461538462</v>
      </c>
      <c r="W29" s="3">
        <f t="shared" si="6"/>
        <v>0.35876923076923073</v>
      </c>
      <c r="X29" s="3">
        <f t="shared" si="6"/>
        <v>0.41066666666666668</v>
      </c>
      <c r="Y29" s="3">
        <f t="shared" si="6"/>
        <v>0.4603076923076922</v>
      </c>
      <c r="Z29" s="3">
        <f t="shared" si="6"/>
        <v>0.50769230769230755</v>
      </c>
      <c r="AA29" s="3">
        <f t="shared" si="6"/>
        <v>0.55282051282051281</v>
      </c>
      <c r="AB29" s="3">
        <f t="shared" si="6"/>
        <v>0.59569230769230763</v>
      </c>
      <c r="AC29" s="3">
        <f t="shared" si="6"/>
        <v>0.63630769230769224</v>
      </c>
      <c r="AD29" s="3">
        <f t="shared" si="6"/>
        <v>0.67466666666666664</v>
      </c>
      <c r="AE29" s="3">
        <f t="shared" si="6"/>
        <v>0.71076923076923071</v>
      </c>
      <c r="AF29" s="3">
        <f t="shared" si="6"/>
        <v>0.74461538461538457</v>
      </c>
      <c r="AG29" s="3">
        <f t="shared" si="6"/>
        <v>0.7762051282051281</v>
      </c>
      <c r="AH29" s="3">
        <f t="shared" si="6"/>
        <v>0.80553846153846143</v>
      </c>
      <c r="AI29" s="3">
        <f t="shared" si="6"/>
        <v>0.83261538461538454</v>
      </c>
      <c r="AJ29" s="3">
        <f t="shared" si="6"/>
        <v>0.85743589743589732</v>
      </c>
      <c r="AK29" s="3">
        <f t="shared" si="6"/>
        <v>0.88</v>
      </c>
      <c r="AL29" s="3">
        <f t="shared" si="6"/>
        <v>0.90030769230769214</v>
      </c>
      <c r="AM29" s="3">
        <f t="shared" si="6"/>
        <v>0.91835897435897429</v>
      </c>
      <c r="AN29" s="3">
        <f t="shared" si="6"/>
        <v>0.93415384615384622</v>
      </c>
      <c r="AO29" s="3">
        <f t="shared" si="6"/>
        <v>0.94769230769230772</v>
      </c>
      <c r="AP29" s="3">
        <f t="shared" si="6"/>
        <v>0.9589743589743589</v>
      </c>
      <c r="AQ29" s="3">
        <f t="shared" si="6"/>
        <v>0.96799999999999986</v>
      </c>
      <c r="AR29" s="3">
        <f t="shared" si="6"/>
        <v>0.97476923076923072</v>
      </c>
      <c r="AS29" s="3">
        <f t="shared" si="6"/>
        <v>0.97928205128205126</v>
      </c>
      <c r="AT29" s="3">
        <f t="shared" si="6"/>
        <v>0.98153846153846147</v>
      </c>
      <c r="AU29" s="3">
        <f t="shared" si="6"/>
        <v>0.98153846153846147</v>
      </c>
      <c r="AW29" s="1">
        <v>23</v>
      </c>
      <c r="AX29" s="1">
        <f t="shared" ca="1" si="2"/>
        <v>0.55914728711743245</v>
      </c>
      <c r="AY29" s="1">
        <v>23</v>
      </c>
      <c r="AZ29" s="1">
        <f t="shared" ca="1" si="2"/>
        <v>0.60334284285127726</v>
      </c>
    </row>
    <row r="30" spans="2:52" x14ac:dyDescent="0.25">
      <c r="B30" s="1">
        <v>15</v>
      </c>
      <c r="C30" s="3">
        <f t="shared" si="3"/>
        <v>0.75862068965517238</v>
      </c>
      <c r="D30" s="1">
        <v>11</v>
      </c>
      <c r="E30" s="3">
        <f t="shared" si="4"/>
        <v>0.67692307692307696</v>
      </c>
      <c r="O30" s="104"/>
      <c r="P30" s="2">
        <v>23</v>
      </c>
      <c r="Q30" s="3">
        <f>VLOOKUP($P30,$D$15:$E$41,2,FALSE)*VLOOKUP(Q$6,$B$15:$C$45,2,FALSE)</f>
        <v>0</v>
      </c>
      <c r="R30" s="3">
        <f t="shared" si="6"/>
        <v>6.6051282051282051E-2</v>
      </c>
      <c r="S30" s="3">
        <f t="shared" si="6"/>
        <v>0.12982493368700262</v>
      </c>
      <c r="T30" s="3">
        <f t="shared" si="6"/>
        <v>0.19132095490716181</v>
      </c>
      <c r="U30" s="3">
        <f t="shared" si="6"/>
        <v>0.25053934571175951</v>
      </c>
      <c r="V30" s="3">
        <f t="shared" si="6"/>
        <v>0.30748010610079574</v>
      </c>
      <c r="W30" s="3">
        <f t="shared" si="6"/>
        <v>0.36214323607427057</v>
      </c>
      <c r="X30" s="3">
        <f t="shared" si="6"/>
        <v>0.4145287356321839</v>
      </c>
      <c r="Y30" s="3">
        <f t="shared" si="6"/>
        <v>0.46463660477453572</v>
      </c>
      <c r="Z30" s="3">
        <f t="shared" si="6"/>
        <v>0.51246684350132621</v>
      </c>
      <c r="AA30" s="3">
        <f t="shared" si="6"/>
        <v>0.55801945181255519</v>
      </c>
      <c r="AB30" s="3">
        <f t="shared" si="6"/>
        <v>0.60129442970822278</v>
      </c>
      <c r="AC30" s="3">
        <f t="shared" si="6"/>
        <v>0.64229177718832886</v>
      </c>
      <c r="AD30" s="3">
        <f t="shared" si="6"/>
        <v>0.68101149425287355</v>
      </c>
      <c r="AE30" s="3">
        <f t="shared" si="6"/>
        <v>0.71745358090185674</v>
      </c>
      <c r="AF30" s="3">
        <f t="shared" si="6"/>
        <v>0.75161803713527842</v>
      </c>
      <c r="AG30" s="3">
        <f t="shared" si="6"/>
        <v>0.78350486295313881</v>
      </c>
      <c r="AH30" s="3">
        <f t="shared" si="6"/>
        <v>0.8131140583554376</v>
      </c>
      <c r="AI30" s="3">
        <f t="shared" si="6"/>
        <v>0.8404456233421751</v>
      </c>
      <c r="AJ30" s="3">
        <f t="shared" si="6"/>
        <v>0.86549955791335087</v>
      </c>
      <c r="AK30" s="3">
        <f t="shared" si="6"/>
        <v>0.88827586206896547</v>
      </c>
      <c r="AL30" s="3">
        <f t="shared" si="6"/>
        <v>0.90877453580901846</v>
      </c>
      <c r="AM30" s="3">
        <f t="shared" si="6"/>
        <v>0.92699557913351005</v>
      </c>
      <c r="AN30" s="3">
        <f t="shared" si="6"/>
        <v>0.94293899204244036</v>
      </c>
      <c r="AO30" s="3">
        <f t="shared" si="6"/>
        <v>0.95660477453580905</v>
      </c>
      <c r="AP30" s="3">
        <f t="shared" si="6"/>
        <v>0.96799292661361624</v>
      </c>
      <c r="AQ30" s="3">
        <f t="shared" si="6"/>
        <v>0.97710344827586204</v>
      </c>
      <c r="AR30" s="3">
        <f t="shared" si="6"/>
        <v>0.98393633952254633</v>
      </c>
      <c r="AS30" s="3">
        <f t="shared" si="6"/>
        <v>0.98849160035366934</v>
      </c>
      <c r="AT30" s="3">
        <f t="shared" si="6"/>
        <v>0.99076923076923074</v>
      </c>
      <c r="AU30" s="3">
        <f t="shared" si="6"/>
        <v>0.99076923076923074</v>
      </c>
      <c r="AW30" s="1">
        <v>24</v>
      </c>
      <c r="AX30" s="1">
        <f t="shared" ca="1" si="2"/>
        <v>0.22837178625040799</v>
      </c>
      <c r="AY30" s="1">
        <v>24</v>
      </c>
      <c r="AZ30" s="1">
        <f t="shared" ca="1" si="2"/>
        <v>0.70574060907750735</v>
      </c>
    </row>
    <row r="31" spans="2:52" x14ac:dyDescent="0.25">
      <c r="B31" s="1">
        <v>14</v>
      </c>
      <c r="C31" s="3">
        <f t="shared" si="3"/>
        <v>0.72413793103448276</v>
      </c>
      <c r="D31" s="1">
        <v>10</v>
      </c>
      <c r="E31" s="3">
        <f t="shared" si="4"/>
        <v>0.63076923076923075</v>
      </c>
      <c r="O31" s="104"/>
      <c r="P31" s="2">
        <v>24</v>
      </c>
      <c r="Q31" s="3">
        <f t="shared" si="1"/>
        <v>0</v>
      </c>
      <c r="R31" s="3">
        <f t="shared" si="6"/>
        <v>6.6461538461538461E-2</v>
      </c>
      <c r="S31" s="3">
        <f t="shared" si="6"/>
        <v>0.13063129973474802</v>
      </c>
      <c r="T31" s="3">
        <f t="shared" si="6"/>
        <v>0.19250928381962867</v>
      </c>
      <c r="U31" s="3">
        <f t="shared" si="6"/>
        <v>0.25209549071618043</v>
      </c>
      <c r="V31" s="3">
        <f t="shared" si="6"/>
        <v>0.30938992042440322</v>
      </c>
      <c r="W31" s="3">
        <f t="shared" si="6"/>
        <v>0.36439257294429711</v>
      </c>
      <c r="X31" s="3">
        <f t="shared" si="6"/>
        <v>0.41710344827586215</v>
      </c>
      <c r="Y31" s="3">
        <f t="shared" si="6"/>
        <v>0.46752254641909813</v>
      </c>
      <c r="Z31" s="3">
        <f t="shared" si="6"/>
        <v>0.51564986737400531</v>
      </c>
      <c r="AA31" s="3">
        <f t="shared" si="6"/>
        <v>0.56148541114058359</v>
      </c>
      <c r="AB31" s="3">
        <f t="shared" si="6"/>
        <v>0.60502917771883291</v>
      </c>
      <c r="AC31" s="3">
        <f t="shared" si="6"/>
        <v>0.64628116710875338</v>
      </c>
      <c r="AD31" s="3">
        <f t="shared" si="6"/>
        <v>0.6852413793103449</v>
      </c>
      <c r="AE31" s="3">
        <f t="shared" si="6"/>
        <v>0.72190981432360746</v>
      </c>
      <c r="AF31" s="3">
        <f t="shared" si="6"/>
        <v>0.75628647214854117</v>
      </c>
      <c r="AG31" s="3">
        <f t="shared" si="6"/>
        <v>0.78837135278514592</v>
      </c>
      <c r="AH31" s="3">
        <f t="shared" si="6"/>
        <v>0.81816445623342182</v>
      </c>
      <c r="AI31" s="3">
        <f t="shared" si="6"/>
        <v>0.84566578249336877</v>
      </c>
      <c r="AJ31" s="3">
        <f t="shared" si="6"/>
        <v>0.87087533156498675</v>
      </c>
      <c r="AK31" s="3">
        <f t="shared" si="6"/>
        <v>0.89379310344827601</v>
      </c>
      <c r="AL31" s="3">
        <f t="shared" si="6"/>
        <v>0.91441909814323608</v>
      </c>
      <c r="AM31" s="3">
        <f t="shared" si="6"/>
        <v>0.93275331564986741</v>
      </c>
      <c r="AN31" s="3">
        <f t="shared" si="6"/>
        <v>0.94879575596817001</v>
      </c>
      <c r="AO31" s="3">
        <f t="shared" si="6"/>
        <v>0.96254641909814342</v>
      </c>
      <c r="AP31" s="3">
        <f t="shared" si="6"/>
        <v>0.97400530503978788</v>
      </c>
      <c r="AQ31" s="3">
        <f t="shared" si="6"/>
        <v>0.98317241379310349</v>
      </c>
      <c r="AR31" s="3">
        <f t="shared" si="6"/>
        <v>0.99004774535809026</v>
      </c>
      <c r="AS31" s="3">
        <f t="shared" si="6"/>
        <v>0.99463129973474818</v>
      </c>
      <c r="AT31" s="3">
        <f t="shared" si="6"/>
        <v>0.99692307692307702</v>
      </c>
      <c r="AU31" s="3">
        <f t="shared" si="6"/>
        <v>0.99692307692307702</v>
      </c>
      <c r="AW31" s="1">
        <v>25</v>
      </c>
      <c r="AX31" s="1">
        <f t="shared" ca="1" si="2"/>
        <v>0.19296774149667073</v>
      </c>
      <c r="AY31" s="1">
        <v>25</v>
      </c>
      <c r="AZ31" s="1">
        <f t="shared" ca="1" si="2"/>
        <v>2.8257164002526425E-2</v>
      </c>
    </row>
    <row r="32" spans="2:52" x14ac:dyDescent="0.25">
      <c r="B32" s="1">
        <v>13</v>
      </c>
      <c r="C32" s="3">
        <f t="shared" si="3"/>
        <v>0.68735632183908046</v>
      </c>
      <c r="D32" s="1">
        <v>9</v>
      </c>
      <c r="E32" s="3">
        <f t="shared" si="4"/>
        <v>0.58153846153846156</v>
      </c>
      <c r="O32" s="104"/>
      <c r="P32" s="2">
        <v>25</v>
      </c>
      <c r="Q32" s="3">
        <f t="shared" si="1"/>
        <v>0</v>
      </c>
      <c r="R32" s="3">
        <f t="shared" si="6"/>
        <v>6.6666666666666666E-2</v>
      </c>
      <c r="S32" s="3">
        <f t="shared" si="6"/>
        <v>0.13103448275862067</v>
      </c>
      <c r="T32" s="3">
        <f t="shared" si="6"/>
        <v>0.19310344827586207</v>
      </c>
      <c r="U32" s="3">
        <f t="shared" si="6"/>
        <v>0.25287356321839083</v>
      </c>
      <c r="V32" s="3">
        <f t="shared" si="6"/>
        <v>0.31034482758620691</v>
      </c>
      <c r="W32" s="3">
        <f t="shared" si="6"/>
        <v>0.36551724137931035</v>
      </c>
      <c r="X32" s="3">
        <f t="shared" si="6"/>
        <v>0.41839080459770117</v>
      </c>
      <c r="Y32" s="3">
        <f t="shared" si="6"/>
        <v>0.46896551724137925</v>
      </c>
      <c r="Z32" s="3">
        <f t="shared" si="6"/>
        <v>0.51724137931034475</v>
      </c>
      <c r="AA32" s="3">
        <f t="shared" si="6"/>
        <v>0.56321839080459768</v>
      </c>
      <c r="AB32" s="3">
        <f t="shared" si="6"/>
        <v>0.60689655172413792</v>
      </c>
      <c r="AC32" s="3">
        <f t="shared" si="6"/>
        <v>0.64827586206896548</v>
      </c>
      <c r="AD32" s="3">
        <f t="shared" si="6"/>
        <v>0.68735632183908046</v>
      </c>
      <c r="AE32" s="3">
        <f t="shared" si="6"/>
        <v>0.72413793103448276</v>
      </c>
      <c r="AF32" s="3">
        <f t="shared" si="6"/>
        <v>0.75862068965517238</v>
      </c>
      <c r="AG32" s="3">
        <f t="shared" si="6"/>
        <v>0.79080459770114941</v>
      </c>
      <c r="AH32" s="3">
        <f t="shared" si="6"/>
        <v>0.82068965517241377</v>
      </c>
      <c r="AI32" s="3">
        <f t="shared" si="6"/>
        <v>0.84827586206896555</v>
      </c>
      <c r="AJ32" s="3">
        <f t="shared" si="6"/>
        <v>0.87356321839080453</v>
      </c>
      <c r="AK32" s="3">
        <f t="shared" si="6"/>
        <v>0.89655172413793105</v>
      </c>
      <c r="AL32" s="3">
        <f t="shared" si="6"/>
        <v>0.91724137931034477</v>
      </c>
      <c r="AM32" s="3">
        <f t="shared" si="6"/>
        <v>0.93563218390804592</v>
      </c>
      <c r="AN32" s="3">
        <f t="shared" si="6"/>
        <v>0.95172413793103461</v>
      </c>
      <c r="AO32" s="3">
        <f t="shared" si="6"/>
        <v>0.96551724137931039</v>
      </c>
      <c r="AP32" s="3">
        <f t="shared" si="6"/>
        <v>0.97701149425287359</v>
      </c>
      <c r="AQ32" s="3">
        <f t="shared" si="6"/>
        <v>0.98620689655172411</v>
      </c>
      <c r="AR32" s="3">
        <f t="shared" si="6"/>
        <v>0.99310344827586206</v>
      </c>
      <c r="AS32" s="3">
        <f t="shared" si="6"/>
        <v>0.99770114942528743</v>
      </c>
      <c r="AT32" s="3">
        <f t="shared" si="6"/>
        <v>1</v>
      </c>
      <c r="AU32" s="3">
        <f t="shared" si="6"/>
        <v>1</v>
      </c>
      <c r="AW32" s="1">
        <v>26</v>
      </c>
      <c r="AX32" s="1">
        <f t="shared" ca="1" si="2"/>
        <v>0.73964778572479939</v>
      </c>
      <c r="AY32" s="1">
        <v>26</v>
      </c>
      <c r="AZ32" s="1">
        <f t="shared" ca="1" si="2"/>
        <v>0.78320661689066851</v>
      </c>
    </row>
    <row r="33" spans="2:50" x14ac:dyDescent="0.25">
      <c r="B33" s="1">
        <v>12</v>
      </c>
      <c r="C33" s="3">
        <f t="shared" si="3"/>
        <v>0.64827586206896548</v>
      </c>
      <c r="D33" s="1">
        <v>8</v>
      </c>
      <c r="E33" s="3">
        <f t="shared" si="4"/>
        <v>0.52923076923076928</v>
      </c>
      <c r="O33" s="104"/>
      <c r="P33" s="2">
        <v>26</v>
      </c>
      <c r="Q33" s="3">
        <f t="shared" si="1"/>
        <v>0</v>
      </c>
      <c r="R33" s="3">
        <f t="shared" ref="R33:AU33" si="7">VLOOKUP($P33,$D$15:$E$41,2,FALSE)*VLOOKUP(R$6,$B$15:$C$45,2,FALSE)</f>
        <v>6.6666666666666666E-2</v>
      </c>
      <c r="S33" s="3">
        <f t="shared" si="7"/>
        <v>0.13103448275862067</v>
      </c>
      <c r="T33" s="3">
        <f t="shared" si="7"/>
        <v>0.19310344827586207</v>
      </c>
      <c r="U33" s="3">
        <f t="shared" si="7"/>
        <v>0.25287356321839083</v>
      </c>
      <c r="V33" s="3">
        <f t="shared" si="7"/>
        <v>0.31034482758620691</v>
      </c>
      <c r="W33" s="3">
        <f t="shared" si="7"/>
        <v>0.36551724137931035</v>
      </c>
      <c r="X33" s="3">
        <f t="shared" si="7"/>
        <v>0.41839080459770117</v>
      </c>
      <c r="Y33" s="3">
        <f t="shared" si="7"/>
        <v>0.46896551724137925</v>
      </c>
      <c r="Z33" s="3">
        <f t="shared" si="7"/>
        <v>0.51724137931034475</v>
      </c>
      <c r="AA33" s="3">
        <f t="shared" si="7"/>
        <v>0.56321839080459768</v>
      </c>
      <c r="AB33" s="3">
        <f t="shared" si="7"/>
        <v>0.60689655172413792</v>
      </c>
      <c r="AC33" s="3">
        <f t="shared" si="7"/>
        <v>0.64827586206896548</v>
      </c>
      <c r="AD33" s="3">
        <f t="shared" si="7"/>
        <v>0.68735632183908046</v>
      </c>
      <c r="AE33" s="3">
        <f t="shared" si="7"/>
        <v>0.72413793103448276</v>
      </c>
      <c r="AF33" s="3">
        <f t="shared" si="7"/>
        <v>0.75862068965517238</v>
      </c>
      <c r="AG33" s="3">
        <f t="shared" si="7"/>
        <v>0.79080459770114941</v>
      </c>
      <c r="AH33" s="3">
        <f t="shared" si="7"/>
        <v>0.82068965517241377</v>
      </c>
      <c r="AI33" s="3">
        <f t="shared" si="7"/>
        <v>0.84827586206896555</v>
      </c>
      <c r="AJ33" s="3">
        <f t="shared" si="7"/>
        <v>0.87356321839080453</v>
      </c>
      <c r="AK33" s="3">
        <f t="shared" si="7"/>
        <v>0.89655172413793105</v>
      </c>
      <c r="AL33" s="3">
        <f t="shared" si="7"/>
        <v>0.91724137931034477</v>
      </c>
      <c r="AM33" s="3">
        <f t="shared" si="7"/>
        <v>0.93563218390804592</v>
      </c>
      <c r="AN33" s="3">
        <f t="shared" si="7"/>
        <v>0.95172413793103461</v>
      </c>
      <c r="AO33" s="3">
        <f t="shared" si="7"/>
        <v>0.96551724137931039</v>
      </c>
      <c r="AP33" s="3">
        <f t="shared" si="7"/>
        <v>0.97701149425287359</v>
      </c>
      <c r="AQ33" s="3">
        <f t="shared" si="7"/>
        <v>0.98620689655172411</v>
      </c>
      <c r="AR33" s="3">
        <f t="shared" si="7"/>
        <v>0.99310344827586206</v>
      </c>
      <c r="AS33" s="3">
        <f t="shared" si="7"/>
        <v>0.99770114942528743</v>
      </c>
      <c r="AT33" s="3">
        <f t="shared" si="7"/>
        <v>1</v>
      </c>
      <c r="AU33" s="3">
        <f t="shared" si="7"/>
        <v>1</v>
      </c>
      <c r="AW33" s="1">
        <v>27</v>
      </c>
      <c r="AX33" s="1">
        <f t="shared" ca="1" si="2"/>
        <v>0.96538382292973313</v>
      </c>
    </row>
    <row r="34" spans="2:50" x14ac:dyDescent="0.25">
      <c r="B34" s="1">
        <v>11</v>
      </c>
      <c r="C34" s="3">
        <f t="shared" si="3"/>
        <v>0.60689655172413792</v>
      </c>
      <c r="D34" s="1">
        <v>7</v>
      </c>
      <c r="E34" s="3">
        <f t="shared" si="4"/>
        <v>0.47384615384615381</v>
      </c>
      <c r="O34" s="16"/>
      <c r="P34" s="2"/>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W34" s="1">
        <v>28</v>
      </c>
      <c r="AX34" s="1">
        <f t="shared" ca="1" si="2"/>
        <v>0.44479871908993307</v>
      </c>
    </row>
    <row r="35" spans="2:50" x14ac:dyDescent="0.25">
      <c r="B35" s="1">
        <v>10</v>
      </c>
      <c r="C35" s="3">
        <f t="shared" si="3"/>
        <v>0.56321839080459768</v>
      </c>
      <c r="D35" s="1">
        <v>6</v>
      </c>
      <c r="E35" s="3">
        <f t="shared" si="4"/>
        <v>0.41538461538461541</v>
      </c>
      <c r="O35" s="16"/>
      <c r="P35" s="2"/>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W35" s="1">
        <v>29</v>
      </c>
      <c r="AX35" s="1">
        <f t="shared" ca="1" si="2"/>
        <v>0.77654514406683572</v>
      </c>
    </row>
    <row r="36" spans="2:50" x14ac:dyDescent="0.25">
      <c r="B36" s="1">
        <v>9</v>
      </c>
      <c r="C36" s="3">
        <f t="shared" si="3"/>
        <v>0.51724137931034475</v>
      </c>
      <c r="D36" s="1">
        <v>5</v>
      </c>
      <c r="E36" s="3">
        <f t="shared" si="4"/>
        <v>0.35384615384615387</v>
      </c>
      <c r="O36" s="103" t="s">
        <v>129</v>
      </c>
      <c r="P36" s="103"/>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W36" s="1">
        <v>30</v>
      </c>
      <c r="AX36" s="1">
        <f t="shared" ca="1" si="2"/>
        <v>0.31074621079404852</v>
      </c>
    </row>
    <row r="37" spans="2:50" x14ac:dyDescent="0.25">
      <c r="B37" s="1">
        <v>8</v>
      </c>
      <c r="C37" s="3">
        <f t="shared" si="3"/>
        <v>0.46896551724137925</v>
      </c>
      <c r="D37" s="1">
        <v>4</v>
      </c>
      <c r="E37" s="3">
        <f t="shared" si="4"/>
        <v>0.28923076923076924</v>
      </c>
      <c r="Q37" s="93" t="s">
        <v>6</v>
      </c>
      <c r="R37" s="93"/>
      <c r="S37" s="93"/>
      <c r="T37" s="93"/>
      <c r="U37" s="93"/>
      <c r="V37" s="93"/>
      <c r="W37" s="93"/>
      <c r="X37" s="93"/>
      <c r="Y37" s="93"/>
      <c r="Z37" s="93"/>
      <c r="AA37" s="93"/>
      <c r="AB37" s="93"/>
      <c r="AC37" s="93"/>
      <c r="AD37" s="93"/>
      <c r="AE37" s="93"/>
      <c r="AF37" s="93"/>
      <c r="AG37" s="93"/>
      <c r="AH37" s="93"/>
      <c r="AI37" s="93"/>
      <c r="AJ37" s="93"/>
      <c r="AK37" s="93"/>
      <c r="AL37" s="93"/>
      <c r="AM37" s="93"/>
      <c r="AN37" s="93"/>
      <c r="AO37" s="93"/>
      <c r="AP37" s="93"/>
      <c r="AQ37" s="93"/>
      <c r="AR37" s="93"/>
      <c r="AS37" s="93"/>
      <c r="AT37" s="93"/>
      <c r="AU37" s="93"/>
    </row>
    <row r="38" spans="2:50" x14ac:dyDescent="0.25">
      <c r="B38" s="1">
        <v>7</v>
      </c>
      <c r="C38" s="3">
        <f t="shared" si="3"/>
        <v>0.41839080459770117</v>
      </c>
      <c r="D38" s="1">
        <v>3</v>
      </c>
      <c r="E38" s="3">
        <f t="shared" si="4"/>
        <v>0.22153846153846152</v>
      </c>
      <c r="Q38" s="2">
        <v>0</v>
      </c>
      <c r="R38" s="2">
        <v>1</v>
      </c>
      <c r="S38" s="2">
        <v>2</v>
      </c>
      <c r="T38" s="2">
        <v>3</v>
      </c>
      <c r="U38" s="2">
        <v>4</v>
      </c>
      <c r="V38" s="2">
        <v>5</v>
      </c>
      <c r="W38" s="2">
        <v>6</v>
      </c>
      <c r="X38" s="2">
        <v>7</v>
      </c>
      <c r="Y38" s="2">
        <v>8</v>
      </c>
      <c r="Z38" s="2">
        <v>9</v>
      </c>
      <c r="AA38" s="2">
        <v>10</v>
      </c>
      <c r="AB38" s="2">
        <v>11</v>
      </c>
      <c r="AC38" s="2">
        <v>12</v>
      </c>
      <c r="AD38" s="2">
        <v>13</v>
      </c>
      <c r="AE38" s="2">
        <v>14</v>
      </c>
      <c r="AF38" s="2">
        <v>15</v>
      </c>
      <c r="AG38" s="2">
        <v>16</v>
      </c>
      <c r="AH38" s="2">
        <v>17</v>
      </c>
      <c r="AI38" s="2">
        <v>18</v>
      </c>
      <c r="AJ38" s="2">
        <v>19</v>
      </c>
      <c r="AK38" s="2">
        <v>20</v>
      </c>
      <c r="AL38" s="2">
        <v>21</v>
      </c>
      <c r="AM38" s="2">
        <v>22</v>
      </c>
      <c r="AN38" s="2">
        <v>23</v>
      </c>
      <c r="AO38" s="2">
        <v>24</v>
      </c>
      <c r="AP38" s="2">
        <v>25</v>
      </c>
      <c r="AQ38" s="2">
        <v>26</v>
      </c>
      <c r="AR38" s="2">
        <v>27</v>
      </c>
      <c r="AS38" s="2">
        <v>28</v>
      </c>
      <c r="AT38" s="2">
        <v>29</v>
      </c>
      <c r="AU38" s="2">
        <v>30</v>
      </c>
    </row>
    <row r="39" spans="2:50" ht="13.9" customHeight="1" x14ac:dyDescent="0.25">
      <c r="B39" s="1">
        <v>6</v>
      </c>
      <c r="C39" s="3">
        <f t="shared" si="3"/>
        <v>0.36551724137931035</v>
      </c>
      <c r="D39" s="1">
        <v>2</v>
      </c>
      <c r="E39" s="3">
        <f t="shared" si="4"/>
        <v>0.15076923076923077</v>
      </c>
      <c r="O39" s="104" t="s">
        <v>7</v>
      </c>
      <c r="P39" s="2">
        <v>0</v>
      </c>
      <c r="Q39" s="3">
        <f>IFERROR(VLOOKUP($P39,$D$15:$E$41,2,FALSE)*VLOOKUP(Q$6,$B$15:$C$45,2,FALSE)/($P39+Q$38),0)</f>
        <v>0</v>
      </c>
      <c r="R39" s="3">
        <f t="shared" ref="R39:AU47" si="8">IFERROR(VLOOKUP($P39,$D$15:$E$41,2,FALSE)*VLOOKUP(R$6,$B$15:$C$45,2,FALSE)/($P39+R$38),0)</f>
        <v>0</v>
      </c>
      <c r="S39" s="3">
        <f t="shared" si="8"/>
        <v>0</v>
      </c>
      <c r="T39" s="3">
        <f t="shared" si="8"/>
        <v>0</v>
      </c>
      <c r="U39" s="3">
        <f t="shared" si="8"/>
        <v>0</v>
      </c>
      <c r="V39" s="3">
        <f t="shared" si="8"/>
        <v>0</v>
      </c>
      <c r="W39" s="3">
        <f t="shared" si="8"/>
        <v>0</v>
      </c>
      <c r="X39" s="3">
        <f t="shared" si="8"/>
        <v>0</v>
      </c>
      <c r="Y39" s="3">
        <f t="shared" si="8"/>
        <v>0</v>
      </c>
      <c r="Z39" s="3">
        <f t="shared" si="8"/>
        <v>0</v>
      </c>
      <c r="AA39" s="3">
        <f t="shared" si="8"/>
        <v>0</v>
      </c>
      <c r="AB39" s="3">
        <f t="shared" si="8"/>
        <v>0</v>
      </c>
      <c r="AC39" s="3">
        <f t="shared" si="8"/>
        <v>0</v>
      </c>
      <c r="AD39" s="3">
        <f t="shared" si="8"/>
        <v>0</v>
      </c>
      <c r="AE39" s="3">
        <f t="shared" si="8"/>
        <v>0</v>
      </c>
      <c r="AF39" s="3">
        <f t="shared" si="8"/>
        <v>0</v>
      </c>
      <c r="AG39" s="3">
        <f t="shared" si="8"/>
        <v>0</v>
      </c>
      <c r="AH39" s="3">
        <f t="shared" si="8"/>
        <v>0</v>
      </c>
      <c r="AI39" s="3">
        <f t="shared" si="8"/>
        <v>0</v>
      </c>
      <c r="AJ39" s="3">
        <f t="shared" si="8"/>
        <v>0</v>
      </c>
      <c r="AK39" s="3">
        <f t="shared" si="8"/>
        <v>0</v>
      </c>
      <c r="AL39" s="3">
        <f t="shared" si="8"/>
        <v>0</v>
      </c>
      <c r="AM39" s="3">
        <f t="shared" si="8"/>
        <v>0</v>
      </c>
      <c r="AN39" s="3">
        <f t="shared" si="8"/>
        <v>0</v>
      </c>
      <c r="AO39" s="3">
        <f t="shared" si="8"/>
        <v>0</v>
      </c>
      <c r="AP39" s="3">
        <f t="shared" si="8"/>
        <v>0</v>
      </c>
      <c r="AQ39" s="3">
        <f t="shared" si="8"/>
        <v>0</v>
      </c>
      <c r="AR39" s="3">
        <f t="shared" si="8"/>
        <v>0</v>
      </c>
      <c r="AS39" s="3">
        <f t="shared" si="8"/>
        <v>0</v>
      </c>
      <c r="AT39" s="3">
        <f t="shared" si="8"/>
        <v>0</v>
      </c>
      <c r="AU39" s="3">
        <f t="shared" si="8"/>
        <v>0</v>
      </c>
    </row>
    <row r="40" spans="2:50" x14ac:dyDescent="0.25">
      <c r="B40" s="1">
        <v>5</v>
      </c>
      <c r="C40" s="3">
        <f t="shared" si="3"/>
        <v>0.31034482758620691</v>
      </c>
      <c r="D40" s="1">
        <v>1</v>
      </c>
      <c r="E40" s="3">
        <f t="shared" si="4"/>
        <v>7.6923076923076927E-2</v>
      </c>
      <c r="O40" s="104"/>
      <c r="P40" s="2">
        <v>1</v>
      </c>
      <c r="Q40" s="3">
        <f t="shared" ref="Q40:AF65" si="9">IFERROR(VLOOKUP($P40,$D$15:$E$41,2,FALSE)*VLOOKUP(Q$6,$B$15:$C$45,2,FALSE)/($P40+Q$38),0)</f>
        <v>0</v>
      </c>
      <c r="R40" s="3">
        <f t="shared" si="9"/>
        <v>2.5641025641025641E-3</v>
      </c>
      <c r="S40" s="3">
        <f t="shared" si="9"/>
        <v>3.359858532272325E-3</v>
      </c>
      <c r="T40" s="3">
        <f t="shared" si="9"/>
        <v>3.7135278514588859E-3</v>
      </c>
      <c r="U40" s="3">
        <f t="shared" si="9"/>
        <v>3.8903625110521664E-3</v>
      </c>
      <c r="V40" s="3">
        <f t="shared" si="9"/>
        <v>3.9787798408488064E-3</v>
      </c>
      <c r="W40" s="3">
        <f t="shared" si="9"/>
        <v>4.0166729821902239E-3</v>
      </c>
      <c r="X40" s="3">
        <f t="shared" si="9"/>
        <v>4.0229885057471272E-3</v>
      </c>
      <c r="Y40" s="3">
        <f t="shared" si="9"/>
        <v>4.008252284114353E-3</v>
      </c>
      <c r="Z40" s="3">
        <f t="shared" si="9"/>
        <v>3.9787798408488064E-3</v>
      </c>
      <c r="AA40" s="3">
        <f t="shared" si="9"/>
        <v>3.938590145486697E-3</v>
      </c>
      <c r="AB40" s="3">
        <f t="shared" si="9"/>
        <v>3.8903625110521668E-3</v>
      </c>
      <c r="AC40" s="3">
        <f t="shared" si="9"/>
        <v>3.8359518465619262E-3</v>
      </c>
      <c r="AD40" s="3">
        <f t="shared" si="9"/>
        <v>3.7766830870279151E-3</v>
      </c>
      <c r="AE40" s="3">
        <f t="shared" si="9"/>
        <v>3.7135278514588859E-3</v>
      </c>
      <c r="AF40" s="3">
        <f t="shared" si="9"/>
        <v>3.6472148541114059E-3</v>
      </c>
      <c r="AG40" s="3">
        <f t="shared" si="8"/>
        <v>3.578301347064025E-3</v>
      </c>
      <c r="AH40" s="3">
        <f t="shared" si="8"/>
        <v>3.5072207486000592E-3</v>
      </c>
      <c r="AI40" s="3">
        <f t="shared" si="8"/>
        <v>3.4343152310484432E-3</v>
      </c>
      <c r="AJ40" s="3">
        <f t="shared" si="8"/>
        <v>3.359858532272325E-3</v>
      </c>
      <c r="AK40" s="3">
        <f t="shared" si="8"/>
        <v>3.2840722495894909E-3</v>
      </c>
      <c r="AL40" s="3">
        <f t="shared" si="8"/>
        <v>3.2071376898963107E-3</v>
      </c>
      <c r="AM40" s="3">
        <f t="shared" si="8"/>
        <v>3.1292046284550033E-3</v>
      </c>
      <c r="AN40" s="3">
        <f t="shared" si="8"/>
        <v>3.0503978779840859E-3</v>
      </c>
      <c r="AO40" s="3">
        <f t="shared" si="8"/>
        <v>2.9708222811671093E-3</v>
      </c>
      <c r="AP40" s="3">
        <f t="shared" si="8"/>
        <v>2.8905665510440045E-3</v>
      </c>
      <c r="AQ40" s="3">
        <f t="shared" si="8"/>
        <v>2.80970625798212E-3</v>
      </c>
      <c r="AR40" s="3">
        <f t="shared" si="8"/>
        <v>2.7283061765820391E-3</v>
      </c>
      <c r="AS40" s="3">
        <f t="shared" si="8"/>
        <v>2.6464221470166777E-3</v>
      </c>
      <c r="AT40" s="3">
        <f t="shared" si="8"/>
        <v>2.5641025641025641E-3</v>
      </c>
      <c r="AU40" s="3">
        <f t="shared" si="8"/>
        <v>2.4813895781637717E-3</v>
      </c>
    </row>
    <row r="41" spans="2:50" x14ac:dyDescent="0.25">
      <c r="B41" s="1">
        <v>4</v>
      </c>
      <c r="C41" s="3">
        <f t="shared" si="3"/>
        <v>0.25287356321839083</v>
      </c>
      <c r="D41" s="1">
        <v>0</v>
      </c>
      <c r="E41" s="3">
        <f t="shared" si="4"/>
        <v>0</v>
      </c>
      <c r="O41" s="104"/>
      <c r="P41" s="2">
        <v>2</v>
      </c>
      <c r="Q41" s="3">
        <f t="shared" si="9"/>
        <v>0</v>
      </c>
      <c r="R41" s="3">
        <f t="shared" si="8"/>
        <v>3.3504273504273503E-3</v>
      </c>
      <c r="S41" s="3">
        <f t="shared" si="8"/>
        <v>4.9389920424403174E-3</v>
      </c>
      <c r="T41" s="3">
        <f t="shared" si="8"/>
        <v>5.8228116710875326E-3</v>
      </c>
      <c r="U41" s="3">
        <f t="shared" si="8"/>
        <v>6.3542587680518728E-3</v>
      </c>
      <c r="V41" s="3">
        <f t="shared" si="8"/>
        <v>6.6843501326259947E-3</v>
      </c>
      <c r="W41" s="3">
        <f t="shared" si="8"/>
        <v>6.8885941644562338E-3</v>
      </c>
      <c r="X41" s="3">
        <f t="shared" si="8"/>
        <v>7.0089399744572168E-3</v>
      </c>
      <c r="Y41" s="3">
        <f t="shared" si="8"/>
        <v>7.0705570291777183E-3</v>
      </c>
      <c r="Z41" s="3">
        <f t="shared" si="8"/>
        <v>7.0894622618760533E-3</v>
      </c>
      <c r="AA41" s="3">
        <f t="shared" si="8"/>
        <v>7.0763336280577661E-3</v>
      </c>
      <c r="AB41" s="3">
        <f t="shared" si="8"/>
        <v>7.0385635584574576E-3</v>
      </c>
      <c r="AC41" s="3">
        <f t="shared" si="8"/>
        <v>6.9814323607427049E-3</v>
      </c>
      <c r="AD41" s="3">
        <f t="shared" si="8"/>
        <v>6.9088122605363983E-3</v>
      </c>
      <c r="AE41" s="3">
        <f t="shared" si="8"/>
        <v>6.8236074270557031E-3</v>
      </c>
      <c r="AF41" s="3">
        <f t="shared" si="8"/>
        <v>6.7280386955843345E-3</v>
      </c>
      <c r="AG41" s="3">
        <f t="shared" si="8"/>
        <v>6.6238333824540719E-3</v>
      </c>
      <c r="AH41" s="3">
        <f t="shared" si="8"/>
        <v>6.5123551584531621E-3</v>
      </c>
      <c r="AI41" s="3">
        <f t="shared" si="8"/>
        <v>6.3946949602122025E-3</v>
      </c>
      <c r="AJ41" s="3">
        <f t="shared" si="8"/>
        <v>6.2717359269083405E-3</v>
      </c>
      <c r="AK41" s="3">
        <f t="shared" si="8"/>
        <v>6.1442006269592474E-3</v>
      </c>
      <c r="AL41" s="3">
        <f t="shared" si="8"/>
        <v>6.0126859647099528E-3</v>
      </c>
      <c r="AM41" s="3">
        <f t="shared" si="8"/>
        <v>5.8776893604479815E-3</v>
      </c>
      <c r="AN41" s="3">
        <f t="shared" si="8"/>
        <v>5.7396286472148547E-3</v>
      </c>
      <c r="AO41" s="3">
        <f t="shared" si="8"/>
        <v>5.5988573760457055E-3</v>
      </c>
      <c r="AP41" s="3">
        <f t="shared" si="8"/>
        <v>5.4556767200445366E-3</v>
      </c>
      <c r="AQ41" s="3">
        <f t="shared" si="8"/>
        <v>5.3103448275862069E-3</v>
      </c>
      <c r="AR41" s="3">
        <f t="shared" si="8"/>
        <v>5.1630842403731815E-3</v>
      </c>
      <c r="AS41" s="3">
        <f t="shared" si="8"/>
        <v>5.0140878278809317E-3</v>
      </c>
      <c r="AT41" s="3">
        <f t="shared" si="8"/>
        <v>4.8635235732009926E-3</v>
      </c>
      <c r="AU41" s="3">
        <f t="shared" si="8"/>
        <v>4.7115384615384615E-3</v>
      </c>
    </row>
    <row r="42" spans="2:50" x14ac:dyDescent="0.25">
      <c r="B42" s="1">
        <v>3</v>
      </c>
      <c r="C42" s="3">
        <f t="shared" si="3"/>
        <v>0.19310344827586207</v>
      </c>
      <c r="D42" s="2"/>
      <c r="E42" s="3"/>
      <c r="O42" s="104"/>
      <c r="P42" s="2">
        <v>3</v>
      </c>
      <c r="Q42" s="3">
        <f t="shared" si="9"/>
        <v>0</v>
      </c>
      <c r="R42" s="3">
        <f t="shared" si="8"/>
        <v>3.6923076923076918E-3</v>
      </c>
      <c r="S42" s="3">
        <f t="shared" si="8"/>
        <v>5.8058355437665774E-3</v>
      </c>
      <c r="T42" s="3">
        <f t="shared" si="8"/>
        <v>7.12997347480106E-3</v>
      </c>
      <c r="U42" s="3">
        <f t="shared" si="8"/>
        <v>8.0030314513073134E-3</v>
      </c>
      <c r="V42" s="3">
        <f t="shared" si="8"/>
        <v>8.5941644562334205E-3</v>
      </c>
      <c r="W42" s="3">
        <f t="shared" si="8"/>
        <v>8.9973474801061E-3</v>
      </c>
      <c r="X42" s="3">
        <f t="shared" si="8"/>
        <v>9.2689655172413787E-3</v>
      </c>
      <c r="Y42" s="3">
        <f t="shared" si="8"/>
        <v>9.4448999276585469E-3</v>
      </c>
      <c r="Z42" s="3">
        <f t="shared" si="8"/>
        <v>9.5490716180371329E-3</v>
      </c>
      <c r="AA42" s="3">
        <f t="shared" si="8"/>
        <v>9.5980412160783495E-3</v>
      </c>
      <c r="AB42" s="3">
        <f t="shared" si="8"/>
        <v>9.6036377415687751E-3</v>
      </c>
      <c r="AC42" s="3">
        <f t="shared" si="8"/>
        <v>9.574535809018566E-3</v>
      </c>
      <c r="AD42" s="3">
        <f t="shared" si="8"/>
        <v>9.5172413793103445E-3</v>
      </c>
      <c r="AE42" s="3">
        <f t="shared" si="8"/>
        <v>9.4367295990014036E-3</v>
      </c>
      <c r="AF42" s="3">
        <f t="shared" si="8"/>
        <v>9.3368700265251976E-3</v>
      </c>
      <c r="AG42" s="3">
        <f t="shared" si="8"/>
        <v>9.2207175764344538E-3</v>
      </c>
      <c r="AH42" s="3">
        <f t="shared" si="8"/>
        <v>9.090716180371352E-3</v>
      </c>
      <c r="AI42" s="3">
        <f t="shared" si="8"/>
        <v>8.9488442591890861E-3</v>
      </c>
      <c r="AJ42" s="3">
        <f t="shared" si="8"/>
        <v>8.7967205208584493E-3</v>
      </c>
      <c r="AK42" s="3">
        <f t="shared" si="8"/>
        <v>8.6356821589205386E-3</v>
      </c>
      <c r="AL42" s="3">
        <f t="shared" si="8"/>
        <v>8.4668435013262582E-3</v>
      </c>
      <c r="AM42" s="3">
        <f t="shared" si="8"/>
        <v>8.2911405835543756E-3</v>
      </c>
      <c r="AN42" s="3">
        <f t="shared" si="8"/>
        <v>8.1093654356253833E-3</v>
      </c>
      <c r="AO42" s="3">
        <f t="shared" si="8"/>
        <v>7.9221927497789574E-3</v>
      </c>
      <c r="AP42" s="3">
        <f t="shared" si="8"/>
        <v>7.7302008336491085E-3</v>
      </c>
      <c r="AQ42" s="3">
        <f t="shared" si="8"/>
        <v>7.5338882282996429E-3</v>
      </c>
      <c r="AR42" s="3">
        <f t="shared" si="8"/>
        <v>7.333687002652519E-3</v>
      </c>
      <c r="AS42" s="3">
        <f t="shared" si="8"/>
        <v>7.1299734748010608E-3</v>
      </c>
      <c r="AT42" s="3">
        <f t="shared" si="8"/>
        <v>6.9230769230769224E-3</v>
      </c>
      <c r="AU42" s="3">
        <f t="shared" si="8"/>
        <v>6.7132867132867124E-3</v>
      </c>
    </row>
    <row r="43" spans="2:50" x14ac:dyDescent="0.25">
      <c r="B43" s="1">
        <v>2</v>
      </c>
      <c r="C43" s="3">
        <f t="shared" si="3"/>
        <v>0.13103448275862067</v>
      </c>
      <c r="D43" s="2"/>
      <c r="E43" s="3"/>
      <c r="O43" s="104"/>
      <c r="P43" s="2">
        <v>4</v>
      </c>
      <c r="Q43" s="3">
        <f t="shared" si="9"/>
        <v>0</v>
      </c>
      <c r="R43" s="3">
        <f t="shared" si="8"/>
        <v>3.8564102564102565E-3</v>
      </c>
      <c r="S43" s="3">
        <f t="shared" si="8"/>
        <v>6.3165340406719714E-3</v>
      </c>
      <c r="T43" s="3">
        <f t="shared" si="8"/>
        <v>7.9787798408488073E-3</v>
      </c>
      <c r="U43" s="3">
        <f t="shared" si="8"/>
        <v>9.1423519009725916E-3</v>
      </c>
      <c r="V43" s="3">
        <f t="shared" si="8"/>
        <v>9.9734748010610087E-3</v>
      </c>
      <c r="W43" s="3">
        <f t="shared" si="8"/>
        <v>1.0571883289124669E-2</v>
      </c>
      <c r="X43" s="3">
        <f t="shared" si="8"/>
        <v>1.1001044932079415E-2</v>
      </c>
      <c r="Y43" s="3">
        <f t="shared" si="8"/>
        <v>1.1303271441202474E-2</v>
      </c>
      <c r="Z43" s="3">
        <f t="shared" si="8"/>
        <v>1.1507855539685778E-2</v>
      </c>
      <c r="AA43" s="3">
        <f t="shared" si="8"/>
        <v>1.1635720601237841E-2</v>
      </c>
      <c r="AB43" s="3">
        <f t="shared" si="8"/>
        <v>1.1702210433244915E-2</v>
      </c>
      <c r="AC43" s="3">
        <f t="shared" si="8"/>
        <v>1.1718832891246684E-2</v>
      </c>
      <c r="AD43" s="3">
        <f t="shared" si="8"/>
        <v>1.1694388100067614E-2</v>
      </c>
      <c r="AE43" s="3">
        <f t="shared" si="8"/>
        <v>1.1635720601237843E-2</v>
      </c>
      <c r="AF43" s="3">
        <f t="shared" si="8"/>
        <v>1.1548233980175904E-2</v>
      </c>
      <c r="AG43" s="3">
        <f t="shared" si="8"/>
        <v>1.1436251105216623E-2</v>
      </c>
      <c r="AH43" s="3">
        <f t="shared" si="8"/>
        <v>1.1303271441202476E-2</v>
      </c>
      <c r="AI43" s="3">
        <f t="shared" si="8"/>
        <v>1.1152158186640946E-2</v>
      </c>
      <c r="AJ43" s="3">
        <f t="shared" si="8"/>
        <v>1.0985276592472993E-2</v>
      </c>
      <c r="AK43" s="3">
        <f t="shared" si="8"/>
        <v>1.0804597701149424E-2</v>
      </c>
      <c r="AL43" s="3">
        <f t="shared" si="8"/>
        <v>1.0611777188328913E-2</v>
      </c>
      <c r="AM43" s="3">
        <f t="shared" si="8"/>
        <v>1.0408216010338025E-2</v>
      </c>
      <c r="AN43" s="3">
        <f t="shared" si="8"/>
        <v>1.019510757441792E-2</v>
      </c>
      <c r="AO43" s="3">
        <f t="shared" si="8"/>
        <v>9.9734748010610087E-3</v>
      </c>
      <c r="AP43" s="3">
        <f t="shared" si="8"/>
        <v>9.7441995182779972E-3</v>
      </c>
      <c r="AQ43" s="3">
        <f t="shared" si="8"/>
        <v>9.508045977011494E-3</v>
      </c>
      <c r="AR43" s="3">
        <f t="shared" si="8"/>
        <v>9.2656798151792598E-3</v>
      </c>
      <c r="AS43" s="3">
        <f t="shared" si="8"/>
        <v>9.0176834659593287E-3</v>
      </c>
      <c r="AT43" s="3">
        <f t="shared" si="8"/>
        <v>8.7645687645687646E-3</v>
      </c>
      <c r="AU43" s="3">
        <f t="shared" si="8"/>
        <v>8.5067873303167427E-3</v>
      </c>
    </row>
    <row r="44" spans="2:50" x14ac:dyDescent="0.25">
      <c r="B44" s="1">
        <v>1</v>
      </c>
      <c r="C44" s="3">
        <f t="shared" si="3"/>
        <v>6.6666666666666666E-2</v>
      </c>
      <c r="E44" s="3"/>
      <c r="O44" s="104"/>
      <c r="P44" s="2">
        <v>5</v>
      </c>
      <c r="Q44" s="3">
        <f t="shared" si="9"/>
        <v>0</v>
      </c>
      <c r="R44" s="3">
        <f t="shared" si="8"/>
        <v>3.9316239316239321E-3</v>
      </c>
      <c r="S44" s="3">
        <f t="shared" si="8"/>
        <v>6.6237211064797269E-3</v>
      </c>
      <c r="T44" s="3">
        <f t="shared" si="8"/>
        <v>8.5411140583554375E-3</v>
      </c>
      <c r="U44" s="3">
        <f t="shared" si="8"/>
        <v>9.9420375282444264E-3</v>
      </c>
      <c r="V44" s="3">
        <f t="shared" si="8"/>
        <v>1.0981432360742706E-2</v>
      </c>
      <c r="W44" s="3">
        <f t="shared" si="8"/>
        <v>1.1757897275138656E-2</v>
      </c>
      <c r="X44" s="3">
        <f t="shared" si="8"/>
        <v>1.2337164750957856E-2</v>
      </c>
      <c r="Y44" s="3">
        <f t="shared" si="8"/>
        <v>1.2764741889410323E-2</v>
      </c>
      <c r="Z44" s="3">
        <f t="shared" si="8"/>
        <v>1.3073133762788933E-2</v>
      </c>
      <c r="AA44" s="3">
        <f t="shared" si="8"/>
        <v>1.3286177424108458E-2</v>
      </c>
      <c r="AB44" s="3">
        <f t="shared" si="8"/>
        <v>1.3421750663129974E-2</v>
      </c>
      <c r="AC44" s="3">
        <f t="shared" si="8"/>
        <v>1.3493524730847245E-2</v>
      </c>
      <c r="AD44" s="3">
        <f t="shared" si="8"/>
        <v>1.3512132822477652E-2</v>
      </c>
      <c r="AE44" s="3">
        <f t="shared" si="8"/>
        <v>1.3485969565824377E-2</v>
      </c>
      <c r="AF44" s="3">
        <f t="shared" si="8"/>
        <v>1.3421750663129974E-2</v>
      </c>
      <c r="AG44" s="3">
        <f t="shared" si="8"/>
        <v>1.3324912635257464E-2</v>
      </c>
      <c r="AH44" s="3">
        <f t="shared" si="8"/>
        <v>1.3199903544731132E-2</v>
      </c>
      <c r="AI44" s="3">
        <f t="shared" si="8"/>
        <v>1.3050397877984085E-2</v>
      </c>
      <c r="AJ44" s="3">
        <f t="shared" si="8"/>
        <v>1.2879457707043913E-2</v>
      </c>
      <c r="AK44" s="3">
        <f t="shared" si="8"/>
        <v>1.2689655172413794E-2</v>
      </c>
      <c r="AL44" s="3">
        <f t="shared" si="8"/>
        <v>1.2483166700673332E-2</v>
      </c>
      <c r="AM44" s="3">
        <f t="shared" si="8"/>
        <v>1.2261846284834789E-2</v>
      </c>
      <c r="AN44" s="3">
        <f t="shared" si="8"/>
        <v>1.2027283061765823E-2</v>
      </c>
      <c r="AO44" s="3">
        <f t="shared" si="8"/>
        <v>1.1780846977041983E-2</v>
      </c>
      <c r="AP44" s="3">
        <f t="shared" si="8"/>
        <v>1.1523725316828767E-2</v>
      </c>
      <c r="AQ44" s="3">
        <f t="shared" si="8"/>
        <v>1.1256952169076751E-2</v>
      </c>
      <c r="AR44" s="3">
        <f t="shared" si="8"/>
        <v>1.0981432360742706E-2</v>
      </c>
      <c r="AS44" s="3">
        <f t="shared" si="8"/>
        <v>1.0697961042788631E-2</v>
      </c>
      <c r="AT44" s="3">
        <f t="shared" si="8"/>
        <v>1.0407239819004526E-2</v>
      </c>
      <c r="AU44" s="3">
        <f t="shared" si="8"/>
        <v>1.0109890109890111E-2</v>
      </c>
    </row>
    <row r="45" spans="2:50" x14ac:dyDescent="0.25">
      <c r="B45" s="1">
        <v>0</v>
      </c>
      <c r="C45" s="3">
        <f t="shared" si="3"/>
        <v>0</v>
      </c>
      <c r="E45" s="3"/>
      <c r="O45" s="104"/>
      <c r="P45" s="2">
        <v>6</v>
      </c>
      <c r="Q45" s="3">
        <f t="shared" si="9"/>
        <v>0</v>
      </c>
      <c r="R45" s="3">
        <f t="shared" si="8"/>
        <v>3.956043956043956E-3</v>
      </c>
      <c r="S45" s="3">
        <f t="shared" si="8"/>
        <v>6.8037135278514582E-3</v>
      </c>
      <c r="T45" s="3">
        <f t="shared" si="8"/>
        <v>8.9124668435013252E-3</v>
      </c>
      <c r="U45" s="3">
        <f t="shared" si="8"/>
        <v>1.0503978779840851E-2</v>
      </c>
      <c r="V45" s="3">
        <f t="shared" si="8"/>
        <v>1.1719315167591031E-2</v>
      </c>
      <c r="W45" s="3">
        <f t="shared" si="8"/>
        <v>1.2652519893899206E-2</v>
      </c>
      <c r="X45" s="3">
        <f t="shared" si="8"/>
        <v>1.3368700265251991E-2</v>
      </c>
      <c r="Y45" s="3">
        <f t="shared" si="8"/>
        <v>1.3914361500568396E-2</v>
      </c>
      <c r="Z45" s="3">
        <f t="shared" si="8"/>
        <v>1.4323607427055702E-2</v>
      </c>
      <c r="AA45" s="3">
        <f t="shared" si="8"/>
        <v>1.4622015915119364E-2</v>
      </c>
      <c r="AB45" s="3">
        <f t="shared" si="8"/>
        <v>1.4829146512716492E-2</v>
      </c>
      <c r="AC45" s="3">
        <f t="shared" si="8"/>
        <v>1.4960212201591513E-2</v>
      </c>
      <c r="AD45" s="3">
        <f t="shared" si="8"/>
        <v>1.5027223230490017E-2</v>
      </c>
      <c r="AE45" s="3">
        <f t="shared" si="8"/>
        <v>1.5039787798408488E-2</v>
      </c>
      <c r="AF45" s="3">
        <f t="shared" si="8"/>
        <v>1.5005683971201212E-2</v>
      </c>
      <c r="AG45" s="3">
        <f t="shared" si="8"/>
        <v>1.4931275620930794E-2</v>
      </c>
      <c r="AH45" s="3">
        <f t="shared" si="8"/>
        <v>1.482181985930112E-2</v>
      </c>
      <c r="AI45" s="3">
        <f t="shared" si="8"/>
        <v>1.4681697612732096E-2</v>
      </c>
      <c r="AJ45" s="3">
        <f t="shared" si="8"/>
        <v>1.4514588859416446E-2</v>
      </c>
      <c r="AK45" s="3">
        <f t="shared" si="8"/>
        <v>1.4323607427055704E-2</v>
      </c>
      <c r="AL45" s="3">
        <f t="shared" si="8"/>
        <v>1.4111405835543767E-2</v>
      </c>
      <c r="AM45" s="3">
        <f t="shared" si="8"/>
        <v>1.3880257673361122E-2</v>
      </c>
      <c r="AN45" s="3">
        <f t="shared" si="8"/>
        <v>1.3632122930577155E-2</v>
      </c>
      <c r="AO45" s="3">
        <f t="shared" si="8"/>
        <v>1.3368700265251991E-2</v>
      </c>
      <c r="AP45" s="3">
        <f t="shared" si="8"/>
        <v>1.3091469153760589E-2</v>
      </c>
      <c r="AQ45" s="3">
        <f t="shared" si="8"/>
        <v>1.2801724137931035E-2</v>
      </c>
      <c r="AR45" s="3">
        <f t="shared" si="8"/>
        <v>1.2500602845430432E-2</v>
      </c>
      <c r="AS45" s="3">
        <f t="shared" si="8"/>
        <v>1.2189109065376815E-2</v>
      </c>
      <c r="AT45" s="3">
        <f t="shared" si="8"/>
        <v>1.1868131868131869E-2</v>
      </c>
      <c r="AU45" s="3">
        <f t="shared" si="8"/>
        <v>1.1538461538461539E-2</v>
      </c>
    </row>
    <row r="46" spans="2:50" x14ac:dyDescent="0.25">
      <c r="O46" s="104"/>
      <c r="P46" s="2">
        <v>7</v>
      </c>
      <c r="Q46" s="3">
        <f t="shared" si="9"/>
        <v>0</v>
      </c>
      <c r="R46" s="3">
        <f t="shared" si="8"/>
        <v>3.948717948717948E-3</v>
      </c>
      <c r="S46" s="3">
        <f t="shared" si="8"/>
        <v>6.8989095195991735E-3</v>
      </c>
      <c r="T46" s="3">
        <f t="shared" si="8"/>
        <v>9.1501326259946954E-3</v>
      </c>
      <c r="U46" s="3">
        <f t="shared" si="8"/>
        <v>1.0893015030946066E-2</v>
      </c>
      <c r="V46" s="3">
        <f t="shared" si="8"/>
        <v>1.2254641909814323E-2</v>
      </c>
      <c r="W46" s="3">
        <f t="shared" si="8"/>
        <v>1.3322995307080187E-2</v>
      </c>
      <c r="X46" s="3">
        <f t="shared" si="8"/>
        <v>1.4160919540229884E-2</v>
      </c>
      <c r="Y46" s="3">
        <f t="shared" si="8"/>
        <v>1.4814500442086646E-2</v>
      </c>
      <c r="Z46" s="3">
        <f t="shared" si="8"/>
        <v>1.5318302387267901E-2</v>
      </c>
      <c r="AA46" s="3">
        <f t="shared" si="8"/>
        <v>1.5698756956363445E-2</v>
      </c>
      <c r="AB46" s="3">
        <f t="shared" si="8"/>
        <v>1.5976422045387559E-2</v>
      </c>
      <c r="AC46" s="3">
        <f t="shared" si="8"/>
        <v>1.6167527572246262E-2</v>
      </c>
      <c r="AD46" s="3">
        <f t="shared" si="8"/>
        <v>1.6285057471264366E-2</v>
      </c>
      <c r="AE46" s="3">
        <f t="shared" si="8"/>
        <v>1.6339522546419096E-2</v>
      </c>
      <c r="AF46" s="3">
        <f t="shared" si="8"/>
        <v>1.6339522546419096E-2</v>
      </c>
      <c r="AG46" s="3">
        <f t="shared" si="8"/>
        <v>1.6292161611501939E-2</v>
      </c>
      <c r="AH46" s="3">
        <f t="shared" si="8"/>
        <v>1.620335985853227E-2</v>
      </c>
      <c r="AI46" s="3">
        <f t="shared" si="8"/>
        <v>1.6078090185676394E-2</v>
      </c>
      <c r="AJ46" s="3">
        <f t="shared" si="8"/>
        <v>1.5920560429844247E-2</v>
      </c>
      <c r="AK46" s="3">
        <f t="shared" si="8"/>
        <v>1.5734355044699871E-2</v>
      </c>
      <c r="AL46" s="3">
        <f t="shared" si="8"/>
        <v>1.5522546419098142E-2</v>
      </c>
      <c r="AM46" s="3">
        <f t="shared" si="8"/>
        <v>1.5287783164120857E-2</v>
      </c>
      <c r="AN46" s="3">
        <f t="shared" si="8"/>
        <v>1.503236074270557E-2</v>
      </c>
      <c r="AO46" s="3">
        <f t="shared" si="8"/>
        <v>1.4758278429023702E-2</v>
      </c>
      <c r="AP46" s="3">
        <f t="shared" si="8"/>
        <v>1.4467285587975243E-2</v>
      </c>
      <c r="AQ46" s="3">
        <f t="shared" si="8"/>
        <v>1.4160919540229883E-2</v>
      </c>
      <c r="AR46" s="3">
        <f t="shared" si="8"/>
        <v>1.3840536745202059E-2</v>
      </c>
      <c r="AS46" s="3">
        <f t="shared" si="8"/>
        <v>1.3507338638373121E-2</v>
      </c>
      <c r="AT46" s="3">
        <f t="shared" si="8"/>
        <v>1.3162393162393161E-2</v>
      </c>
      <c r="AU46" s="3">
        <f t="shared" si="8"/>
        <v>1.2806652806652805E-2</v>
      </c>
    </row>
    <row r="47" spans="2:50" x14ac:dyDescent="0.25">
      <c r="C47" s="3"/>
      <c r="E47" s="3"/>
      <c r="O47" s="104"/>
      <c r="P47" s="2">
        <v>8</v>
      </c>
      <c r="Q47" s="3">
        <f t="shared" si="9"/>
        <v>0</v>
      </c>
      <c r="R47" s="3">
        <f t="shared" si="8"/>
        <v>3.9202279202279209E-3</v>
      </c>
      <c r="S47" s="3">
        <f t="shared" si="8"/>
        <v>6.9347480106100798E-3</v>
      </c>
      <c r="T47" s="3">
        <f t="shared" si="8"/>
        <v>9.2905714974680503E-3</v>
      </c>
      <c r="U47" s="3">
        <f t="shared" si="8"/>
        <v>1.1152372531682879E-2</v>
      </c>
      <c r="V47" s="3">
        <f t="shared" si="8"/>
        <v>1.263415629463375E-2</v>
      </c>
      <c r="W47" s="3">
        <f t="shared" si="8"/>
        <v>1.381735505873437E-2</v>
      </c>
      <c r="X47" s="3">
        <f t="shared" si="8"/>
        <v>1.476168582375479E-2</v>
      </c>
      <c r="Y47" s="3">
        <f t="shared" si="8"/>
        <v>1.5511936339522546E-2</v>
      </c>
      <c r="Z47" s="3">
        <f t="shared" si="8"/>
        <v>1.6102356061788111E-2</v>
      </c>
      <c r="AA47" s="3">
        <f t="shared" si="8"/>
        <v>1.6559583456135181E-2</v>
      </c>
      <c r="AB47" s="3">
        <f t="shared" si="8"/>
        <v>1.6904648890129836E-2</v>
      </c>
      <c r="AC47" s="3">
        <f t="shared" si="8"/>
        <v>1.7154376657824936E-2</v>
      </c>
      <c r="AD47" s="3">
        <f t="shared" si="8"/>
        <v>1.7322386425834703E-2</v>
      </c>
      <c r="AE47" s="3">
        <f t="shared" si="8"/>
        <v>1.7419821557752593E-2</v>
      </c>
      <c r="AF47" s="3">
        <f t="shared" si="8"/>
        <v>1.7455887440894938E-2</v>
      </c>
      <c r="AG47" s="3">
        <f t="shared" si="8"/>
        <v>1.7438255231358682E-2</v>
      </c>
      <c r="AH47" s="3">
        <f t="shared" si="8"/>
        <v>1.7373368700265252E-2</v>
      </c>
      <c r="AI47" s="3">
        <f t="shared" si="8"/>
        <v>1.7266680269332792E-2</v>
      </c>
      <c r="AJ47" s="3">
        <f t="shared" si="8"/>
        <v>1.7122834594098961E-2</v>
      </c>
      <c r="AK47" s="3">
        <f t="shared" si="8"/>
        <v>1.6945812807881776E-2</v>
      </c>
      <c r="AL47" s="3">
        <f t="shared" si="8"/>
        <v>1.673904692216226E-2</v>
      </c>
      <c r="AM47" s="3">
        <f t="shared" si="8"/>
        <v>1.6505511346890659E-2</v>
      </c>
      <c r="AN47" s="3">
        <f t="shared" si="8"/>
        <v>1.6247796697184909E-2</v>
      </c>
      <c r="AO47" s="3">
        <f t="shared" si="8"/>
        <v>1.5968169761273212E-2</v>
      </c>
      <c r="AP47" s="3">
        <f t="shared" si="8"/>
        <v>1.5668622565174289E-2</v>
      </c>
      <c r="AQ47" s="3">
        <f t="shared" si="8"/>
        <v>1.5350912778904668E-2</v>
      </c>
      <c r="AR47" s="3">
        <f t="shared" si="8"/>
        <v>1.5016597195907542E-2</v>
      </c>
      <c r="AS47" s="3">
        <f t="shared" si="8"/>
        <v>1.4667059632576878E-2</v>
      </c>
      <c r="AT47" s="3">
        <f t="shared" si="8"/>
        <v>1.4303534303534305E-2</v>
      </c>
      <c r="AU47" s="3">
        <f t="shared" si="8"/>
        <v>1.3927125506072877E-2</v>
      </c>
    </row>
    <row r="48" spans="2:50" x14ac:dyDescent="0.25">
      <c r="C48" s="3"/>
      <c r="E48" s="3"/>
      <c r="O48" s="104"/>
      <c r="P48" s="2">
        <v>9</v>
      </c>
      <c r="Q48" s="3">
        <f t="shared" si="9"/>
        <v>0</v>
      </c>
      <c r="R48" s="3">
        <f t="shared" ref="R48:AU56" si="10">IFERROR(VLOOKUP($P48,$D$15:$E$41,2,FALSE)*VLOOKUP(R$6,$B$15:$C$45,2,FALSE)/($P48+R$38),0)</f>
        <v>3.8769230769230773E-3</v>
      </c>
      <c r="S48" s="3">
        <f t="shared" si="10"/>
        <v>6.9274174101760311E-3</v>
      </c>
      <c r="T48" s="3">
        <f t="shared" si="10"/>
        <v>9.3580901856763921E-3</v>
      </c>
      <c r="U48" s="3">
        <f t="shared" si="10"/>
        <v>1.1311977147520915E-2</v>
      </c>
      <c r="V48" s="3">
        <f t="shared" si="10"/>
        <v>1.2891246684350132E-2</v>
      </c>
      <c r="W48" s="3">
        <f t="shared" si="10"/>
        <v>1.417082228116711E-2</v>
      </c>
      <c r="X48" s="3">
        <f t="shared" si="10"/>
        <v>1.520689655172414E-2</v>
      </c>
      <c r="Y48" s="3">
        <f t="shared" si="10"/>
        <v>1.6042440318302386E-2</v>
      </c>
      <c r="Z48" s="3">
        <f t="shared" si="10"/>
        <v>1.6710875331564984E-2</v>
      </c>
      <c r="AA48" s="3">
        <f t="shared" si="10"/>
        <v>1.7238587184140723E-2</v>
      </c>
      <c r="AB48" s="3">
        <f t="shared" si="10"/>
        <v>1.7646684350132627E-2</v>
      </c>
      <c r="AC48" s="3">
        <f t="shared" si="10"/>
        <v>1.7952254641909814E-2</v>
      </c>
      <c r="AD48" s="3">
        <f t="shared" si="10"/>
        <v>1.8169278996865205E-2</v>
      </c>
      <c r="AE48" s="3">
        <f t="shared" si="10"/>
        <v>1.8309306885019031E-2</v>
      </c>
      <c r="AF48" s="3">
        <f t="shared" si="10"/>
        <v>1.8381962864721487E-2</v>
      </c>
      <c r="AG48" s="3">
        <f t="shared" si="10"/>
        <v>1.8395331564986739E-2</v>
      </c>
      <c r="AH48" s="3">
        <f t="shared" si="10"/>
        <v>1.8356253825749846E-2</v>
      </c>
      <c r="AI48" s="3">
        <f t="shared" si="10"/>
        <v>1.8270557029177719E-2</v>
      </c>
      <c r="AJ48" s="3">
        <f t="shared" si="10"/>
        <v>1.8143236074270559E-2</v>
      </c>
      <c r="AK48" s="3">
        <f t="shared" si="10"/>
        <v>1.7978596908442331E-2</v>
      </c>
      <c r="AL48" s="3">
        <f t="shared" si="10"/>
        <v>1.7780371352785145E-2</v>
      </c>
      <c r="AM48" s="3">
        <f t="shared" si="10"/>
        <v>1.7551809703088901E-2</v>
      </c>
      <c r="AN48" s="3">
        <f t="shared" si="10"/>
        <v>1.7295755968169763E-2</v>
      </c>
      <c r="AO48" s="3">
        <f t="shared" si="10"/>
        <v>1.7014709428502531E-2</v>
      </c>
      <c r="AP48" s="3">
        <f t="shared" si="10"/>
        <v>1.6710875331564987E-2</v>
      </c>
      <c r="AQ48" s="3">
        <f t="shared" si="10"/>
        <v>1.6386206896551726E-2</v>
      </c>
      <c r="AR48" s="3">
        <f t="shared" si="10"/>
        <v>1.6042440318302389E-2</v>
      </c>
      <c r="AS48" s="3">
        <f t="shared" si="10"/>
        <v>1.56811240949172E-2</v>
      </c>
      <c r="AT48" s="3">
        <f t="shared" si="10"/>
        <v>1.5303643724696357E-2</v>
      </c>
      <c r="AU48" s="3">
        <f t="shared" si="10"/>
        <v>1.4911242603550296E-2</v>
      </c>
    </row>
    <row r="49" spans="3:47" x14ac:dyDescent="0.25">
      <c r="C49" s="3"/>
      <c r="E49" s="3"/>
      <c r="O49" s="104"/>
      <c r="P49" s="2">
        <v>10</v>
      </c>
      <c r="Q49" s="3">
        <f t="shared" si="9"/>
        <v>0</v>
      </c>
      <c r="R49" s="3">
        <f t="shared" si="10"/>
        <v>3.8228438228438228E-3</v>
      </c>
      <c r="S49" s="3">
        <f t="shared" si="10"/>
        <v>6.8877099911582662E-3</v>
      </c>
      <c r="T49" s="3">
        <f t="shared" si="10"/>
        <v>9.369516425219342E-3</v>
      </c>
      <c r="U49" s="3">
        <f t="shared" si="10"/>
        <v>1.1393204496652773E-2</v>
      </c>
      <c r="V49" s="3">
        <f t="shared" si="10"/>
        <v>1.3050397877984085E-2</v>
      </c>
      <c r="W49" s="3">
        <f t="shared" si="10"/>
        <v>1.4409814323607427E-2</v>
      </c>
      <c r="X49" s="3">
        <f t="shared" si="10"/>
        <v>1.5524002704530089E-2</v>
      </c>
      <c r="Y49" s="3">
        <f t="shared" si="10"/>
        <v>1.6433834364868845E-2</v>
      </c>
      <c r="Z49" s="3">
        <f t="shared" si="10"/>
        <v>1.7171576155242216E-2</v>
      </c>
      <c r="AA49" s="3">
        <f t="shared" si="10"/>
        <v>1.7763041556145005E-2</v>
      </c>
      <c r="AB49" s="3">
        <f t="shared" si="10"/>
        <v>1.8229127194644434E-2</v>
      </c>
      <c r="AC49" s="3">
        <f t="shared" si="10"/>
        <v>1.8586930311068242E-2</v>
      </c>
      <c r="AD49" s="3">
        <f t="shared" si="10"/>
        <v>1.8850574712643679E-2</v>
      </c>
      <c r="AE49" s="3">
        <f t="shared" si="10"/>
        <v>1.9031830238726791E-2</v>
      </c>
      <c r="AF49" s="3">
        <f t="shared" si="10"/>
        <v>1.9140583554376655E-2</v>
      </c>
      <c r="AG49" s="3">
        <f t="shared" si="10"/>
        <v>1.9185200299258656E-2</v>
      </c>
      <c r="AH49" s="3">
        <f t="shared" si="10"/>
        <v>1.9172806759013655E-2</v>
      </c>
      <c r="AI49" s="3">
        <f t="shared" si="10"/>
        <v>1.9109511178476698E-2</v>
      </c>
      <c r="AJ49" s="3">
        <f t="shared" si="10"/>
        <v>1.9000579285953841E-2</v>
      </c>
      <c r="AK49" s="3">
        <f t="shared" si="10"/>
        <v>1.8850574712643679E-2</v>
      </c>
      <c r="AL49" s="3">
        <f t="shared" si="10"/>
        <v>1.8663472234106269E-2</v>
      </c>
      <c r="AM49" s="3">
        <f t="shared" si="10"/>
        <v>1.8442749778956675E-2</v>
      </c>
      <c r="AN49" s="3">
        <f t="shared" si="10"/>
        <v>1.8191463708705089E-2</v>
      </c>
      <c r="AO49" s="3">
        <f t="shared" si="10"/>
        <v>1.7912310812919333E-2</v>
      </c>
      <c r="AP49" s="3">
        <f t="shared" si="10"/>
        <v>1.7607679676645196E-2</v>
      </c>
      <c r="AQ49" s="3">
        <f t="shared" si="10"/>
        <v>1.7279693486590038E-2</v>
      </c>
      <c r="AR49" s="3">
        <f t="shared" si="10"/>
        <v>1.6930245895763137E-2</v>
      </c>
      <c r="AS49" s="3">
        <f t="shared" si="10"/>
        <v>1.656103122527805E-2</v>
      </c>
      <c r="AT49" s="3">
        <f t="shared" si="10"/>
        <v>1.6173570019723867E-2</v>
      </c>
      <c r="AU49" s="3">
        <f t="shared" si="10"/>
        <v>1.5769230769230768E-2</v>
      </c>
    </row>
    <row r="50" spans="3:47" x14ac:dyDescent="0.25">
      <c r="C50" s="3"/>
      <c r="E50" s="3"/>
      <c r="O50" s="104"/>
      <c r="P50" s="2">
        <v>11</v>
      </c>
      <c r="Q50" s="3">
        <f t="shared" si="9"/>
        <v>0</v>
      </c>
      <c r="R50" s="3">
        <f t="shared" si="10"/>
        <v>3.7606837606837611E-3</v>
      </c>
      <c r="S50" s="3">
        <f t="shared" si="10"/>
        <v>6.8230973270761068E-3</v>
      </c>
      <c r="T50" s="3">
        <f t="shared" si="10"/>
        <v>9.3368700265251993E-3</v>
      </c>
      <c r="U50" s="3">
        <f t="shared" si="10"/>
        <v>1.1411730032419689E-2</v>
      </c>
      <c r="V50" s="3">
        <f t="shared" si="10"/>
        <v>1.3129973474801063E-2</v>
      </c>
      <c r="W50" s="3">
        <f t="shared" si="10"/>
        <v>1.4554532688406929E-2</v>
      </c>
      <c r="X50" s="3">
        <f t="shared" si="10"/>
        <v>1.5734355044699874E-2</v>
      </c>
      <c r="Y50" s="3">
        <f t="shared" si="10"/>
        <v>1.670808320536088E-2</v>
      </c>
      <c r="Z50" s="3">
        <f t="shared" si="10"/>
        <v>1.7506631299734746E-2</v>
      </c>
      <c r="AA50" s="3">
        <f t="shared" si="10"/>
        <v>1.8155025051576776E-2</v>
      </c>
      <c r="AB50" s="3">
        <f t="shared" si="10"/>
        <v>1.8673740053050399E-2</v>
      </c>
      <c r="AC50" s="3">
        <f t="shared" si="10"/>
        <v>1.9079690923768884E-2</v>
      </c>
      <c r="AD50" s="3">
        <f t="shared" si="10"/>
        <v>1.9386973180076629E-2</v>
      </c>
      <c r="AE50" s="3">
        <f t="shared" si="10"/>
        <v>1.9607427055702918E-2</v>
      </c>
      <c r="AF50" s="3">
        <f t="shared" si="10"/>
        <v>1.9751071209957151E-2</v>
      </c>
      <c r="AG50" s="3">
        <f t="shared" si="10"/>
        <v>1.9826440056325115E-2</v>
      </c>
      <c r="AH50" s="3">
        <f t="shared" si="10"/>
        <v>1.9840848806366048E-2</v>
      </c>
      <c r="AI50" s="3">
        <f t="shared" si="10"/>
        <v>1.9800603676941371E-2</v>
      </c>
      <c r="AJ50" s="3">
        <f t="shared" si="10"/>
        <v>1.9711170055997641E-2</v>
      </c>
      <c r="AK50" s="3">
        <f t="shared" si="10"/>
        <v>1.9577308120133481E-2</v>
      </c>
      <c r="AL50" s="3">
        <f t="shared" si="10"/>
        <v>1.9403183023872679E-2</v>
      </c>
      <c r="AM50" s="3">
        <f t="shared" si="10"/>
        <v>1.9192455054524018E-2</v>
      </c>
      <c r="AN50" s="3">
        <f t="shared" si="10"/>
        <v>1.8948353877359964E-2</v>
      </c>
      <c r="AO50" s="3">
        <f t="shared" si="10"/>
        <v>1.8673740053050399E-2</v>
      </c>
      <c r="AP50" s="3">
        <f t="shared" si="10"/>
        <v>1.8371156302190786E-2</v>
      </c>
      <c r="AQ50" s="3">
        <f t="shared" si="10"/>
        <v>1.8042870456663564E-2</v>
      </c>
      <c r="AR50" s="3">
        <f t="shared" si="10"/>
        <v>1.7690911629205639E-2</v>
      </c>
      <c r="AS50" s="3">
        <f t="shared" si="10"/>
        <v>1.7317100818427082E-2</v>
      </c>
      <c r="AT50" s="3">
        <f t="shared" si="10"/>
        <v>1.6923076923076923E-2</v>
      </c>
      <c r="AU50" s="3">
        <f t="shared" si="10"/>
        <v>1.651031894934334E-2</v>
      </c>
    </row>
    <row r="51" spans="3:47" x14ac:dyDescent="0.25">
      <c r="C51" s="3"/>
      <c r="E51" s="3"/>
      <c r="O51" s="104"/>
      <c r="P51" s="2">
        <v>12</v>
      </c>
      <c r="Q51" s="3">
        <f t="shared" si="9"/>
        <v>0</v>
      </c>
      <c r="R51" s="3">
        <f t="shared" si="10"/>
        <v>3.6923076923076922E-3</v>
      </c>
      <c r="S51" s="3">
        <f t="shared" si="10"/>
        <v>6.7389162561576343E-3</v>
      </c>
      <c r="T51" s="3">
        <f t="shared" si="10"/>
        <v>9.2689655172413787E-3</v>
      </c>
      <c r="U51" s="3">
        <f t="shared" si="10"/>
        <v>1.1379310344827587E-2</v>
      </c>
      <c r="V51" s="3">
        <f t="shared" si="10"/>
        <v>1.3144016227180528E-2</v>
      </c>
      <c r="W51" s="3">
        <f t="shared" si="10"/>
        <v>1.4620689655172416E-2</v>
      </c>
      <c r="X51" s="3">
        <f t="shared" si="10"/>
        <v>1.5854809437386569E-2</v>
      </c>
      <c r="Y51" s="3">
        <f t="shared" si="10"/>
        <v>1.6882758620689654E-2</v>
      </c>
      <c r="Z51" s="3">
        <f t="shared" si="10"/>
        <v>1.7733990147783246E-2</v>
      </c>
      <c r="AA51" s="3">
        <f t="shared" si="10"/>
        <v>1.8432601880877742E-2</v>
      </c>
      <c r="AB51" s="3">
        <f t="shared" si="10"/>
        <v>1.8998500749625186E-2</v>
      </c>
      <c r="AC51" s="3">
        <f t="shared" si="10"/>
        <v>1.9448275862068962E-2</v>
      </c>
      <c r="AD51" s="3">
        <f t="shared" si="10"/>
        <v>1.9795862068965518E-2</v>
      </c>
      <c r="AE51" s="3">
        <f t="shared" si="10"/>
        <v>2.0053050397877983E-2</v>
      </c>
      <c r="AF51" s="3">
        <f t="shared" si="10"/>
        <v>2.022988505747126E-2</v>
      </c>
      <c r="AG51" s="3">
        <f t="shared" si="10"/>
        <v>2.0334975369458129E-2</v>
      </c>
      <c r="AH51" s="3">
        <f t="shared" si="10"/>
        <v>2.0375743162901309E-2</v>
      </c>
      <c r="AI51" s="3">
        <f t="shared" si="10"/>
        <v>2.0358620689655171E-2</v>
      </c>
      <c r="AJ51" s="3">
        <f t="shared" si="10"/>
        <v>2.028921023359288E-2</v>
      </c>
      <c r="AK51" s="3">
        <f t="shared" si="10"/>
        <v>2.0172413793103448E-2</v>
      </c>
      <c r="AL51" s="3">
        <f t="shared" si="10"/>
        <v>2.0012539184952976E-2</v>
      </c>
      <c r="AM51" s="3">
        <f t="shared" si="10"/>
        <v>1.981338742393509E-2</v>
      </c>
      <c r="AN51" s="3">
        <f t="shared" si="10"/>
        <v>1.9578325123152711E-2</v>
      </c>
      <c r="AO51" s="3">
        <f t="shared" si="10"/>
        <v>1.9310344827586208E-2</v>
      </c>
      <c r="AP51" s="3">
        <f t="shared" si="10"/>
        <v>1.90121155638397E-2</v>
      </c>
      <c r="AQ51" s="3">
        <f t="shared" si="10"/>
        <v>1.8686025408348454E-2</v>
      </c>
      <c r="AR51" s="3">
        <f t="shared" si="10"/>
        <v>1.8334217506631299E-2</v>
      </c>
      <c r="AS51" s="3">
        <f t="shared" si="10"/>
        <v>1.7958620689655171E-2</v>
      </c>
      <c r="AT51" s="3">
        <f t="shared" si="10"/>
        <v>1.7560975609756096E-2</v>
      </c>
      <c r="AU51" s="3">
        <f t="shared" si="10"/>
        <v>1.7142857142857144E-2</v>
      </c>
    </row>
    <row r="52" spans="3:47" x14ac:dyDescent="0.25">
      <c r="C52" s="3"/>
      <c r="E52" s="3"/>
      <c r="O52" s="104"/>
      <c r="P52" s="2">
        <v>13</v>
      </c>
      <c r="Q52" s="3">
        <f t="shared" si="9"/>
        <v>0</v>
      </c>
      <c r="R52" s="3">
        <f t="shared" si="10"/>
        <v>3.619047619047619E-3</v>
      </c>
      <c r="S52" s="3">
        <f t="shared" si="10"/>
        <v>6.6390804597701147E-3</v>
      </c>
      <c r="T52" s="3">
        <f t="shared" si="10"/>
        <v>9.1724137931034483E-3</v>
      </c>
      <c r="U52" s="3">
        <f t="shared" si="10"/>
        <v>1.1304935767410415E-2</v>
      </c>
      <c r="V52" s="3">
        <f t="shared" si="10"/>
        <v>1.3103448275862069E-2</v>
      </c>
      <c r="W52" s="3">
        <f t="shared" si="10"/>
        <v>1.4620689655172414E-2</v>
      </c>
      <c r="X52" s="3">
        <f t="shared" si="10"/>
        <v>1.5898850574712645E-2</v>
      </c>
      <c r="Y52" s="3">
        <f t="shared" si="10"/>
        <v>1.6972085385878487E-2</v>
      </c>
      <c r="Z52" s="3">
        <f t="shared" si="10"/>
        <v>1.7868338557993729E-2</v>
      </c>
      <c r="AA52" s="3">
        <f t="shared" si="10"/>
        <v>1.8610694652673662E-2</v>
      </c>
      <c r="AB52" s="3">
        <f t="shared" si="10"/>
        <v>1.9218390804597699E-2</v>
      </c>
      <c r="AC52" s="3">
        <f t="shared" si="10"/>
        <v>1.9707586206896551E-2</v>
      </c>
      <c r="AD52" s="3">
        <f t="shared" si="10"/>
        <v>2.0091954022988506E-2</v>
      </c>
      <c r="AE52" s="3">
        <f t="shared" si="10"/>
        <v>2.0383141762452109E-2</v>
      </c>
      <c r="AF52" s="3">
        <f t="shared" si="10"/>
        <v>2.0591133004926106E-2</v>
      </c>
      <c r="AG52" s="3">
        <f t="shared" si="10"/>
        <v>2.0724534284581847E-2</v>
      </c>
      <c r="AH52" s="3">
        <f t="shared" si="10"/>
        <v>2.0790804597701149E-2</v>
      </c>
      <c r="AI52" s="3">
        <f t="shared" si="10"/>
        <v>2.0796440489432706E-2</v>
      </c>
      <c r="AJ52" s="3">
        <f t="shared" si="10"/>
        <v>2.0747126436781609E-2</v>
      </c>
      <c r="AK52" s="3">
        <f t="shared" si="10"/>
        <v>2.06478578892372E-2</v>
      </c>
      <c r="AL52" s="3">
        <f t="shared" si="10"/>
        <v>2.0503042596348883E-2</v>
      </c>
      <c r="AM52" s="3">
        <f t="shared" si="10"/>
        <v>2.0316584564860424E-2</v>
      </c>
      <c r="AN52" s="3">
        <f t="shared" si="10"/>
        <v>2.0091954022988509E-2</v>
      </c>
      <c r="AO52" s="3">
        <f t="shared" si="10"/>
        <v>1.983224603914259E-2</v>
      </c>
      <c r="AP52" s="3">
        <f t="shared" si="10"/>
        <v>1.9540229885057471E-2</v>
      </c>
      <c r="AQ52" s="3">
        <f t="shared" si="10"/>
        <v>1.9218390804597699E-2</v>
      </c>
      <c r="AR52" s="3">
        <f t="shared" si="10"/>
        <v>1.886896551724138E-2</v>
      </c>
      <c r="AS52" s="3">
        <f t="shared" si="10"/>
        <v>1.8493972525932156E-2</v>
      </c>
      <c r="AT52" s="3">
        <f t="shared" si="10"/>
        <v>1.8095238095238095E-2</v>
      </c>
      <c r="AU52" s="3">
        <f t="shared" si="10"/>
        <v>1.7674418604651163E-2</v>
      </c>
    </row>
    <row r="53" spans="3:47" x14ac:dyDescent="0.25">
      <c r="C53" s="3"/>
      <c r="E53" s="3"/>
      <c r="O53" s="104"/>
      <c r="P53" s="2">
        <v>14</v>
      </c>
      <c r="Q53" s="3">
        <f t="shared" si="9"/>
        <v>0</v>
      </c>
      <c r="R53" s="3">
        <f t="shared" si="10"/>
        <v>3.541880341880342E-3</v>
      </c>
      <c r="S53" s="3">
        <f t="shared" si="10"/>
        <v>6.5265251989389912E-3</v>
      </c>
      <c r="T53" s="3">
        <f t="shared" si="10"/>
        <v>9.052270244968014E-3</v>
      </c>
      <c r="U53" s="3">
        <f t="shared" si="10"/>
        <v>1.119559878180568E-2</v>
      </c>
      <c r="V53" s="3">
        <f t="shared" si="10"/>
        <v>1.3016892363534833E-2</v>
      </c>
      <c r="W53" s="3">
        <f t="shared" si="10"/>
        <v>1.4564456233421752E-2</v>
      </c>
      <c r="X53" s="3">
        <f t="shared" si="10"/>
        <v>1.5877394636015327E-2</v>
      </c>
      <c r="Y53" s="3">
        <f t="shared" si="10"/>
        <v>1.6987701953219192E-2</v>
      </c>
      <c r="Z53" s="3">
        <f t="shared" si="10"/>
        <v>1.7921808326605927E-2</v>
      </c>
      <c r="AA53" s="3">
        <f t="shared" si="10"/>
        <v>1.8701738874152666E-2</v>
      </c>
      <c r="AB53" s="3">
        <f t="shared" si="10"/>
        <v>1.9345994694960213E-2</v>
      </c>
      <c r="AC53" s="3">
        <f t="shared" si="10"/>
        <v>1.9870230565190775E-2</v>
      </c>
      <c r="AD53" s="3">
        <f t="shared" si="10"/>
        <v>2.0287782034908473E-2</v>
      </c>
      <c r="AE53" s="3">
        <f t="shared" si="10"/>
        <v>2.061007957559682E-2</v>
      </c>
      <c r="AF53" s="3">
        <f t="shared" si="10"/>
        <v>2.0846977041982986E-2</v>
      </c>
      <c r="AG53" s="3">
        <f t="shared" si="10"/>
        <v>2.1007014441497201E-2</v>
      </c>
      <c r="AH53" s="3">
        <f t="shared" si="10"/>
        <v>2.1097629845127065E-2</v>
      </c>
      <c r="AI53" s="3">
        <f t="shared" si="10"/>
        <v>2.1125331564986739E-2</v>
      </c>
      <c r="AJ53" s="3">
        <f t="shared" si="10"/>
        <v>2.1095839026873509E-2</v>
      </c>
      <c r="AK53" s="3">
        <f t="shared" si="10"/>
        <v>2.1014198782961461E-2</v>
      </c>
      <c r="AL53" s="3">
        <f t="shared" si="10"/>
        <v>2.0884880636604774E-2</v>
      </c>
      <c r="AM53" s="3">
        <f t="shared" si="10"/>
        <v>2.0711857746340503E-2</v>
      </c>
      <c r="AN53" s="3">
        <f t="shared" si="10"/>
        <v>2.0498673740053056E-2</v>
      </c>
      <c r="AO53" s="3">
        <f t="shared" si="10"/>
        <v>2.0248499232165294E-2</v>
      </c>
      <c r="AP53" s="3">
        <f t="shared" si="10"/>
        <v>1.996417964587726E-2</v>
      </c>
      <c r="AQ53" s="3">
        <f t="shared" si="10"/>
        <v>1.9648275862068965E-2</v>
      </c>
      <c r="AR53" s="3">
        <f t="shared" si="10"/>
        <v>1.9303098919583362E-2</v>
      </c>
      <c r="AS53" s="3">
        <f t="shared" si="10"/>
        <v>1.8930739758325967E-2</v>
      </c>
      <c r="AT53" s="3">
        <f t="shared" si="10"/>
        <v>1.8533094812164582E-2</v>
      </c>
      <c r="AU53" s="3">
        <f t="shared" si="10"/>
        <v>1.8111888111888113E-2</v>
      </c>
    </row>
    <row r="54" spans="3:47" x14ac:dyDescent="0.25">
      <c r="C54" s="3"/>
      <c r="E54" s="3"/>
      <c r="O54" s="104"/>
      <c r="P54" s="2">
        <v>15</v>
      </c>
      <c r="Q54" s="3">
        <f t="shared" si="9"/>
        <v>0</v>
      </c>
      <c r="R54" s="3">
        <f t="shared" si="10"/>
        <v>3.4615384615384612E-3</v>
      </c>
      <c r="S54" s="3">
        <f t="shared" si="10"/>
        <v>6.4034950850366656E-3</v>
      </c>
      <c r="T54" s="3">
        <f t="shared" si="10"/>
        <v>8.9124668435013252E-3</v>
      </c>
      <c r="U54" s="3">
        <f t="shared" si="10"/>
        <v>1.1056819768253526E-2</v>
      </c>
      <c r="V54" s="3">
        <f t="shared" si="10"/>
        <v>1.2891246684350132E-2</v>
      </c>
      <c r="W54" s="3">
        <f t="shared" si="10"/>
        <v>1.4460022735884804E-2</v>
      </c>
      <c r="X54" s="3">
        <f t="shared" si="10"/>
        <v>1.5799373040752351E-2</v>
      </c>
      <c r="Y54" s="3">
        <f t="shared" si="10"/>
        <v>1.6939222696344132E-2</v>
      </c>
      <c r="Z54" s="3">
        <f t="shared" si="10"/>
        <v>1.7904509283819623E-2</v>
      </c>
      <c r="AA54" s="3">
        <f t="shared" si="10"/>
        <v>1.8716180371352781E-2</v>
      </c>
      <c r="AB54" s="3">
        <f t="shared" si="10"/>
        <v>1.9391960824321566E-2</v>
      </c>
      <c r="AC54" s="3">
        <f t="shared" si="10"/>
        <v>1.9946949602122014E-2</v>
      </c>
      <c r="AD54" s="3">
        <f t="shared" si="10"/>
        <v>2.0394088669950738E-2</v>
      </c>
      <c r="AE54" s="3">
        <f t="shared" si="10"/>
        <v>2.0744534894356535E-2</v>
      </c>
      <c r="AF54" s="3">
        <f t="shared" si="10"/>
        <v>2.1007957559681698E-2</v>
      </c>
      <c r="AG54" s="3">
        <f t="shared" si="10"/>
        <v>2.1192778300675966E-2</v>
      </c>
      <c r="AH54" s="3">
        <f t="shared" si="10"/>
        <v>2.1306366047745356E-2</v>
      </c>
      <c r="AI54" s="3">
        <f t="shared" si="10"/>
        <v>2.135519652761032E-2</v>
      </c>
      <c r="AJ54" s="3">
        <f t="shared" si="10"/>
        <v>2.1344983616788889E-2</v>
      </c>
      <c r="AK54" s="3">
        <f t="shared" si="10"/>
        <v>2.1280788177339898E-2</v>
      </c>
      <c r="AL54" s="3">
        <f t="shared" si="10"/>
        <v>2.1167108753315646E-2</v>
      </c>
      <c r="AM54" s="3">
        <f t="shared" si="10"/>
        <v>2.1007957559681694E-2</v>
      </c>
      <c r="AN54" s="3">
        <f t="shared" si="10"/>
        <v>2.0806924472986182E-2</v>
      </c>
      <c r="AO54" s="3">
        <f t="shared" si="10"/>
        <v>2.0567231177310751E-2</v>
      </c>
      <c r="AP54" s="3">
        <f t="shared" si="10"/>
        <v>2.0291777188328912E-2</v>
      </c>
      <c r="AQ54" s="3">
        <f t="shared" si="10"/>
        <v>1.9983179142136247E-2</v>
      </c>
      <c r="AR54" s="3">
        <f t="shared" si="10"/>
        <v>1.9643804471390674E-2</v>
      </c>
      <c r="AS54" s="3">
        <f t="shared" si="10"/>
        <v>1.9275800382456357E-2</v>
      </c>
      <c r="AT54" s="3">
        <f t="shared" si="10"/>
        <v>1.8881118881118878E-2</v>
      </c>
      <c r="AU54" s="3">
        <f t="shared" si="10"/>
        <v>1.846153846153846E-2</v>
      </c>
    </row>
    <row r="55" spans="3:47" x14ac:dyDescent="0.25">
      <c r="C55" s="3"/>
      <c r="E55" s="3"/>
      <c r="O55" s="104"/>
      <c r="P55" s="2">
        <v>16</v>
      </c>
      <c r="Q55" s="3">
        <f t="shared" si="9"/>
        <v>0</v>
      </c>
      <c r="R55" s="3">
        <f t="shared" si="10"/>
        <v>3.3785822021116137E-3</v>
      </c>
      <c r="S55" s="3">
        <f t="shared" si="10"/>
        <v>6.2717359269083396E-3</v>
      </c>
      <c r="T55" s="3">
        <f t="shared" si="10"/>
        <v>8.7561077760714787E-3</v>
      </c>
      <c r="U55" s="3">
        <f t="shared" si="10"/>
        <v>1.0893015030946068E-2</v>
      </c>
      <c r="V55" s="3">
        <f t="shared" si="10"/>
        <v>1.273209549071618E-2</v>
      </c>
      <c r="W55" s="3">
        <f t="shared" si="10"/>
        <v>1.4313961900168797E-2</v>
      </c>
      <c r="X55" s="3">
        <f t="shared" si="10"/>
        <v>1.5672163918040983E-2</v>
      </c>
      <c r="Y55" s="3">
        <f t="shared" si="10"/>
        <v>1.6834659593280281E-2</v>
      </c>
      <c r="Z55" s="3">
        <f t="shared" si="10"/>
        <v>1.782493368700265E-2</v>
      </c>
      <c r="AA55" s="3">
        <f t="shared" si="10"/>
        <v>1.8662857920152352E-2</v>
      </c>
      <c r="AB55" s="3">
        <f t="shared" si="10"/>
        <v>1.936536005501523E-2</v>
      </c>
      <c r="AC55" s="3">
        <f t="shared" si="10"/>
        <v>1.9946949602122014E-2</v>
      </c>
      <c r="AD55" s="3">
        <f t="shared" si="10"/>
        <v>2.0420134760206106E-2</v>
      </c>
      <c r="AE55" s="3">
        <f t="shared" si="10"/>
        <v>2.0795755968169762E-2</v>
      </c>
      <c r="AF55" s="3">
        <f t="shared" si="10"/>
        <v>2.1083254898605287E-2</v>
      </c>
      <c r="AG55" s="3">
        <f t="shared" si="10"/>
        <v>2.1290893015030947E-2</v>
      </c>
      <c r="AH55" s="3">
        <f t="shared" si="10"/>
        <v>2.1425930391447634E-2</v>
      </c>
      <c r="AI55" s="3">
        <f t="shared" si="10"/>
        <v>2.1494772975503201E-2</v>
      </c>
      <c r="AJ55" s="3">
        <f t="shared" si="10"/>
        <v>2.1503094606542882E-2</v>
      </c>
      <c r="AK55" s="3">
        <f t="shared" si="10"/>
        <v>2.145593869731801E-2</v>
      </c>
      <c r="AL55" s="3">
        <f t="shared" si="10"/>
        <v>2.1357803426768945E-2</v>
      </c>
      <c r="AM55" s="3">
        <f t="shared" si="10"/>
        <v>2.1212713481316023E-2</v>
      </c>
      <c r="AN55" s="3">
        <f t="shared" si="10"/>
        <v>2.1024280759028773E-2</v>
      </c>
      <c r="AO55" s="3">
        <f t="shared" si="10"/>
        <v>2.0795755968169762E-2</v>
      </c>
      <c r="AP55" s="3">
        <f t="shared" si="10"/>
        <v>2.0530072674732051E-2</v>
      </c>
      <c r="AQ55" s="3">
        <f t="shared" si="10"/>
        <v>2.0229885057471267E-2</v>
      </c>
      <c r="AR55" s="3">
        <f t="shared" si="10"/>
        <v>1.9897600394793657E-2</v>
      </c>
      <c r="AS55" s="3">
        <f t="shared" si="10"/>
        <v>1.9535407121614022E-2</v>
      </c>
      <c r="AT55" s="3">
        <f t="shared" si="10"/>
        <v>1.9145299145299145E-2</v>
      </c>
      <c r="AU55" s="3">
        <f t="shared" si="10"/>
        <v>1.8729096989966557E-2</v>
      </c>
    </row>
    <row r="56" spans="3:47" x14ac:dyDescent="0.25">
      <c r="C56" s="3"/>
      <c r="E56" s="3"/>
      <c r="O56" s="104"/>
      <c r="P56" s="2">
        <v>17</v>
      </c>
      <c r="Q56" s="3">
        <f t="shared" si="9"/>
        <v>0</v>
      </c>
      <c r="R56" s="3">
        <f t="shared" si="10"/>
        <v>3.2934472934472935E-3</v>
      </c>
      <c r="S56" s="3">
        <f t="shared" si="10"/>
        <v>6.1326259946949601E-3</v>
      </c>
      <c r="T56" s="3">
        <f t="shared" si="10"/>
        <v>8.5856763925729433E-3</v>
      </c>
      <c r="U56" s="3">
        <f t="shared" si="10"/>
        <v>1.0707759673276916E-2</v>
      </c>
      <c r="V56" s="3">
        <f t="shared" si="10"/>
        <v>1.2544007716421512E-2</v>
      </c>
      <c r="W56" s="3">
        <f t="shared" si="10"/>
        <v>1.4131703379079694E-2</v>
      </c>
      <c r="X56" s="3">
        <f t="shared" si="10"/>
        <v>1.5501915708812262E-2</v>
      </c>
      <c r="Y56" s="3">
        <f t="shared" si="10"/>
        <v>1.6680742705570292E-2</v>
      </c>
      <c r="Z56" s="3">
        <f t="shared" si="10"/>
        <v>1.7690267292389306E-2</v>
      </c>
      <c r="AA56" s="3">
        <f t="shared" si="10"/>
        <v>1.8549300848151425E-2</v>
      </c>
      <c r="AB56" s="3">
        <f t="shared" si="10"/>
        <v>1.9273967411898445E-2</v>
      </c>
      <c r="AC56" s="3">
        <f t="shared" si="10"/>
        <v>1.9878167017287111E-2</v>
      </c>
      <c r="AD56" s="3">
        <f t="shared" si="10"/>
        <v>2.0373946360153258E-2</v>
      </c>
      <c r="AE56" s="3">
        <f t="shared" si="10"/>
        <v>2.0771797723966801E-2</v>
      </c>
      <c r="AF56" s="3">
        <f t="shared" si="10"/>
        <v>2.1080901856763926E-2</v>
      </c>
      <c r="AG56" s="3">
        <f t="shared" ref="R56:AU64" si="11">IFERROR(VLOOKUP($P56,$D$15:$E$41,2,FALSE)*VLOOKUP(AG$6,$B$15:$C$45,2,FALSE)/($P56+AG$38),0)</f>
        <v>2.1309326688637033E-2</v>
      </c>
      <c r="AH56" s="3">
        <f t="shared" si="11"/>
        <v>2.146419098143236E-2</v>
      </c>
      <c r="AI56" s="3">
        <f t="shared" si="11"/>
        <v>2.1551799924213719E-2</v>
      </c>
      <c r="AJ56" s="3">
        <f t="shared" si="11"/>
        <v>2.1577758129482268E-2</v>
      </c>
      <c r="AK56" s="3">
        <f t="shared" si="11"/>
        <v>2.1547064305684996E-2</v>
      </c>
      <c r="AL56" s="3">
        <f t="shared" si="11"/>
        <v>2.146419098143236E-2</v>
      </c>
      <c r="AM56" s="3">
        <f t="shared" si="11"/>
        <v>2.1333151964451697E-2</v>
      </c>
      <c r="AN56" s="3">
        <f t="shared" si="11"/>
        <v>2.1157559681697614E-2</v>
      </c>
      <c r="AO56" s="3">
        <f t="shared" si="11"/>
        <v>2.0940674128226696E-2</v>
      </c>
      <c r="AP56" s="3">
        <f t="shared" si="11"/>
        <v>2.0685444823375858E-2</v>
      </c>
      <c r="AQ56" s="3">
        <f t="shared" si="11"/>
        <v>2.0394546912590215E-2</v>
      </c>
      <c r="AR56" s="3">
        <f t="shared" si="11"/>
        <v>2.0070412346274415E-2</v>
      </c>
      <c r="AS56" s="3">
        <f t="shared" si="11"/>
        <v>1.97152569014638E-2</v>
      </c>
      <c r="AT56" s="3">
        <f t="shared" si="11"/>
        <v>1.9331103678929765E-2</v>
      </c>
      <c r="AU56" s="3">
        <f t="shared" si="11"/>
        <v>1.8919803600654664E-2</v>
      </c>
    </row>
    <row r="57" spans="3:47" x14ac:dyDescent="0.25">
      <c r="C57" s="3"/>
      <c r="E57" s="3"/>
      <c r="O57" s="104"/>
      <c r="P57" s="2">
        <v>18</v>
      </c>
      <c r="Q57" s="3">
        <f t="shared" si="9"/>
        <v>0</v>
      </c>
      <c r="R57" s="3">
        <f t="shared" si="11"/>
        <v>3.2064777327935222E-3</v>
      </c>
      <c r="S57" s="3">
        <f t="shared" si="11"/>
        <v>5.9872679045092827E-3</v>
      </c>
      <c r="T57" s="3">
        <f t="shared" si="11"/>
        <v>8.4031830238726797E-3</v>
      </c>
      <c r="U57" s="3">
        <f t="shared" si="11"/>
        <v>1.0503978779840849E-2</v>
      </c>
      <c r="V57" s="3">
        <f t="shared" si="11"/>
        <v>1.2330757698074039E-2</v>
      </c>
      <c r="W57" s="3">
        <f t="shared" si="11"/>
        <v>1.3917771883289125E-2</v>
      </c>
      <c r="X57" s="3">
        <f t="shared" si="11"/>
        <v>1.5293793103448276E-2</v>
      </c>
      <c r="Y57" s="3">
        <f t="shared" si="11"/>
        <v>1.6483166700673329E-2</v>
      </c>
      <c r="Z57" s="3">
        <f t="shared" si="11"/>
        <v>1.7506631299734746E-2</v>
      </c>
      <c r="AA57" s="3">
        <f t="shared" si="11"/>
        <v>1.8381962864721487E-2</v>
      </c>
      <c r="AB57" s="3">
        <f t="shared" si="11"/>
        <v>1.9124485502606786E-2</v>
      </c>
      <c r="AC57" s="3">
        <f t="shared" si="11"/>
        <v>1.9747480106100793E-2</v>
      </c>
      <c r="AD57" s="3">
        <f t="shared" si="11"/>
        <v>2.0262513904338156E-2</v>
      </c>
      <c r="AE57" s="3">
        <f t="shared" si="11"/>
        <v>2.067970822281167E-2</v>
      </c>
      <c r="AF57" s="3">
        <f t="shared" si="11"/>
        <v>2.1007957559681698E-2</v>
      </c>
      <c r="AG57" s="3">
        <f t="shared" si="11"/>
        <v>2.1255110001560305E-2</v>
      </c>
      <c r="AH57" s="3">
        <f t="shared" si="11"/>
        <v>2.1428116710875331E-2</v>
      </c>
      <c r="AI57" s="3">
        <f t="shared" si="11"/>
        <v>2.1533156498673742E-2</v>
      </c>
      <c r="AJ57" s="3">
        <f t="shared" si="11"/>
        <v>2.1575740196429851E-2</v>
      </c>
      <c r="AK57" s="3">
        <f t="shared" si="11"/>
        <v>2.1560798548094375E-2</v>
      </c>
      <c r="AL57" s="3">
        <f t="shared" si="11"/>
        <v>2.1492756580289735E-2</v>
      </c>
      <c r="AM57" s="3">
        <f t="shared" si="11"/>
        <v>2.1375596816976126E-2</v>
      </c>
      <c r="AN57" s="3">
        <f t="shared" si="11"/>
        <v>2.121291324319079E-2</v>
      </c>
      <c r="AO57" s="3">
        <f t="shared" si="11"/>
        <v>2.1007957559681698E-2</v>
      </c>
      <c r="AP57" s="3">
        <f t="shared" si="11"/>
        <v>2.0763678983406329E-2</v>
      </c>
      <c r="AQ57" s="3">
        <f t="shared" si="11"/>
        <v>2.0482758620689656E-2</v>
      </c>
      <c r="AR57" s="3">
        <f t="shared" si="11"/>
        <v>2.016763925729443E-2</v>
      </c>
      <c r="AS57" s="3">
        <f t="shared" si="11"/>
        <v>1.9820551262830124E-2</v>
      </c>
      <c r="AT57" s="3">
        <f t="shared" si="11"/>
        <v>1.9443535188216041E-2</v>
      </c>
      <c r="AU57" s="3">
        <f t="shared" si="11"/>
        <v>1.9038461538461539E-2</v>
      </c>
    </row>
    <row r="58" spans="3:47" x14ac:dyDescent="0.25">
      <c r="C58" s="3"/>
      <c r="E58" s="3"/>
      <c r="O58" s="104"/>
      <c r="P58" s="2">
        <v>19</v>
      </c>
      <c r="Q58" s="3">
        <f t="shared" si="9"/>
        <v>0</v>
      </c>
      <c r="R58" s="3">
        <f t="shared" si="11"/>
        <v>3.1179487179487176E-3</v>
      </c>
      <c r="S58" s="3">
        <f t="shared" si="11"/>
        <v>5.836554250347353E-3</v>
      </c>
      <c r="T58" s="3">
        <f t="shared" si="11"/>
        <v>8.2102724861345556E-3</v>
      </c>
      <c r="U58" s="3">
        <f t="shared" si="11"/>
        <v>1.0284088724868336E-2</v>
      </c>
      <c r="V58" s="3">
        <f t="shared" si="11"/>
        <v>1.2095490716180372E-2</v>
      </c>
      <c r="W58" s="3">
        <f t="shared" si="11"/>
        <v>1.3675968169761273E-2</v>
      </c>
      <c r="X58" s="3">
        <f t="shared" si="11"/>
        <v>1.5052166224580018E-2</v>
      </c>
      <c r="Y58" s="3">
        <f t="shared" si="11"/>
        <v>1.6246782591610175E-2</v>
      </c>
      <c r="Z58" s="3">
        <f t="shared" si="11"/>
        <v>1.7279272451686242E-2</v>
      </c>
      <c r="AA58" s="3">
        <f t="shared" si="11"/>
        <v>1.8166407512424158E-2</v>
      </c>
      <c r="AB58" s="3">
        <f t="shared" si="11"/>
        <v>1.8922723253757736E-2</v>
      </c>
      <c r="AC58" s="3">
        <f t="shared" si="11"/>
        <v>1.9560879609822879E-2</v>
      </c>
      <c r="AD58" s="3">
        <f t="shared" si="11"/>
        <v>2.0091954022988506E-2</v>
      </c>
      <c r="AE58" s="3">
        <f t="shared" si="11"/>
        <v>2.0525681215336388E-2</v>
      </c>
      <c r="AF58" s="3">
        <f t="shared" si="11"/>
        <v>2.0870650647526915E-2</v>
      </c>
      <c r="AG58" s="3">
        <f t="shared" si="11"/>
        <v>2.1134470127573576E-2</v>
      </c>
      <c r="AH58" s="3">
        <f t="shared" si="11"/>
        <v>2.1323902151488359E-2</v>
      </c>
      <c r="AI58" s="3">
        <f t="shared" si="11"/>
        <v>2.1444978134633308E-2</v>
      </c>
      <c r="AJ58" s="3">
        <f t="shared" si="11"/>
        <v>2.1503094606542882E-2</v>
      </c>
      <c r="AK58" s="3">
        <f t="shared" si="11"/>
        <v>2.1503094606542882E-2</v>
      </c>
      <c r="AL58" s="3">
        <f t="shared" si="11"/>
        <v>2.1449336870026522E-2</v>
      </c>
      <c r="AM58" s="3">
        <f t="shared" si="11"/>
        <v>2.1345754889909641E-2</v>
      </c>
      <c r="AN58" s="3">
        <f t="shared" si="11"/>
        <v>2.119590754073513E-2</v>
      </c>
      <c r="AO58" s="3">
        <f t="shared" si="11"/>
        <v>2.1003022638948862E-2</v>
      </c>
      <c r="AP58" s="3">
        <f t="shared" si="11"/>
        <v>2.0770034563138012E-2</v>
      </c>
      <c r="AQ58" s="3">
        <f t="shared" si="11"/>
        <v>2.0499616858237549E-2</v>
      </c>
      <c r="AR58" s="3">
        <f t="shared" si="11"/>
        <v>2.0194210587014184E-2</v>
      </c>
      <c r="AS58" s="3">
        <f t="shared" si="11"/>
        <v>1.9856049062211941E-2</v>
      </c>
      <c r="AT58" s="3">
        <f t="shared" si="11"/>
        <v>1.9487179487179488E-2</v>
      </c>
      <c r="AU58" s="3">
        <f t="shared" si="11"/>
        <v>1.9089481946624805E-2</v>
      </c>
    </row>
    <row r="59" spans="3:47" x14ac:dyDescent="0.25">
      <c r="C59" s="3"/>
      <c r="E59" s="3"/>
      <c r="O59" s="104"/>
      <c r="P59" s="2">
        <v>20</v>
      </c>
      <c r="Q59" s="3">
        <f t="shared" si="9"/>
        <v>0</v>
      </c>
      <c r="R59" s="3">
        <f t="shared" si="11"/>
        <v>3.0280830280830281E-3</v>
      </c>
      <c r="S59" s="3">
        <f t="shared" si="11"/>
        <v>5.68121533638775E-3</v>
      </c>
      <c r="T59" s="3">
        <f t="shared" si="11"/>
        <v>8.0083035405374252E-3</v>
      </c>
      <c r="U59" s="3">
        <f t="shared" si="11"/>
        <v>1.0050103153551431E-2</v>
      </c>
      <c r="V59" s="3">
        <f t="shared" si="11"/>
        <v>1.184084880636605E-2</v>
      </c>
      <c r="W59" s="3">
        <f t="shared" si="11"/>
        <v>1.340950826361967E-2</v>
      </c>
      <c r="X59" s="3">
        <f t="shared" si="11"/>
        <v>1.4780757769263518E-2</v>
      </c>
      <c r="Y59" s="3">
        <f t="shared" si="11"/>
        <v>1.5975748389541491E-2</v>
      </c>
      <c r="Z59" s="3">
        <f t="shared" si="11"/>
        <v>1.7012713802250067E-2</v>
      </c>
      <c r="AA59" s="3">
        <f t="shared" si="11"/>
        <v>1.7907456528146185E-2</v>
      </c>
      <c r="AB59" s="3">
        <f t="shared" si="11"/>
        <v>1.8673740053050399E-2</v>
      </c>
      <c r="AC59" s="3">
        <f t="shared" si="11"/>
        <v>1.9323607427055703E-2</v>
      </c>
      <c r="AD59" s="3">
        <f t="shared" si="11"/>
        <v>1.9867641936607453E-2</v>
      </c>
      <c r="AE59" s="3">
        <f t="shared" si="11"/>
        <v>2.0315181775628025E-2</v>
      </c>
      <c r="AF59" s="3">
        <f t="shared" si="11"/>
        <v>2.0674497915877225E-2</v>
      </c>
      <c r="AG59" s="3">
        <f t="shared" si="11"/>
        <v>2.0952942332252679E-2</v>
      </c>
      <c r="AH59" s="3">
        <f t="shared" si="11"/>
        <v>2.1157072191554948E-2</v>
      </c>
      <c r="AI59" s="3">
        <f t="shared" si="11"/>
        <v>2.1292754432500349E-2</v>
      </c>
      <c r="AJ59" s="3">
        <f t="shared" si="11"/>
        <v>2.1365254256500939E-2</v>
      </c>
      <c r="AK59" s="3">
        <f t="shared" si="11"/>
        <v>2.1379310344827589E-2</v>
      </c>
      <c r="AL59" s="3">
        <f t="shared" si="11"/>
        <v>2.1339199068383257E-2</v>
      </c>
      <c r="AM59" s="3">
        <f t="shared" si="11"/>
        <v>2.1248789524651594E-2</v>
      </c>
      <c r="AN59" s="3">
        <f t="shared" si="11"/>
        <v>2.1111590895071253E-2</v>
      </c>
      <c r="AO59" s="3">
        <f t="shared" si="11"/>
        <v>2.0930793344586449E-2</v>
      </c>
      <c r="AP59" s="3">
        <f t="shared" si="11"/>
        <v>2.070930346792416E-2</v>
      </c>
      <c r="AQ59" s="3">
        <f t="shared" si="11"/>
        <v>2.044977511244378E-2</v>
      </c>
      <c r="AR59" s="3">
        <f t="shared" si="11"/>
        <v>2.0154636266154977E-2</v>
      </c>
      <c r="AS59" s="3">
        <f t="shared" si="11"/>
        <v>1.9826112584733279E-2</v>
      </c>
      <c r="AT59" s="3">
        <f t="shared" si="11"/>
        <v>1.946624803767661E-2</v>
      </c>
      <c r="AU59" s="3">
        <f t="shared" si="11"/>
        <v>1.9076923076923078E-2</v>
      </c>
    </row>
    <row r="60" spans="3:47" x14ac:dyDescent="0.25">
      <c r="C60" s="3"/>
      <c r="E60" s="3"/>
      <c r="O60" s="104"/>
      <c r="P60" s="2">
        <v>21</v>
      </c>
      <c r="Q60" s="3">
        <f t="shared" si="9"/>
        <v>0</v>
      </c>
      <c r="R60" s="3">
        <f t="shared" si="11"/>
        <v>2.9370629370629371E-3</v>
      </c>
      <c r="S60" s="3">
        <f t="shared" si="11"/>
        <v>5.5218544573866898E-3</v>
      </c>
      <c r="T60" s="3">
        <f t="shared" si="11"/>
        <v>7.7984084880636595E-3</v>
      </c>
      <c r="U60" s="3">
        <f t="shared" si="11"/>
        <v>9.8037135278514591E-3</v>
      </c>
      <c r="V60" s="3">
        <f t="shared" si="11"/>
        <v>1.1569067537237299E-2</v>
      </c>
      <c r="W60" s="3">
        <f t="shared" si="11"/>
        <v>1.3121131741821397E-2</v>
      </c>
      <c r="X60" s="3">
        <f t="shared" si="11"/>
        <v>1.4482758620689656E-2</v>
      </c>
      <c r="Y60" s="3">
        <f t="shared" si="11"/>
        <v>1.567364858684716E-2</v>
      </c>
      <c r="Z60" s="3">
        <f t="shared" si="11"/>
        <v>1.6710875331564987E-2</v>
      </c>
      <c r="AA60" s="3">
        <f t="shared" si="11"/>
        <v>1.7609309489176009E-2</v>
      </c>
      <c r="AB60" s="3">
        <f t="shared" si="11"/>
        <v>1.8381962864721484E-2</v>
      </c>
      <c r="AC60" s="3">
        <f t="shared" si="11"/>
        <v>1.904027007475283E-2</v>
      </c>
      <c r="AD60" s="3">
        <f t="shared" si="11"/>
        <v>1.9594320486815416E-2</v>
      </c>
      <c r="AE60" s="3">
        <f t="shared" si="11"/>
        <v>2.0053050397877987E-2</v>
      </c>
      <c r="AF60" s="3">
        <f t="shared" si="11"/>
        <v>2.0424403183023871E-2</v>
      </c>
      <c r="AG60" s="3">
        <f t="shared" si="11"/>
        <v>2.0715463474084161E-2</v>
      </c>
      <c r="AH60" s="3">
        <f t="shared" si="11"/>
        <v>2.0932570152170878E-2</v>
      </c>
      <c r="AI60" s="3">
        <f t="shared" si="11"/>
        <v>2.1081411956743523E-2</v>
      </c>
      <c r="AJ60" s="3">
        <f t="shared" si="11"/>
        <v>2.1167108753315646E-2</v>
      </c>
      <c r="AK60" s="3">
        <f t="shared" si="11"/>
        <v>2.1194280908326323E-2</v>
      </c>
      <c r="AL60" s="3">
        <f t="shared" si="11"/>
        <v>2.116710875331565E-2</v>
      </c>
      <c r="AM60" s="3">
        <f t="shared" si="11"/>
        <v>2.1089383751773487E-2</v>
      </c>
      <c r="AN60" s="3">
        <f t="shared" si="11"/>
        <v>2.0964552688690623E-2</v>
      </c>
      <c r="AO60" s="3">
        <f t="shared" si="11"/>
        <v>2.0795755968169762E-2</v>
      </c>
      <c r="AP60" s="3">
        <f t="shared" si="11"/>
        <v>2.0585860915695999E-2</v>
      </c>
      <c r="AQ60" s="3">
        <f t="shared" si="11"/>
        <v>2.0337490829053558E-2</v>
      </c>
      <c r="AR60" s="3">
        <f t="shared" si="11"/>
        <v>2.0053050397877983E-2</v>
      </c>
      <c r="AS60" s="3">
        <f t="shared" si="11"/>
        <v>1.9734748010610079E-2</v>
      </c>
      <c r="AT60" s="3">
        <f t="shared" si="11"/>
        <v>1.9384615384615386E-2</v>
      </c>
      <c r="AU60" s="3">
        <f t="shared" si="11"/>
        <v>1.9004524886877826E-2</v>
      </c>
    </row>
    <row r="61" spans="3:47" x14ac:dyDescent="0.25">
      <c r="O61" s="104"/>
      <c r="P61" s="2">
        <v>22</v>
      </c>
      <c r="Q61" s="3">
        <f t="shared" si="9"/>
        <v>0</v>
      </c>
      <c r="R61" s="3">
        <f t="shared" si="11"/>
        <v>2.8450390189520623E-3</v>
      </c>
      <c r="S61" s="3">
        <f t="shared" si="11"/>
        <v>5.3589743589743588E-3</v>
      </c>
      <c r="T61" s="3">
        <f t="shared" si="11"/>
        <v>7.5815384615384607E-3</v>
      </c>
      <c r="U61" s="3">
        <f t="shared" si="11"/>
        <v>9.5463510848126237E-3</v>
      </c>
      <c r="V61" s="3">
        <f t="shared" si="11"/>
        <v>1.1282051282051283E-2</v>
      </c>
      <c r="W61" s="3">
        <f t="shared" si="11"/>
        <v>1.2813186813186812E-2</v>
      </c>
      <c r="X61" s="3">
        <f t="shared" si="11"/>
        <v>1.4160919540229886E-2</v>
      </c>
      <c r="Y61" s="3">
        <f t="shared" si="11"/>
        <v>1.534358974358974E-2</v>
      </c>
      <c r="Z61" s="3">
        <f t="shared" si="11"/>
        <v>1.6377171215880889E-2</v>
      </c>
      <c r="AA61" s="3">
        <f t="shared" si="11"/>
        <v>1.7275641025641025E-2</v>
      </c>
      <c r="AB61" s="3">
        <f t="shared" si="11"/>
        <v>1.805128205128205E-2</v>
      </c>
      <c r="AC61" s="3">
        <f t="shared" si="11"/>
        <v>1.871493212669683E-2</v>
      </c>
      <c r="AD61" s="3">
        <f t="shared" si="11"/>
        <v>1.9276190476190475E-2</v>
      </c>
      <c r="AE61" s="3">
        <f t="shared" si="11"/>
        <v>1.9743589743589741E-2</v>
      </c>
      <c r="AF61" s="3">
        <f t="shared" si="11"/>
        <v>2.0124740124740123E-2</v>
      </c>
      <c r="AG61" s="3">
        <f t="shared" si="11"/>
        <v>2.0426450742240213E-2</v>
      </c>
      <c r="AH61" s="3">
        <f t="shared" si="11"/>
        <v>2.0654832347140037E-2</v>
      </c>
      <c r="AI61" s="3">
        <f t="shared" si="11"/>
        <v>2.0815384615384614E-2</v>
      </c>
      <c r="AJ61" s="3">
        <f t="shared" si="11"/>
        <v>2.0913070669168227E-2</v>
      </c>
      <c r="AK61" s="3">
        <f t="shared" si="11"/>
        <v>2.0952380952380951E-2</v>
      </c>
      <c r="AL61" s="3">
        <f t="shared" si="11"/>
        <v>2.0937388193202143E-2</v>
      </c>
      <c r="AM61" s="3">
        <f t="shared" si="11"/>
        <v>2.0871794871794871E-2</v>
      </c>
      <c r="AN61" s="3">
        <f t="shared" si="11"/>
        <v>2.075897435897436E-2</v>
      </c>
      <c r="AO61" s="3">
        <f t="shared" si="11"/>
        <v>2.0602006688963212E-2</v>
      </c>
      <c r="AP61" s="3">
        <f t="shared" si="11"/>
        <v>2.0403709765411893E-2</v>
      </c>
      <c r="AQ61" s="3">
        <f t="shared" si="11"/>
        <v>2.0166666666666663E-2</v>
      </c>
      <c r="AR61" s="3">
        <f t="shared" si="11"/>
        <v>1.9893249607535322E-2</v>
      </c>
      <c r="AS61" s="3">
        <f t="shared" si="11"/>
        <v>1.9585641025641025E-2</v>
      </c>
      <c r="AT61" s="3">
        <f t="shared" si="11"/>
        <v>1.9245852187028657E-2</v>
      </c>
      <c r="AU61" s="3">
        <f t="shared" si="11"/>
        <v>1.8875739644970413E-2</v>
      </c>
    </row>
    <row r="62" spans="3:47" x14ac:dyDescent="0.25">
      <c r="O62" s="104"/>
      <c r="P62" s="2">
        <v>23</v>
      </c>
      <c r="Q62" s="3">
        <f t="shared" si="9"/>
        <v>0</v>
      </c>
      <c r="R62" s="3">
        <f t="shared" si="11"/>
        <v>2.7521367521367523E-3</v>
      </c>
      <c r="S62" s="3">
        <f t="shared" si="11"/>
        <v>5.192997347480105E-3</v>
      </c>
      <c r="T62" s="3">
        <f t="shared" si="11"/>
        <v>7.3584982656600692E-3</v>
      </c>
      <c r="U62" s="3">
        <f t="shared" si="11"/>
        <v>9.2792350263614636E-3</v>
      </c>
      <c r="V62" s="3">
        <f t="shared" si="11"/>
        <v>1.0981432360742704E-2</v>
      </c>
      <c r="W62" s="3">
        <f t="shared" si="11"/>
        <v>1.2487697795664502E-2</v>
      </c>
      <c r="X62" s="3">
        <f t="shared" si="11"/>
        <v>1.3817624521072797E-2</v>
      </c>
      <c r="Y62" s="3">
        <f t="shared" si="11"/>
        <v>1.498827757337212E-2</v>
      </c>
      <c r="Z62" s="3">
        <f t="shared" si="11"/>
        <v>1.6014588859416444E-2</v>
      </c>
      <c r="AA62" s="3">
        <f t="shared" si="11"/>
        <v>1.6909680357956217E-2</v>
      </c>
      <c r="AB62" s="3">
        <f t="shared" si="11"/>
        <v>1.7685130285535963E-2</v>
      </c>
      <c r="AC62" s="3">
        <f t="shared" si="11"/>
        <v>1.8351193633952254E-2</v>
      </c>
      <c r="AD62" s="3">
        <f t="shared" si="11"/>
        <v>1.891698595146871E-2</v>
      </c>
      <c r="AE62" s="3">
        <f t="shared" si="11"/>
        <v>1.9390637321671803E-2</v>
      </c>
      <c r="AF62" s="3">
        <f t="shared" si="11"/>
        <v>1.9779422029875749E-2</v>
      </c>
      <c r="AG62" s="3">
        <f t="shared" si="11"/>
        <v>2.0089868280849712E-2</v>
      </c>
      <c r="AH62" s="3">
        <f t="shared" si="11"/>
        <v>2.0327851458885941E-2</v>
      </c>
      <c r="AI62" s="3">
        <f t="shared" si="11"/>
        <v>2.0498673740053052E-2</v>
      </c>
      <c r="AJ62" s="3">
        <f t="shared" si="11"/>
        <v>2.0607132331270258E-2</v>
      </c>
      <c r="AK62" s="3">
        <f t="shared" si="11"/>
        <v>2.065757818765036E-2</v>
      </c>
      <c r="AL62" s="3">
        <f t="shared" si="11"/>
        <v>2.0653966722932238E-2</v>
      </c>
      <c r="AM62" s="3">
        <f t="shared" si="11"/>
        <v>2.0599901758522447E-2</v>
      </c>
      <c r="AN62" s="3">
        <f t="shared" si="11"/>
        <v>2.0498673740053052E-2</v>
      </c>
      <c r="AO62" s="3">
        <f t="shared" si="11"/>
        <v>2.035329307522998E-2</v>
      </c>
      <c r="AP62" s="3">
        <f t="shared" si="11"/>
        <v>2.0166519304450337E-2</v>
      </c>
      <c r="AQ62" s="3">
        <f t="shared" si="11"/>
        <v>1.9940886699507387E-2</v>
      </c>
      <c r="AR62" s="3">
        <f t="shared" si="11"/>
        <v>1.9678726790450927E-2</v>
      </c>
      <c r="AS62" s="3">
        <f t="shared" si="11"/>
        <v>1.9382188242228812E-2</v>
      </c>
      <c r="AT62" s="3">
        <f t="shared" si="11"/>
        <v>1.9053254437869822E-2</v>
      </c>
      <c r="AU62" s="3">
        <f t="shared" si="11"/>
        <v>1.8693759071117561E-2</v>
      </c>
    </row>
    <row r="63" spans="3:47" x14ac:dyDescent="0.25">
      <c r="O63" s="104"/>
      <c r="P63" s="2">
        <v>24</v>
      </c>
      <c r="Q63" s="3">
        <f t="shared" si="9"/>
        <v>0</v>
      </c>
      <c r="R63" s="3">
        <f t="shared" si="11"/>
        <v>2.6584615384615384E-3</v>
      </c>
      <c r="S63" s="3">
        <f t="shared" si="11"/>
        <v>5.0242807590287703E-3</v>
      </c>
      <c r="T63" s="3">
        <f t="shared" si="11"/>
        <v>7.1299734748010617E-3</v>
      </c>
      <c r="U63" s="3">
        <f t="shared" si="11"/>
        <v>9.00341038272073E-3</v>
      </c>
      <c r="V63" s="3">
        <f t="shared" si="11"/>
        <v>1.0668617945669076E-2</v>
      </c>
      <c r="W63" s="3">
        <f t="shared" si="11"/>
        <v>1.2146419098143237E-2</v>
      </c>
      <c r="X63" s="3">
        <f t="shared" si="11"/>
        <v>1.3454949944382651E-2</v>
      </c>
      <c r="Y63" s="3">
        <f t="shared" si="11"/>
        <v>1.4610079575596817E-2</v>
      </c>
      <c r="Z63" s="3">
        <f t="shared" si="11"/>
        <v>1.5625753556788038E-2</v>
      </c>
      <c r="AA63" s="3">
        <f t="shared" si="11"/>
        <v>1.6514276798252459E-2</v>
      </c>
      <c r="AB63" s="3">
        <f t="shared" si="11"/>
        <v>1.7286547934823798E-2</v>
      </c>
      <c r="AC63" s="3">
        <f t="shared" si="11"/>
        <v>1.7952254641909818E-2</v>
      </c>
      <c r="AD63" s="3">
        <f t="shared" si="11"/>
        <v>1.8520037278657971E-2</v>
      </c>
      <c r="AE63" s="3">
        <f t="shared" si="11"/>
        <v>1.8997626692726512E-2</v>
      </c>
      <c r="AF63" s="3">
        <f t="shared" si="11"/>
        <v>1.9391960824321569E-2</v>
      </c>
      <c r="AG63" s="3">
        <f t="shared" si="11"/>
        <v>1.9709283819628647E-2</v>
      </c>
      <c r="AH63" s="3">
        <f t="shared" si="11"/>
        <v>1.9955230639839557E-2</v>
      </c>
      <c r="AI63" s="3">
        <f t="shared" si="11"/>
        <v>2.0134899583175447E-2</v>
      </c>
      <c r="AJ63" s="3">
        <f t="shared" si="11"/>
        <v>2.025291468755783E-2</v>
      </c>
      <c r="AK63" s="3">
        <f t="shared" si="11"/>
        <v>2.0313479623824456E-2</v>
      </c>
      <c r="AL63" s="3">
        <f t="shared" si="11"/>
        <v>2.0320424403183025E-2</v>
      </c>
      <c r="AM63" s="3">
        <f t="shared" si="11"/>
        <v>2.0277245992388421E-2</v>
      </c>
      <c r="AN63" s="3">
        <f t="shared" si="11"/>
        <v>2.0187143744003617E-2</v>
      </c>
      <c r="AO63" s="3">
        <f t="shared" si="11"/>
        <v>2.0053050397877987E-2</v>
      </c>
      <c r="AP63" s="3">
        <f t="shared" si="11"/>
        <v>1.9877659286526284E-2</v>
      </c>
      <c r="AQ63" s="3">
        <f t="shared" si="11"/>
        <v>1.9663448275862069E-2</v>
      </c>
      <c r="AR63" s="3">
        <f t="shared" si="11"/>
        <v>1.9412700889374319E-2</v>
      </c>
      <c r="AS63" s="3">
        <f t="shared" si="11"/>
        <v>1.9127524994899003E-2</v>
      </c>
      <c r="AT63" s="3">
        <f t="shared" si="11"/>
        <v>1.8809869375907114E-2</v>
      </c>
      <c r="AU63" s="3">
        <f t="shared" si="11"/>
        <v>1.8461538461538463E-2</v>
      </c>
    </row>
    <row r="64" spans="3:47" x14ac:dyDescent="0.25">
      <c r="O64" s="104"/>
      <c r="P64" s="2">
        <v>25</v>
      </c>
      <c r="Q64" s="3">
        <f t="shared" si="9"/>
        <v>0</v>
      </c>
      <c r="R64" s="3">
        <f t="shared" si="11"/>
        <v>2.5641025641025641E-3</v>
      </c>
      <c r="S64" s="3">
        <f t="shared" si="11"/>
        <v>4.8531289910600248E-3</v>
      </c>
      <c r="T64" s="3">
        <f t="shared" si="11"/>
        <v>6.8965517241379309E-3</v>
      </c>
      <c r="U64" s="3">
        <f t="shared" si="11"/>
        <v>8.719778042013477E-3</v>
      </c>
      <c r="V64" s="3">
        <f t="shared" si="11"/>
        <v>1.0344827586206896E-2</v>
      </c>
      <c r="W64" s="3">
        <f t="shared" si="11"/>
        <v>1.1790878754171301E-2</v>
      </c>
      <c r="X64" s="3">
        <f t="shared" si="11"/>
        <v>1.3074712643678162E-2</v>
      </c>
      <c r="Y64" s="3">
        <f t="shared" si="11"/>
        <v>1.4211076280041795E-2</v>
      </c>
      <c r="Z64" s="3">
        <f t="shared" si="11"/>
        <v>1.5212981744421905E-2</v>
      </c>
      <c r="AA64" s="3">
        <f t="shared" si="11"/>
        <v>1.6091954022988506E-2</v>
      </c>
      <c r="AB64" s="3">
        <f t="shared" si="11"/>
        <v>1.6858237547892719E-2</v>
      </c>
      <c r="AC64" s="3">
        <f t="shared" si="11"/>
        <v>1.7520969245107175E-2</v>
      </c>
      <c r="AD64" s="3">
        <f t="shared" si="11"/>
        <v>1.808832425892317E-2</v>
      </c>
      <c r="AE64" s="3">
        <f t="shared" si="11"/>
        <v>1.8567639257294429E-2</v>
      </c>
      <c r="AF64" s="3">
        <f t="shared" si="11"/>
        <v>1.896551724137931E-2</v>
      </c>
      <c r="AG64" s="3">
        <f t="shared" si="11"/>
        <v>1.9287917017101204E-2</v>
      </c>
      <c r="AH64" s="3">
        <f t="shared" si="11"/>
        <v>1.9540229885057471E-2</v>
      </c>
      <c r="AI64" s="3">
        <f t="shared" si="11"/>
        <v>1.9727345629510826E-2</v>
      </c>
      <c r="AJ64" s="3">
        <f t="shared" si="11"/>
        <v>1.985370950888192E-2</v>
      </c>
      <c r="AK64" s="3">
        <f t="shared" si="11"/>
        <v>1.9923371647509579E-2</v>
      </c>
      <c r="AL64" s="3">
        <f t="shared" si="11"/>
        <v>1.9940029985007494E-2</v>
      </c>
      <c r="AM64" s="3">
        <f t="shared" si="11"/>
        <v>1.9907067742724383E-2</v>
      </c>
      <c r="AN64" s="3">
        <f t="shared" si="11"/>
        <v>1.9827586206896553E-2</v>
      </c>
      <c r="AO64" s="3">
        <f t="shared" si="11"/>
        <v>1.9704433497536946E-2</v>
      </c>
      <c r="AP64" s="3">
        <f t="shared" si="11"/>
        <v>1.9540229885057471E-2</v>
      </c>
      <c r="AQ64" s="3">
        <f t="shared" si="11"/>
        <v>1.9337390128465179E-2</v>
      </c>
      <c r="AR64" s="3">
        <f t="shared" si="11"/>
        <v>1.9098143236074269E-2</v>
      </c>
      <c r="AS64" s="3">
        <f t="shared" si="11"/>
        <v>1.8824549989156367E-2</v>
      </c>
      <c r="AT64" s="3">
        <f t="shared" si="11"/>
        <v>1.8518518518518517E-2</v>
      </c>
      <c r="AU64" s="3">
        <f t="shared" si="11"/>
        <v>1.8181818181818181E-2</v>
      </c>
    </row>
    <row r="65" spans="15:47" x14ac:dyDescent="0.25">
      <c r="O65" s="104"/>
      <c r="P65" s="2">
        <v>26</v>
      </c>
      <c r="Q65" s="3">
        <f t="shared" si="9"/>
        <v>0</v>
      </c>
      <c r="R65" s="3">
        <f t="shared" ref="R65:AU65" si="12">IFERROR(VLOOKUP($P65,$D$15:$E$41,2,FALSE)*VLOOKUP(R$6,$B$15:$C$45,2,FALSE)/($P65+R$38),0)</f>
        <v>2.4691358024691358E-3</v>
      </c>
      <c r="S65" s="3">
        <f t="shared" si="12"/>
        <v>4.6798029556650239E-3</v>
      </c>
      <c r="T65" s="3">
        <f t="shared" si="12"/>
        <v>6.6587395957193813E-3</v>
      </c>
      <c r="U65" s="3">
        <f t="shared" si="12"/>
        <v>8.4291187739463612E-3</v>
      </c>
      <c r="V65" s="3">
        <f t="shared" si="12"/>
        <v>1.0011123470522803E-2</v>
      </c>
      <c r="W65" s="3">
        <f t="shared" si="12"/>
        <v>1.1422413793103449E-2</v>
      </c>
      <c r="X65" s="3">
        <f t="shared" si="12"/>
        <v>1.2678509230233368E-2</v>
      </c>
      <c r="Y65" s="3">
        <f t="shared" si="12"/>
        <v>1.379310344827586E-2</v>
      </c>
      <c r="Z65" s="3">
        <f t="shared" si="12"/>
        <v>1.4778325123152707E-2</v>
      </c>
      <c r="AA65" s="3">
        <f t="shared" si="12"/>
        <v>1.5644955300127713E-2</v>
      </c>
      <c r="AB65" s="3">
        <f t="shared" si="12"/>
        <v>1.6402609506057781E-2</v>
      </c>
      <c r="AC65" s="3">
        <f t="shared" si="12"/>
        <v>1.7059891107078038E-2</v>
      </c>
      <c r="AD65" s="3">
        <f t="shared" si="12"/>
        <v>1.7624521072796936E-2</v>
      </c>
      <c r="AE65" s="3">
        <f t="shared" si="12"/>
        <v>1.810344827586207E-2</v>
      </c>
      <c r="AF65" s="3">
        <f t="shared" si="12"/>
        <v>1.8502943650126155E-2</v>
      </c>
      <c r="AG65" s="3">
        <f t="shared" si="12"/>
        <v>1.8828680897646416E-2</v>
      </c>
      <c r="AH65" s="3">
        <f t="shared" si="12"/>
        <v>1.9085805934242181E-2</v>
      </c>
      <c r="AI65" s="3">
        <f t="shared" si="12"/>
        <v>1.9278996865203762E-2</v>
      </c>
      <c r="AJ65" s="3">
        <f t="shared" si="12"/>
        <v>1.9412515964240099E-2</v>
      </c>
      <c r="AK65" s="3">
        <f t="shared" si="12"/>
        <v>1.9490254872563718E-2</v>
      </c>
      <c r="AL65" s="3">
        <f t="shared" si="12"/>
        <v>1.9515774027879677E-2</v>
      </c>
      <c r="AM65" s="3">
        <f t="shared" si="12"/>
        <v>1.9492337164750958E-2</v>
      </c>
      <c r="AN65" s="3">
        <f t="shared" si="12"/>
        <v>1.9422941590429278E-2</v>
      </c>
      <c r="AO65" s="3">
        <f t="shared" si="12"/>
        <v>1.9310344827586208E-2</v>
      </c>
      <c r="AP65" s="3">
        <f t="shared" si="12"/>
        <v>1.9157088122605366E-2</v>
      </c>
      <c r="AQ65" s="3">
        <f t="shared" si="12"/>
        <v>1.896551724137931E-2</v>
      </c>
      <c r="AR65" s="3">
        <f t="shared" si="12"/>
        <v>1.8737800910865323E-2</v>
      </c>
      <c r="AS65" s="3">
        <f t="shared" si="12"/>
        <v>1.8475947211579396E-2</v>
      </c>
      <c r="AT65" s="3">
        <f t="shared" si="12"/>
        <v>1.8181818181818181E-2</v>
      </c>
      <c r="AU65" s="3">
        <f t="shared" si="12"/>
        <v>1.7857142857142856E-2</v>
      </c>
    </row>
    <row r="66" spans="15:47" x14ac:dyDescent="0.25">
      <c r="O66" s="16"/>
      <c r="P66" s="2"/>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row>
    <row r="67" spans="15:47" x14ac:dyDescent="0.25">
      <c r="O67" s="16"/>
      <c r="P67" s="2"/>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row>
  </sheetData>
  <sheetProtection algorithmName="SHA-512" hashValue="FHiOqsujw1PMxnccp1tdxPpNiJyngjTKLKHzQcHSrdqKaAPU+Twg57+/7BQHq+NDfRwokxEp3SmEWA7hx9EB5Q==" saltValue="f/9DjE8J00EykXmHiLPbFA==" spinCount="100000" sheet="1" objects="1" scenarios="1" selectLockedCells="1"/>
  <mergeCells count="18">
    <mergeCell ref="O39:O65"/>
    <mergeCell ref="B1:E1"/>
    <mergeCell ref="B13:C13"/>
    <mergeCell ref="D13:E13"/>
    <mergeCell ref="O5:AU5"/>
    <mergeCell ref="C4:D4"/>
    <mergeCell ref="G1:I1"/>
    <mergeCell ref="C5:D5"/>
    <mergeCell ref="C7:D7"/>
    <mergeCell ref="C8:D8"/>
    <mergeCell ref="C10:D10"/>
    <mergeCell ref="C11:D11"/>
    <mergeCell ref="G2:G3"/>
    <mergeCell ref="G4:G5"/>
    <mergeCell ref="O7:O33"/>
    <mergeCell ref="Q37:AU37"/>
    <mergeCell ref="O36:AU36"/>
    <mergeCell ref="C6:D6"/>
  </mergeCells>
  <phoneticPr fontId="13" type="noConversion"/>
  <conditionalFormatting sqref="Q7:AU35 C12">
    <cfRule type="colorScale" priority="22">
      <colorScale>
        <cfvo type="min"/>
        <cfvo type="percentile" val="50"/>
        <cfvo type="max"/>
        <color rgb="FFF8696B"/>
        <color rgb="FFFFEB84"/>
        <color rgb="FF63BE7B"/>
      </colorScale>
    </cfRule>
  </conditionalFormatting>
  <conditionalFormatting sqref="C11">
    <cfRule type="colorScale" priority="4">
      <colorScale>
        <cfvo type="min"/>
        <cfvo type="percentile" val="50"/>
        <cfvo type="max"/>
        <color rgb="FFF8696B"/>
        <color rgb="FFFFEB84"/>
        <color rgb="FF63BE7B"/>
      </colorScale>
    </cfRule>
  </conditionalFormatting>
  <conditionalFormatting sqref="C8:C9">
    <cfRule type="colorScale" priority="3">
      <colorScale>
        <cfvo type="min"/>
        <cfvo type="percentile" val="50"/>
        <cfvo type="max"/>
        <color rgb="FFF8696B"/>
        <color rgb="FFFFEB84"/>
        <color rgb="FF63BE7B"/>
      </colorScale>
    </cfRule>
  </conditionalFormatting>
  <conditionalFormatting sqref="Q39:AU67">
    <cfRule type="colorScale" priority="2">
      <colorScale>
        <cfvo type="min"/>
        <cfvo type="percentile" val="50"/>
        <cfvo type="max"/>
        <color rgb="FFF8696B"/>
        <color rgb="FFFFEB84"/>
        <color rgb="FF63BE7B"/>
      </colorScale>
    </cfRule>
  </conditionalFormatting>
  <conditionalFormatting sqref="C5:C6">
    <cfRule type="colorScale" priority="1">
      <colorScale>
        <cfvo type="min"/>
        <cfvo type="percentile" val="50"/>
        <cfvo type="max"/>
        <color rgb="FFF8696B"/>
        <color rgb="FFFFEB84"/>
        <color rgb="FF63BE7B"/>
      </colorScale>
    </cfRule>
  </conditionalFormatting>
  <dataValidations count="3">
    <dataValidation type="whole" allowBlank="1" showInputMessage="1" showErrorMessage="1" sqref="E2" xr:uid="{8277D098-BDF7-492A-8C61-F38C8DDF810C}">
      <formula1>0</formula1>
      <formula2>26</formula2>
    </dataValidation>
    <dataValidation type="whole" allowBlank="1" showInputMessage="1" showErrorMessage="1" sqref="C2" xr:uid="{FB107E05-46E4-490E-9162-651D80C86C6A}">
      <formula1>0</formula1>
      <formula2>30</formula2>
    </dataValidation>
    <dataValidation type="whole" allowBlank="1" showInputMessage="1" showErrorMessage="1" sqref="E3" xr:uid="{E250F268-C7DD-4CC0-A0DA-B75A4576AD76}">
      <formula1>0</formula1>
      <formula2>28</formula2>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F5D36-35B4-4433-B283-E0A89D0764D5}">
  <sheetPr codeName="Hoja4"/>
  <dimension ref="B1:K26"/>
  <sheetViews>
    <sheetView showGridLines="0" zoomScale="70" zoomScaleNormal="70" workbookViewId="0">
      <selection activeCell="E22" sqref="E22"/>
    </sheetView>
  </sheetViews>
  <sheetFormatPr baseColWidth="10" defaultColWidth="8.85546875" defaultRowHeight="15" x14ac:dyDescent="0.25"/>
  <cols>
    <col min="1" max="1" width="8.85546875" style="69"/>
    <col min="2" max="7" width="15.7109375" style="69" customWidth="1"/>
    <col min="8" max="8" width="8.85546875" style="69"/>
    <col min="9" max="9" width="12.28515625" style="69" customWidth="1"/>
    <col min="10" max="16384" width="8.85546875" style="69"/>
  </cols>
  <sheetData>
    <row r="1" spans="2:11" x14ac:dyDescent="0.25">
      <c r="B1" s="94" t="s">
        <v>0</v>
      </c>
      <c r="C1" s="94"/>
      <c r="D1" s="94"/>
      <c r="E1" s="94"/>
      <c r="F1" s="94"/>
      <c r="G1" s="94"/>
      <c r="I1" s="95" t="s">
        <v>12</v>
      </c>
      <c r="J1" s="108"/>
    </row>
    <row r="2" spans="2:11" x14ac:dyDescent="0.25">
      <c r="B2" s="93" t="s">
        <v>1</v>
      </c>
      <c r="C2" s="93"/>
      <c r="D2" s="93" t="s">
        <v>3</v>
      </c>
      <c r="E2" s="93"/>
      <c r="F2" s="110" t="s">
        <v>5</v>
      </c>
      <c r="G2" s="110"/>
      <c r="I2" s="17" t="s">
        <v>13</v>
      </c>
      <c r="J2" s="8" t="str">
        <f ca="1">_xlfn.CONCAT("5.A.",RANDBETWEEN(1,10))</f>
        <v>5.A.1</v>
      </c>
      <c r="K2" s="7" t="str">
        <f ca="1">VLOOKUP(J2,ListadoDeTemas1[[Tema]:[Nombre del tema]],2,FALSE)</f>
        <v>Los regímenes de comercio exterior.</v>
      </c>
    </row>
    <row r="3" spans="2:11" x14ac:dyDescent="0.25">
      <c r="B3" s="1" t="s">
        <v>4</v>
      </c>
      <c r="C3" s="1" t="s">
        <v>2</v>
      </c>
      <c r="D3" s="1" t="s">
        <v>4</v>
      </c>
      <c r="E3" s="1" t="s">
        <v>2</v>
      </c>
      <c r="F3" s="1" t="s">
        <v>4</v>
      </c>
      <c r="G3" s="1" t="s">
        <v>2</v>
      </c>
      <c r="I3" s="17" t="s">
        <v>14</v>
      </c>
      <c r="J3" s="8" t="str">
        <f ca="1">_xlfn.CONCAT("5.B.",RANDBETWEEN(1,6))</f>
        <v>5.B.6</v>
      </c>
      <c r="K3" s="7" t="str">
        <f ca="1">VLOOKUP(J3,ListadoDeTemas1[[Tema]:[Nombre del tema]],2,FALSE)</f>
        <v>Datos de panel. Descripción del problema. El modelo de efectos fijos y de efectos aleatorios. Estimación.</v>
      </c>
    </row>
    <row r="4" spans="2:11" x14ac:dyDescent="0.25">
      <c r="B4" s="69">
        <v>10</v>
      </c>
      <c r="C4" s="70">
        <f>B4/10</f>
        <v>1</v>
      </c>
      <c r="D4" s="69">
        <v>6</v>
      </c>
      <c r="E4" s="70">
        <f>D4/6</f>
        <v>1</v>
      </c>
      <c r="F4" s="69">
        <v>15</v>
      </c>
      <c r="G4" s="70">
        <f>F4/15</f>
        <v>1</v>
      </c>
      <c r="I4" s="17" t="s">
        <v>14</v>
      </c>
      <c r="J4" s="8" t="str">
        <f ca="1">_xlfn.CONCAT("5.C.",RANDBETWEEN(1,15))</f>
        <v>5.C.11</v>
      </c>
      <c r="K4" s="7" t="str">
        <f ca="1">VLOOKUP(J4,ListadoDeTemas1[[Tema]:[Nombre del tema]],2,FALSE)</f>
        <v>El Gobierno, su Presidente y el Consejo de Ministros. La Ley de Régimen Jurídico del Sector Público. Objeto y ámbito de aplicación. Principios generales. Organización y funcionamiento de la Administración General del Estado. Organización Central. Órganos Superiores y Directivos. Los Ministerios y su estructura interna. La Organización territorial de la Administración General del Estado. Las Delegaciones y Subdelegaciones del Gobierno.</v>
      </c>
    </row>
    <row r="5" spans="2:11" x14ac:dyDescent="0.25">
      <c r="B5" s="69">
        <v>9</v>
      </c>
      <c r="C5" s="70">
        <f t="shared" ref="C5:C14" si="0">B5/10</f>
        <v>0.9</v>
      </c>
      <c r="D5" s="69">
        <v>5</v>
      </c>
      <c r="E5" s="70">
        <f t="shared" ref="E5:E10" si="1">D5/6</f>
        <v>0.83333333333333337</v>
      </c>
      <c r="F5" s="69">
        <v>14</v>
      </c>
      <c r="G5" s="70">
        <f t="shared" ref="G5:G19" si="2">F5/15</f>
        <v>0.93333333333333335</v>
      </c>
    </row>
    <row r="6" spans="2:11" x14ac:dyDescent="0.25">
      <c r="B6" s="69">
        <v>8</v>
      </c>
      <c r="C6" s="70">
        <f t="shared" si="0"/>
        <v>0.8</v>
      </c>
      <c r="D6" s="69">
        <v>4</v>
      </c>
      <c r="E6" s="70">
        <f t="shared" si="1"/>
        <v>0.66666666666666663</v>
      </c>
      <c r="F6" s="69">
        <v>13</v>
      </c>
      <c r="G6" s="70">
        <f t="shared" si="2"/>
        <v>0.8666666666666667</v>
      </c>
    </row>
    <row r="7" spans="2:11" x14ac:dyDescent="0.25">
      <c r="B7" s="69">
        <v>7</v>
      </c>
      <c r="C7" s="70">
        <f t="shared" si="0"/>
        <v>0.7</v>
      </c>
      <c r="D7" s="69">
        <v>3</v>
      </c>
      <c r="E7" s="70">
        <f t="shared" si="1"/>
        <v>0.5</v>
      </c>
      <c r="F7" s="69">
        <v>12</v>
      </c>
      <c r="G7" s="70">
        <f t="shared" si="2"/>
        <v>0.8</v>
      </c>
    </row>
    <row r="8" spans="2:11" x14ac:dyDescent="0.25">
      <c r="B8" s="69">
        <v>6</v>
      </c>
      <c r="C8" s="70">
        <f t="shared" si="0"/>
        <v>0.6</v>
      </c>
      <c r="D8" s="69">
        <v>2</v>
      </c>
      <c r="E8" s="70">
        <f t="shared" si="1"/>
        <v>0.33333333333333331</v>
      </c>
      <c r="F8" s="69">
        <v>11</v>
      </c>
      <c r="G8" s="70">
        <f t="shared" si="2"/>
        <v>0.73333333333333328</v>
      </c>
    </row>
    <row r="9" spans="2:11" x14ac:dyDescent="0.25">
      <c r="B9" s="69">
        <v>5</v>
      </c>
      <c r="C9" s="70">
        <f t="shared" si="0"/>
        <v>0.5</v>
      </c>
      <c r="D9" s="69">
        <v>1</v>
      </c>
      <c r="E9" s="70">
        <f t="shared" si="1"/>
        <v>0.16666666666666666</v>
      </c>
      <c r="F9" s="69">
        <v>10</v>
      </c>
      <c r="G9" s="70">
        <f t="shared" si="2"/>
        <v>0.66666666666666663</v>
      </c>
    </row>
    <row r="10" spans="2:11" x14ac:dyDescent="0.25">
      <c r="B10" s="69">
        <v>4</v>
      </c>
      <c r="C10" s="70">
        <f t="shared" si="0"/>
        <v>0.4</v>
      </c>
      <c r="D10" s="69">
        <v>0</v>
      </c>
      <c r="E10" s="70">
        <f t="shared" si="1"/>
        <v>0</v>
      </c>
      <c r="F10" s="69">
        <v>9</v>
      </c>
      <c r="G10" s="70">
        <f t="shared" si="2"/>
        <v>0.6</v>
      </c>
    </row>
    <row r="11" spans="2:11" x14ac:dyDescent="0.25">
      <c r="B11" s="69">
        <v>3</v>
      </c>
      <c r="C11" s="70">
        <f t="shared" si="0"/>
        <v>0.3</v>
      </c>
      <c r="E11" s="70"/>
      <c r="F11" s="69">
        <v>8</v>
      </c>
      <c r="G11" s="70">
        <f t="shared" si="2"/>
        <v>0.53333333333333333</v>
      </c>
    </row>
    <row r="12" spans="2:11" x14ac:dyDescent="0.25">
      <c r="B12" s="69">
        <v>2</v>
      </c>
      <c r="C12" s="70">
        <f t="shared" si="0"/>
        <v>0.2</v>
      </c>
      <c r="E12" s="70"/>
      <c r="F12" s="69">
        <v>7</v>
      </c>
      <c r="G12" s="70">
        <f t="shared" si="2"/>
        <v>0.46666666666666667</v>
      </c>
    </row>
    <row r="13" spans="2:11" x14ac:dyDescent="0.25">
      <c r="B13" s="69">
        <v>1</v>
      </c>
      <c r="C13" s="70">
        <f t="shared" si="0"/>
        <v>0.1</v>
      </c>
      <c r="F13" s="69">
        <v>6</v>
      </c>
      <c r="G13" s="70">
        <f t="shared" si="2"/>
        <v>0.4</v>
      </c>
    </row>
    <row r="14" spans="2:11" x14ac:dyDescent="0.25">
      <c r="B14" s="69">
        <v>0</v>
      </c>
      <c r="C14" s="70">
        <f t="shared" si="0"/>
        <v>0</v>
      </c>
      <c r="F14" s="69">
        <v>5</v>
      </c>
      <c r="G14" s="70">
        <f t="shared" si="2"/>
        <v>0.33333333333333331</v>
      </c>
    </row>
    <row r="15" spans="2:11" x14ac:dyDescent="0.25">
      <c r="F15" s="69">
        <v>4</v>
      </c>
      <c r="G15" s="70">
        <f t="shared" si="2"/>
        <v>0.26666666666666666</v>
      </c>
    </row>
    <row r="16" spans="2:11" x14ac:dyDescent="0.25">
      <c r="F16" s="69">
        <v>3</v>
      </c>
      <c r="G16" s="70">
        <f t="shared" si="2"/>
        <v>0.2</v>
      </c>
    </row>
    <row r="17" spans="2:7" x14ac:dyDescent="0.25">
      <c r="F17" s="69">
        <v>2</v>
      </c>
      <c r="G17" s="70">
        <f t="shared" si="2"/>
        <v>0.13333333333333333</v>
      </c>
    </row>
    <row r="18" spans="2:7" x14ac:dyDescent="0.25">
      <c r="F18" s="69">
        <v>1</v>
      </c>
      <c r="G18" s="70">
        <f t="shared" si="2"/>
        <v>6.6666666666666666E-2</v>
      </c>
    </row>
    <row r="19" spans="2:7" x14ac:dyDescent="0.25">
      <c r="F19" s="69">
        <v>0</v>
      </c>
      <c r="G19" s="70">
        <f t="shared" si="2"/>
        <v>0</v>
      </c>
    </row>
    <row r="20" spans="2:7" x14ac:dyDescent="0.25">
      <c r="B20" s="109" t="s">
        <v>8</v>
      </c>
      <c r="C20" s="109"/>
      <c r="D20" s="109"/>
      <c r="E20" s="109"/>
      <c r="F20" s="109"/>
      <c r="G20" s="109"/>
    </row>
    <row r="21" spans="2:7" x14ac:dyDescent="0.25">
      <c r="B21" s="109"/>
      <c r="C21" s="109"/>
      <c r="D21" s="109"/>
      <c r="E21" s="109"/>
      <c r="F21" s="109"/>
      <c r="G21" s="109"/>
    </row>
    <row r="22" spans="2:7" x14ac:dyDescent="0.25">
      <c r="D22" s="71" t="s">
        <v>9</v>
      </c>
      <c r="E22" s="27">
        <v>10</v>
      </c>
      <c r="G22" s="70"/>
    </row>
    <row r="23" spans="2:7" x14ac:dyDescent="0.25">
      <c r="D23" s="71" t="s">
        <v>10</v>
      </c>
      <c r="E23" s="28">
        <v>6</v>
      </c>
      <c r="G23" s="70"/>
    </row>
    <row r="24" spans="2:7" x14ac:dyDescent="0.25">
      <c r="D24" s="72" t="s">
        <v>126</v>
      </c>
      <c r="E24" s="28">
        <v>0</v>
      </c>
      <c r="G24" s="70"/>
    </row>
    <row r="25" spans="2:7" ht="15.75" thickBot="1" x14ac:dyDescent="0.3"/>
    <row r="26" spans="2:7" ht="15.75" thickBot="1" x14ac:dyDescent="0.3">
      <c r="D26" s="73" t="s">
        <v>11</v>
      </c>
      <c r="E26" s="74">
        <f>MAX((VLOOKUP($E$22,$B$4:$C$14,2,FALSE)*VLOOKUP($E$23,$D$4:$E$12,2,FALSE)),(VLOOKUP($E$22,$B$4:$C$14,2,FALSE)*VLOOKUP($E$24,$F$4:$G$19,2,FALSE)),(VLOOKUP($E$23,$D$4:$E$12,2,FALSE)*VLOOKUP($E$24,$F$4:$G$19,2,FALSE)))</f>
        <v>1</v>
      </c>
    </row>
  </sheetData>
  <sheetProtection algorithmName="SHA-512" hashValue="+xp7MuZBAycfdAWmVS5bn3PZoinytowQdJkrn9wKvPTFCy+AV2zaJm6np0azW6/DYmfWdQio0Jc7lHNDVql++w==" saltValue="WRxyKmvGai93OBtc9H/WAQ==" spinCount="100000" sheet="1" objects="1" scenarios="1" selectLockedCells="1"/>
  <mergeCells count="6">
    <mergeCell ref="B20:G21"/>
    <mergeCell ref="I1:J1"/>
    <mergeCell ref="B2:C2"/>
    <mergeCell ref="D2:E2"/>
    <mergeCell ref="B1:G1"/>
    <mergeCell ref="F2:G2"/>
  </mergeCells>
  <conditionalFormatting sqref="E26">
    <cfRule type="colorScale" priority="1">
      <colorScale>
        <cfvo type="num" val="0"/>
        <cfvo type="num" val="0.5"/>
        <cfvo type="num" val="1"/>
        <color rgb="FFF8696B"/>
        <color rgb="FFFFEB84"/>
        <color rgb="FF63BE7B"/>
      </colorScale>
    </cfRule>
  </conditionalFormatting>
  <dataValidations count="3">
    <dataValidation type="whole" allowBlank="1" showInputMessage="1" showErrorMessage="1" sqref="E22" xr:uid="{EFCD0B92-669D-4C9B-A4CF-7C069C5A47DA}">
      <formula1>0</formula1>
      <formula2>10</formula2>
    </dataValidation>
    <dataValidation type="whole" allowBlank="1" showInputMessage="1" showErrorMessage="1" sqref="E23" xr:uid="{94D81F3B-41C6-4583-B7E5-F3768FF080DD}">
      <formula1>0</formula1>
      <formula2>8</formula2>
    </dataValidation>
    <dataValidation type="whole" allowBlank="1" showInputMessage="1" showErrorMessage="1" sqref="E24" xr:uid="{BD1E7981-E571-4DB8-99AD-E6720ED9581D}">
      <formula1>0</formula1>
      <formula2>15</formula2>
    </dataValidation>
  </dataValidations>
  <pageMargins left="0.7" right="0.7" top="0.75" bottom="0.75" header="0.3" footer="0.3"/>
  <pageSetup paperSize="9" orientation="portrait" r:id="rId1"/>
  <ignoredErrors>
    <ignoredError sqref="K3 K2" unlockedFormula="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E634A-BB41-4061-B79D-4A0B7AC72DAD}">
  <sheetPr codeName="Hoja7"/>
  <dimension ref="B2:G13"/>
  <sheetViews>
    <sheetView showGridLines="0" workbookViewId="0">
      <selection activeCell="C11" sqref="C11"/>
    </sheetView>
  </sheetViews>
  <sheetFormatPr baseColWidth="10" defaultColWidth="11.5703125" defaultRowHeight="15" x14ac:dyDescent="0.25"/>
  <cols>
    <col min="1" max="1" width="8.28515625" style="1" customWidth="1"/>
    <col min="2" max="2" width="36.28515625" style="1" customWidth="1"/>
    <col min="3" max="4" width="13.85546875" style="1" customWidth="1"/>
    <col min="5" max="5" width="16.7109375" style="1" bestFit="1" customWidth="1"/>
    <col min="6" max="6" width="41.7109375" style="1" customWidth="1"/>
    <col min="7" max="7" width="22.28515625" style="1" bestFit="1" customWidth="1"/>
    <col min="8" max="16384" width="11.5703125" style="1"/>
  </cols>
  <sheetData>
    <row r="2" spans="2:7" ht="15.75" thickBot="1" x14ac:dyDescent="0.3">
      <c r="C2" s="1" t="s">
        <v>19</v>
      </c>
      <c r="F2" s="1" t="s">
        <v>125</v>
      </c>
      <c r="G2" s="1" t="s">
        <v>130</v>
      </c>
    </row>
    <row r="3" spans="2:7" ht="15.75" thickBot="1" x14ac:dyDescent="0.3">
      <c r="B3" s="7" t="s">
        <v>20</v>
      </c>
      <c r="C3" s="26">
        <v>38</v>
      </c>
      <c r="D3" s="75"/>
      <c r="F3" s="122">
        <f>$D$5/SUM($C$3:$C$4)</f>
        <v>1.2605601469237832E-2</v>
      </c>
      <c r="G3" s="111">
        <f>$D$5/SUM($C$3:$C$4)/MAX('Ej. 3'!$Q$59:$BI$105)</f>
        <v>0.94645216891697803</v>
      </c>
    </row>
    <row r="4" spans="2:7" ht="15.75" thickBot="1" x14ac:dyDescent="0.3">
      <c r="B4" s="7" t="s">
        <v>21</v>
      </c>
      <c r="C4" s="26">
        <v>38</v>
      </c>
      <c r="D4" s="75"/>
      <c r="E4" s="76"/>
      <c r="F4" s="123"/>
      <c r="G4" s="112"/>
    </row>
    <row r="5" spans="2:7" ht="15" customHeight="1" thickBot="1" x14ac:dyDescent="0.3">
      <c r="B5" s="120" t="s">
        <v>22</v>
      </c>
      <c r="C5" s="121"/>
      <c r="D5" s="76">
        <f>VLOOKUP($C$4,'Ej. 3'!$P$8:$BI$55,$C$3+2,FALSE)</f>
        <v>0.95802571166207529</v>
      </c>
      <c r="E5" s="76"/>
      <c r="F5" s="76"/>
    </row>
    <row r="6" spans="2:7" ht="15.75" thickBot="1" x14ac:dyDescent="0.3">
      <c r="B6" s="7" t="s">
        <v>24</v>
      </c>
      <c r="C6" s="26">
        <v>26</v>
      </c>
      <c r="F6" s="124">
        <f>$D$8/SUM($C$6:$C$7)</f>
        <v>1.9940886699507387E-2</v>
      </c>
      <c r="G6" s="113">
        <f>$D$8/SUM($C$6:$C$7)/MAX('Ej. 4'!$Q$39:$AU$67)</f>
        <v>0.92414080183156844</v>
      </c>
    </row>
    <row r="7" spans="2:7" ht="15.75" thickBot="1" x14ac:dyDescent="0.3">
      <c r="B7" s="7" t="s">
        <v>23</v>
      </c>
      <c r="C7" s="26">
        <v>23</v>
      </c>
      <c r="F7" s="125"/>
      <c r="G7" s="114"/>
    </row>
    <row r="8" spans="2:7" ht="15" customHeight="1" thickBot="1" x14ac:dyDescent="0.3">
      <c r="B8" s="120" t="s">
        <v>25</v>
      </c>
      <c r="C8" s="121"/>
      <c r="D8" s="76">
        <f>VLOOKUP($C$7,'Ej. 4'!$P$6:'Ej. 4'!$AU$35,$C$6+2,FALSE)</f>
        <v>0.97710344827586204</v>
      </c>
      <c r="E8" s="76"/>
      <c r="F8" s="76"/>
    </row>
    <row r="9" spans="2:7" ht="15.75" thickBot="1" x14ac:dyDescent="0.3">
      <c r="B9" s="7" t="s">
        <v>27</v>
      </c>
      <c r="C9" s="26">
        <v>10</v>
      </c>
      <c r="F9" s="113">
        <f>$D$12/SUM($C$9:$C$11)</f>
        <v>6.25E-2</v>
      </c>
      <c r="G9" s="111">
        <f>$D$12/SUM($C$9:$C$11)/0.0625</f>
        <v>1</v>
      </c>
    </row>
    <row r="10" spans="2:7" ht="15.75" thickBot="1" x14ac:dyDescent="0.3">
      <c r="B10" s="7" t="s">
        <v>29</v>
      </c>
      <c r="C10" s="26">
        <v>6</v>
      </c>
      <c r="F10" s="126"/>
      <c r="G10" s="115"/>
    </row>
    <row r="11" spans="2:7" ht="15.75" thickBot="1" x14ac:dyDescent="0.3">
      <c r="B11" s="7" t="s">
        <v>28</v>
      </c>
      <c r="C11" s="26">
        <v>0</v>
      </c>
      <c r="F11" s="114"/>
      <c r="G11" s="112"/>
    </row>
    <row r="12" spans="2:7" ht="15" customHeight="1" thickBot="1" x14ac:dyDescent="0.3">
      <c r="B12" s="118" t="s">
        <v>26</v>
      </c>
      <c r="C12" s="119"/>
      <c r="D12" s="76">
        <f>MAX((VLOOKUP($C$9,'Ej. 5'!$B$4:$C$14,2,FALSE)*VLOOKUP($C$10,'Ej. 5'!$D$4:$E$12,2,FALSE)),(VLOOKUP($C$9,'Ej. 5'!$B$4:$C$14,2,FALSE)*VLOOKUP($C$11,'Ej. 5'!$F$4:$G$19,2,FALSE)),(VLOOKUP($C$10,'Ej. 5'!$D$4:$E$12,2,FALSE)*VLOOKUP($C$11,'Ej. 5'!$F$4:$G$19,2,FALSE)))</f>
        <v>1</v>
      </c>
      <c r="E12" s="76"/>
    </row>
    <row r="13" spans="2:7" ht="25.9" customHeight="1" thickBot="1" x14ac:dyDescent="0.3">
      <c r="B13" s="116" t="s">
        <v>30</v>
      </c>
      <c r="C13" s="117"/>
      <c r="D13" s="117"/>
      <c r="E13" s="77">
        <f>D5*D8*D12</f>
        <v>0.9360902264019505</v>
      </c>
      <c r="F13" s="78">
        <f>E13/SUM(C3:C4,C6:C7,C9:C11)</f>
        <v>6.638937775900358E-3</v>
      </c>
      <c r="G13" s="79">
        <f>F13/0.00663893777590036</f>
        <v>0.99999999999999978</v>
      </c>
    </row>
  </sheetData>
  <sheetProtection algorithmName="SHA-512" hashValue="ZLetdKOgBqMAjlk5tSGgF8sMW3A4L+oRLhywcTeZxhbn5aIyQ0yfBkz3UFWzB2S2g0Ny9ttb0EPkKR8oR4AnYg==" saltValue="Hq7/xsO6Xdi3g5SFhOXR6Q==" spinCount="100000" sheet="1" objects="1" scenarios="1" selectLockedCells="1"/>
  <mergeCells count="10">
    <mergeCell ref="G3:G4"/>
    <mergeCell ref="G6:G7"/>
    <mergeCell ref="G9:G11"/>
    <mergeCell ref="B13:D13"/>
    <mergeCell ref="B12:C12"/>
    <mergeCell ref="B8:C8"/>
    <mergeCell ref="B5:C5"/>
    <mergeCell ref="F3:F4"/>
    <mergeCell ref="F6:F7"/>
    <mergeCell ref="F9:F11"/>
  </mergeCells>
  <dataValidations count="7">
    <dataValidation type="whole" allowBlank="1" showInputMessage="1" showErrorMessage="1" sqref="C3:D3" xr:uid="{C56DDAA9-4743-4989-ABF0-907727757092}">
      <formula1>0</formula1>
      <formula2>44</formula2>
    </dataValidation>
    <dataValidation type="whole" allowBlank="1" showInputMessage="1" showErrorMessage="1" sqref="C4:D4" xr:uid="{4B7CEE30-0084-487D-89BF-78D0CCC2853F}">
      <formula1>0</formula1>
      <formula2>46</formula2>
    </dataValidation>
    <dataValidation type="whole" allowBlank="1" showInputMessage="1" showErrorMessage="1" sqref="C6" xr:uid="{D3F25BCF-F7EF-40C6-A09D-8472C5A72C8B}">
      <formula1>0</formula1>
      <formula2>30</formula2>
    </dataValidation>
    <dataValidation type="whole" allowBlank="1" showInputMessage="1" showErrorMessage="1" sqref="C7" xr:uid="{B7000CB6-1E86-475D-8431-886AEF0CBD8B}">
      <formula1>0</formula1>
      <formula2>28</formula2>
    </dataValidation>
    <dataValidation type="whole" allowBlank="1" showInputMessage="1" showErrorMessage="1" sqref="C11" xr:uid="{8437DDEE-16B4-4C1C-B867-7DDE74B79DC2}">
      <formula1>0</formula1>
      <formula2>15</formula2>
    </dataValidation>
    <dataValidation type="whole" allowBlank="1" showInputMessage="1" showErrorMessage="1" sqref="C10" xr:uid="{7FDF8784-3C14-4BCE-A8F7-F4B88EBC7920}">
      <formula1>0</formula1>
      <formula2>8</formula2>
    </dataValidation>
    <dataValidation type="whole" allowBlank="1" showInputMessage="1" showErrorMessage="1" sqref="C9" xr:uid="{711B2E0E-780D-4B5A-A0E4-BFB0862DA0C9}">
      <formula1>0</formula1>
      <formula2>10</formula2>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BD310-6557-447B-9A4F-724E8D9A6978}">
  <sheetPr codeName="Hoja26"/>
  <dimension ref="A1:Z57"/>
  <sheetViews>
    <sheetView showGridLines="0" showRowColHeaders="0" zoomScaleNormal="100" workbookViewId="0">
      <selection sqref="A1:Z57"/>
    </sheetView>
  </sheetViews>
  <sheetFormatPr baseColWidth="10" defaultColWidth="0" defaultRowHeight="13.9" customHeight="1" zeroHeight="1" x14ac:dyDescent="0.25"/>
  <cols>
    <col min="1" max="26" width="11.5703125" style="18" customWidth="1"/>
    <col min="27" max="16384" width="11.5703125" style="18" hidden="1"/>
  </cols>
  <sheetData>
    <row r="1" spans="2:9" ht="15" x14ac:dyDescent="0.25">
      <c r="B1" s="106" t="s">
        <v>187</v>
      </c>
      <c r="C1" s="106"/>
      <c r="D1" s="106"/>
      <c r="E1" s="106"/>
      <c r="F1" s="106"/>
      <c r="G1" s="106"/>
      <c r="H1" s="106"/>
      <c r="I1" s="106"/>
    </row>
    <row r="2" spans="2:9" ht="15" x14ac:dyDescent="0.25">
      <c r="B2" s="106"/>
      <c r="C2" s="106"/>
      <c r="D2" s="106"/>
      <c r="E2" s="106"/>
      <c r="F2" s="106"/>
      <c r="G2" s="106"/>
      <c r="H2" s="106"/>
      <c r="I2" s="106"/>
    </row>
    <row r="3" spans="2:9" ht="15" x14ac:dyDescent="0.25">
      <c r="B3" s="106"/>
      <c r="C3" s="106"/>
      <c r="D3" s="106"/>
      <c r="E3" s="106"/>
      <c r="F3" s="106"/>
      <c r="G3" s="106"/>
      <c r="H3" s="106"/>
      <c r="I3" s="106"/>
    </row>
    <row r="4" spans="2:9" ht="15" x14ac:dyDescent="0.25">
      <c r="B4" s="106"/>
      <c r="C4" s="106"/>
      <c r="D4" s="106"/>
      <c r="E4" s="106"/>
      <c r="F4" s="106"/>
      <c r="G4" s="106"/>
      <c r="H4" s="106"/>
      <c r="I4" s="106"/>
    </row>
    <row r="5" spans="2:9" ht="15" x14ac:dyDescent="0.25"/>
    <row r="6" spans="2:9" ht="15" x14ac:dyDescent="0.25"/>
    <row r="7" spans="2:9" ht="15" x14ac:dyDescent="0.25"/>
    <row r="8" spans="2:9" ht="15" x14ac:dyDescent="0.25"/>
    <row r="9" spans="2:9" ht="15" x14ac:dyDescent="0.25"/>
    <row r="10" spans="2:9" ht="15" x14ac:dyDescent="0.25"/>
    <row r="11" spans="2:9" ht="15" x14ac:dyDescent="0.25"/>
    <row r="12" spans="2:9" ht="15" x14ac:dyDescent="0.25"/>
    <row r="13" spans="2:9" ht="15" x14ac:dyDescent="0.25"/>
    <row r="14" spans="2:9" ht="15" x14ac:dyDescent="0.25"/>
    <row r="15" spans="2:9" ht="15" x14ac:dyDescent="0.25"/>
    <row r="16" spans="2:9" ht="15" x14ac:dyDescent="0.25"/>
    <row r="17" ht="15" x14ac:dyDescent="0.25"/>
    <row r="18" ht="15" x14ac:dyDescent="0.25"/>
    <row r="19" ht="15" x14ac:dyDescent="0.25"/>
    <row r="20" ht="15" x14ac:dyDescent="0.25"/>
    <row r="21" ht="15" x14ac:dyDescent="0.25"/>
    <row r="22" ht="15" x14ac:dyDescent="0.25"/>
    <row r="23" ht="15" x14ac:dyDescent="0.25"/>
    <row r="24" ht="15" x14ac:dyDescent="0.25"/>
    <row r="25" ht="15" x14ac:dyDescent="0.25"/>
    <row r="26" ht="15" x14ac:dyDescent="0.25"/>
    <row r="27" ht="15" x14ac:dyDescent="0.25"/>
    <row r="28" ht="15" x14ac:dyDescent="0.25"/>
    <row r="29" ht="15" x14ac:dyDescent="0.25"/>
    <row r="30" ht="15" x14ac:dyDescent="0.25"/>
    <row r="31" ht="15" x14ac:dyDescent="0.25"/>
    <row r="3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sheetData>
  <sheetProtection algorithmName="SHA-512" hashValue="lUHCjcA/qjRoHtnlnXzz2LKSAddYetyE4DDtCb2ZIVe8aJix5pl0QmTNPfZTmN23sCpn1Yd5qUNSzRCAl7mK6Q==" saltValue="kVCUzTSXkQH8Ua3BG9DiJQ==" spinCount="100000" sheet="1" objects="1" scenarios="1" selectLockedCells="1" selectUnlockedCells="1"/>
  <mergeCells count="1">
    <mergeCell ref="B1:I4"/>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0102-BEBF-4E4E-B96E-94930BFD165A}">
  <sheetPr codeName="Hoja5"/>
  <dimension ref="A1:AB42"/>
  <sheetViews>
    <sheetView showGridLines="0" zoomScale="90" workbookViewId="0">
      <selection activeCell="C2" sqref="C2:M2"/>
    </sheetView>
  </sheetViews>
  <sheetFormatPr baseColWidth="10" defaultColWidth="0" defaultRowHeight="15" zeroHeight="1" x14ac:dyDescent="0.25"/>
  <cols>
    <col min="1" max="1" width="11.5703125" style="24" customWidth="1"/>
    <col min="2" max="2" width="1.7109375" style="24" customWidth="1"/>
    <col min="3" max="13" width="16.7109375" style="24" customWidth="1"/>
    <col min="14" max="28" width="11.5703125" style="24" customWidth="1"/>
    <col min="29" max="16384" width="11.5703125" style="24" hidden="1"/>
  </cols>
  <sheetData>
    <row r="1" spans="1:28" s="9" customFormat="1" ht="41.45" customHeight="1" thickBot="1" x14ac:dyDescent="0.3">
      <c r="A1" s="24"/>
      <c r="B1" s="24"/>
      <c r="C1" s="24"/>
      <c r="D1" s="24"/>
      <c r="E1" s="24"/>
      <c r="F1" s="24"/>
      <c r="G1" s="24"/>
      <c r="H1" s="24"/>
      <c r="I1" s="24"/>
      <c r="J1" s="24"/>
      <c r="K1" s="24"/>
      <c r="L1" s="24"/>
      <c r="M1" s="24"/>
      <c r="N1" s="24"/>
      <c r="O1" s="24"/>
      <c r="P1" s="24"/>
      <c r="Q1" s="24"/>
      <c r="R1" s="24"/>
      <c r="S1" s="24"/>
      <c r="T1" s="24"/>
      <c r="U1" s="24"/>
      <c r="V1" s="24"/>
      <c r="W1" s="24"/>
      <c r="X1" s="24"/>
      <c r="Y1" s="24"/>
      <c r="Z1" s="24"/>
      <c r="AA1" s="24"/>
      <c r="AB1" s="24"/>
    </row>
    <row r="2" spans="1:28" ht="15.75" thickBot="1" x14ac:dyDescent="0.3">
      <c r="C2" s="130" t="s">
        <v>17</v>
      </c>
      <c r="D2" s="131"/>
      <c r="E2" s="131"/>
      <c r="F2" s="131"/>
      <c r="G2" s="131"/>
      <c r="H2" s="131"/>
      <c r="I2" s="131"/>
      <c r="J2" s="131"/>
      <c r="K2" s="131"/>
      <c r="L2" s="131"/>
      <c r="M2" s="132"/>
    </row>
    <row r="3" spans="1:28" x14ac:dyDescent="0.25">
      <c r="C3" s="151" t="s">
        <v>15</v>
      </c>
      <c r="D3" s="152"/>
      <c r="E3" s="152"/>
      <c r="F3" s="153"/>
      <c r="G3" s="151" t="s">
        <v>18</v>
      </c>
      <c r="H3" s="152"/>
      <c r="I3" s="152"/>
      <c r="J3" s="153"/>
      <c r="K3" s="151" t="s">
        <v>16</v>
      </c>
      <c r="L3" s="152"/>
      <c r="M3" s="153"/>
    </row>
    <row r="4" spans="1:28" x14ac:dyDescent="0.25">
      <c r="C4" s="133" t="str">
        <f ca="1">'Ej. 3'!$I$2</f>
        <v>3.A.11</v>
      </c>
      <c r="D4" s="143" t="str">
        <f ca="1">'Ej. 3'!I3</f>
        <v>3.A.14</v>
      </c>
      <c r="E4" s="145" t="str">
        <f ca="1">'Ej. 3'!I4</f>
        <v>3.B.12</v>
      </c>
      <c r="F4" s="135" t="str">
        <f ca="1">'Ej. 3'!$I$5</f>
        <v>3.B.4</v>
      </c>
      <c r="G4" s="133" t="str">
        <f ca="1">'Ej. 4'!$I$2</f>
        <v>4.A.21</v>
      </c>
      <c r="H4" s="143" t="str">
        <f ca="1">'Ej. 4'!$I$3</f>
        <v>4.A.9</v>
      </c>
      <c r="I4" s="145" t="str">
        <f ca="1">'Ej. 4'!$I$4</f>
        <v>4.B.18</v>
      </c>
      <c r="J4" s="135" t="str">
        <f ca="1">'Ej. 4'!$I$5</f>
        <v>4.B.14</v>
      </c>
      <c r="K4" s="141" t="str">
        <f ca="1">'Ej. 5'!J2</f>
        <v>5.A.1</v>
      </c>
      <c r="L4" s="139" t="str">
        <f ca="1">'Ej. 5'!J3</f>
        <v>5.B.6</v>
      </c>
      <c r="M4" s="137" t="str">
        <f ca="1">'Ej. 5'!J4</f>
        <v>5.C.11</v>
      </c>
    </row>
    <row r="5" spans="1:28" ht="15.75" thickBot="1" x14ac:dyDescent="0.3">
      <c r="C5" s="134"/>
      <c r="D5" s="144"/>
      <c r="E5" s="146"/>
      <c r="F5" s="136"/>
      <c r="G5" s="134"/>
      <c r="H5" s="144"/>
      <c r="I5" s="146"/>
      <c r="J5" s="136"/>
      <c r="K5" s="142"/>
      <c r="L5" s="140"/>
      <c r="M5" s="138"/>
    </row>
    <row r="6" spans="1:28" ht="10.15" customHeight="1" thickBot="1" x14ac:dyDescent="0.3">
      <c r="C6" s="110"/>
      <c r="D6" s="110"/>
      <c r="E6" s="110"/>
      <c r="F6" s="110"/>
      <c r="G6" s="110"/>
      <c r="H6" s="110"/>
      <c r="I6" s="110"/>
      <c r="J6" s="110"/>
      <c r="K6" s="110"/>
      <c r="L6" s="110"/>
      <c r="M6" s="110"/>
    </row>
    <row r="7" spans="1:28" ht="43.9" customHeight="1" x14ac:dyDescent="0.25">
      <c r="C7" s="127" t="s">
        <v>15</v>
      </c>
      <c r="D7" s="29" t="str">
        <f ca="1">C4</f>
        <v>3.A.11</v>
      </c>
      <c r="E7" s="147" t="str">
        <f ca="1">IF(VLOOKUP(D7,'Listado de temas'!$E$3:$F$179,2,FALSE)=0,"",VLOOKUP(D7,'Listado de temas'!$E$3:$F$179,2,FALSE))</f>
        <v xml:space="preserve">Teoría de la producción. Caracterización de la tecnología de la empresa a corto y largo plazo. El conjunto de posibilidades de producción. La función de producción. Rendimientos locales y globales a escala. Elasticidad de sustitución. Producción conjunta. </v>
      </c>
      <c r="F7" s="147"/>
      <c r="G7" s="147"/>
      <c r="H7" s="147"/>
      <c r="I7" s="147"/>
      <c r="J7" s="147"/>
      <c r="K7" s="147"/>
      <c r="L7" s="147"/>
      <c r="M7" s="148"/>
    </row>
    <row r="8" spans="1:28" ht="43.9" customHeight="1" x14ac:dyDescent="0.25">
      <c r="C8" s="128"/>
      <c r="D8" s="30" t="str">
        <f ca="1">D4</f>
        <v>3.A.14</v>
      </c>
      <c r="E8" s="154" t="str">
        <f ca="1">IF(VLOOKUP(D8,'Listado de temas'!$E$3:$F$179,2,FALSE)=0,"",VLOOKUP(D8,'Listado de temas'!$E$3:$F$179,2,FALSE))</f>
        <v>Teoría de juegos. Principales conceptos. Aplicaciones, con especial referencia a las subastas.</v>
      </c>
      <c r="F8" s="154"/>
      <c r="G8" s="154"/>
      <c r="H8" s="154"/>
      <c r="I8" s="154"/>
      <c r="J8" s="154"/>
      <c r="K8" s="154"/>
      <c r="L8" s="154"/>
      <c r="M8" s="155"/>
    </row>
    <row r="9" spans="1:28" ht="43.9" customHeight="1" x14ac:dyDescent="0.25">
      <c r="C9" s="128"/>
      <c r="D9" s="31" t="str">
        <f ca="1">E4</f>
        <v>3.B.12</v>
      </c>
      <c r="E9" s="156" t="str">
        <f ca="1">IF(VLOOKUP(D9,'Listado de temas'!$E$3:$F$179,2,FALSE)=0,"",VLOOKUP(D9,'Listado de temas'!$E$3:$F$179,2,FALSE))</f>
        <v>Mecanismos de ajuste de la balanza de pagos. Especial referencia al enfoque intertemporal de balanza de pagos. Análisis de sostenibilidad del déficit y de la deuda exterior.</v>
      </c>
      <c r="F9" s="156"/>
      <c r="G9" s="156"/>
      <c r="H9" s="156"/>
      <c r="I9" s="156"/>
      <c r="J9" s="156"/>
      <c r="K9" s="156"/>
      <c r="L9" s="156"/>
      <c r="M9" s="157"/>
    </row>
    <row r="10" spans="1:28" ht="43.9" customHeight="1" thickBot="1" x14ac:dyDescent="0.3">
      <c r="C10" s="129"/>
      <c r="D10" s="1" t="str">
        <f ca="1">'Ej. 3'!$I$5</f>
        <v>3.B.4</v>
      </c>
      <c r="E10" s="149" t="str">
        <f ca="1">IF(VLOOKUP(D10,'Listado de temas'!$E$3:$F$179,2,FALSE)=0,"",VLOOKUP(D10,'Listado de temas'!$E$3:$F$179,2,FALSE))</f>
        <v>Análisis del crecimiento de la empresa. Métodos de valoración de empresas. Especial referencia a los procesos de fusión, adquisición y alianzas estratégicas.</v>
      </c>
      <c r="F10" s="149"/>
      <c r="G10" s="149"/>
      <c r="H10" s="149"/>
      <c r="I10" s="149"/>
      <c r="J10" s="149"/>
      <c r="K10" s="149"/>
      <c r="L10" s="149"/>
      <c r="M10" s="150"/>
    </row>
    <row r="11" spans="1:28" ht="43.9" customHeight="1" x14ac:dyDescent="0.25">
      <c r="C11" s="127" t="s">
        <v>18</v>
      </c>
      <c r="D11" s="29" t="str">
        <f ca="1">G4</f>
        <v>4.A.21</v>
      </c>
      <c r="E11" s="147" t="str">
        <f ca="1">IF(VLOOKUP(D11,'Listado de temas'!$E$3:$F$179,2,FALSE)=0,"",VLOOKUP(D11,'Listado de temas'!$E$3:$F$179,2,FALSE))</f>
        <v>Análisis de la evolución de la balanza de pagos y de la Posición de Inversión Internacional de España desde la adopción del euro. Posición neta del Banco de España frente al Eurosistema. La sostenibilidad externa.</v>
      </c>
      <c r="F11" s="147"/>
      <c r="G11" s="147"/>
      <c r="H11" s="147"/>
      <c r="I11" s="147"/>
      <c r="J11" s="147"/>
      <c r="K11" s="147"/>
      <c r="L11" s="147"/>
      <c r="M11" s="148"/>
    </row>
    <row r="12" spans="1:28" ht="43.9" customHeight="1" x14ac:dyDescent="0.25">
      <c r="C12" s="128"/>
      <c r="D12" s="30" t="str">
        <f ca="1">H4</f>
        <v>4.A.9</v>
      </c>
      <c r="E12" s="154" t="str">
        <f ca="1">IF(VLOOKUP(D12,'Listado de temas'!$E$3:$F$179,2,FALSE)=0,"",VLOOKUP(D12,'Listado de temas'!$E$3:$F$179,2,FALSE))</f>
        <v>Análisis de la industria en España. Características y situación actual. Los retos de la industria y la política industrial en España en el contexto de las economías desarrolladas. La estrategia de la UE.</v>
      </c>
      <c r="F12" s="154"/>
      <c r="G12" s="154"/>
      <c r="H12" s="154"/>
      <c r="I12" s="154"/>
      <c r="J12" s="154"/>
      <c r="K12" s="154"/>
      <c r="L12" s="154"/>
      <c r="M12" s="155"/>
    </row>
    <row r="13" spans="1:28" ht="43.9" customHeight="1" x14ac:dyDescent="0.25">
      <c r="C13" s="128"/>
      <c r="D13" s="31" t="str">
        <f ca="1">I4</f>
        <v>4.B.18</v>
      </c>
      <c r="E13" s="156" t="str">
        <f ca="1">IF(VLOOKUP(D13,'Listado de temas'!$E$3:$F$179,2,FALSE)=0,"",VLOOKUP(D13,'Listado de temas'!$E$3:$F$179,2,FALSE))</f>
        <v>Fiscalidad internacional. El Impuesto sobre la Renta de no Residentes en España. Convenios de doble imposición, con especial referencia al modelo de la OCDE. El problema de la erosión de bases imponibles y propuestas de solución.</v>
      </c>
      <c r="F13" s="156"/>
      <c r="G13" s="156"/>
      <c r="H13" s="156"/>
      <c r="I13" s="156"/>
      <c r="J13" s="156"/>
      <c r="K13" s="156"/>
      <c r="L13" s="156"/>
      <c r="M13" s="157"/>
    </row>
    <row r="14" spans="1:28" ht="43.9" customHeight="1" thickBot="1" x14ac:dyDescent="0.3">
      <c r="C14" s="129"/>
      <c r="D14" s="1" t="str">
        <f ca="1">J4</f>
        <v>4.B.14</v>
      </c>
      <c r="E14" s="149" t="str">
        <f ca="1">IF(VLOOKUP(D14,'Listado de temas'!$E$3:$F$179,2,FALSE)=0,"",VLOOKUP(D14,'Listado de temas'!$E$3:$F$179,2,FALSE))</f>
        <v>La teoría del federalismo fiscal: la asignación óptima de las funciones entre los distintos niveles de gobierno para alcanzar el bienestar máximo. La financiación de las haciendas territoriales: impuestos, transferencias y deuda.</v>
      </c>
      <c r="F14" s="149"/>
      <c r="G14" s="149"/>
      <c r="H14" s="149"/>
      <c r="I14" s="149"/>
      <c r="J14" s="149"/>
      <c r="K14" s="149"/>
      <c r="L14" s="149"/>
      <c r="M14" s="150"/>
    </row>
    <row r="15" spans="1:28" ht="43.9" customHeight="1" x14ac:dyDescent="0.25">
      <c r="C15" s="127" t="s">
        <v>16</v>
      </c>
      <c r="D15" s="32" t="str">
        <f ca="1">K4</f>
        <v>5.A.1</v>
      </c>
      <c r="E15" s="158" t="str">
        <f ca="1">IF(VLOOKUP(D15,'Listado de temas'!$E$3:$F$179,2,FALSE)=0,"",VLOOKUP(D15,'Listado de temas'!$E$3:$F$179,2,FALSE))</f>
        <v>Los regímenes de comercio exterior.</v>
      </c>
      <c r="F15" s="158"/>
      <c r="G15" s="158"/>
      <c r="H15" s="158"/>
      <c r="I15" s="158"/>
      <c r="J15" s="158"/>
      <c r="K15" s="158"/>
      <c r="L15" s="158"/>
      <c r="M15" s="159"/>
    </row>
    <row r="16" spans="1:28" ht="43.9" customHeight="1" x14ac:dyDescent="0.25">
      <c r="C16" s="128"/>
      <c r="D16" s="33" t="str">
        <f ca="1">L4</f>
        <v>5.B.6</v>
      </c>
      <c r="E16" s="160" t="str">
        <f ca="1">IF(VLOOKUP(D16,'Listado de temas'!$E$3:$F$179,2,FALSE)=0,"",VLOOKUP(D16,'Listado de temas'!$E$3:$F$179,2,FALSE))</f>
        <v>Datos de panel. Descripción del problema. El modelo de efectos fijos y de efectos aleatorios. Estimación.</v>
      </c>
      <c r="F16" s="160"/>
      <c r="G16" s="160"/>
      <c r="H16" s="160"/>
      <c r="I16" s="160"/>
      <c r="J16" s="160"/>
      <c r="K16" s="160"/>
      <c r="L16" s="160"/>
      <c r="M16" s="161"/>
    </row>
    <row r="17" spans="3:13" ht="43.9" customHeight="1" thickBot="1" x14ac:dyDescent="0.3">
      <c r="C17" s="129"/>
      <c r="D17" s="34" t="str">
        <f ca="1">M4</f>
        <v>5.C.11</v>
      </c>
      <c r="E17" s="162" t="str">
        <f ca="1">IF(VLOOKUP(D17,'Listado de temas'!$E$3:$F$179,2,FALSE)=0,"",VLOOKUP(D17,'Listado de temas'!$E$3:$F$179,2,FALSE))</f>
        <v>El Gobierno, su Presidente y el Consejo de Ministros. La Ley de Régimen Jurídico del Sector Público. Objeto y ámbito de aplicación. Principios generales. Organización y funcionamiento de la Administración General del Estado. Organización Central. Órganos Superiores y Directivos. Los Ministerios y su estructura interna. La Organización territorial de la Administración General del Estado. Las Delegaciones y Subdelegaciones del Gobierno.</v>
      </c>
      <c r="F17" s="162"/>
      <c r="G17" s="162"/>
      <c r="H17" s="162"/>
      <c r="I17" s="162"/>
      <c r="J17" s="162"/>
      <c r="K17" s="162"/>
      <c r="L17" s="162"/>
      <c r="M17" s="163"/>
    </row>
    <row r="18" spans="3:13" x14ac:dyDescent="0.25"/>
    <row r="19" spans="3:13" x14ac:dyDescent="0.25"/>
    <row r="20" spans="3:13" x14ac:dyDescent="0.25"/>
    <row r="21" spans="3:13" x14ac:dyDescent="0.25"/>
    <row r="22" spans="3:13" x14ac:dyDescent="0.25"/>
    <row r="23" spans="3:13" x14ac:dyDescent="0.25"/>
    <row r="24" spans="3:13" x14ac:dyDescent="0.25"/>
    <row r="25" spans="3:13" x14ac:dyDescent="0.25"/>
    <row r="26" spans="3:13" x14ac:dyDescent="0.25"/>
    <row r="27" spans="3:13" x14ac:dyDescent="0.25"/>
    <row r="28" spans="3:13" x14ac:dyDescent="0.25"/>
    <row r="29" spans="3:13" x14ac:dyDescent="0.25"/>
    <row r="30" spans="3:13" x14ac:dyDescent="0.25"/>
    <row r="31" spans="3:13" x14ac:dyDescent="0.25"/>
    <row r="32" spans="3:13" x14ac:dyDescent="0.25"/>
    <row r="33" x14ac:dyDescent="0.25"/>
    <row r="34" x14ac:dyDescent="0.25"/>
    <row r="35" x14ac:dyDescent="0.25"/>
    <row r="36" x14ac:dyDescent="0.25"/>
    <row r="37" x14ac:dyDescent="0.25"/>
    <row r="38" x14ac:dyDescent="0.25"/>
    <row r="39" x14ac:dyDescent="0.25"/>
    <row r="40" x14ac:dyDescent="0.25"/>
    <row r="41" x14ac:dyDescent="0.25"/>
    <row r="42" x14ac:dyDescent="0.25"/>
  </sheetData>
  <sheetProtection algorithmName="SHA-512" hashValue="MRFOw+ftYYFJAH0wQwXpk3i6BcSIeTMGCAFjEdPTIBTVoe1YtApx/A3rDkf1FC7eBGNWEiO0y8+TQjrUJl3oxw==" saltValue="PrOaEXQWDawB1kBhcC/dtw==" spinCount="100000" sheet="1" objects="1" scenarios="1" selectLockedCells="1"/>
  <mergeCells count="30">
    <mergeCell ref="E11:M11"/>
    <mergeCell ref="E14:M14"/>
    <mergeCell ref="E15:M15"/>
    <mergeCell ref="E16:M16"/>
    <mergeCell ref="E17:M17"/>
    <mergeCell ref="E12:M12"/>
    <mergeCell ref="E13:M13"/>
    <mergeCell ref="C3:F3"/>
    <mergeCell ref="G3:J3"/>
    <mergeCell ref="K3:M3"/>
    <mergeCell ref="E8:M8"/>
    <mergeCell ref="E9:M9"/>
    <mergeCell ref="H4:H5"/>
    <mergeCell ref="I4:I5"/>
    <mergeCell ref="C11:C14"/>
    <mergeCell ref="C15:C17"/>
    <mergeCell ref="C2:M2"/>
    <mergeCell ref="C7:C10"/>
    <mergeCell ref="C6:M6"/>
    <mergeCell ref="C4:C5"/>
    <mergeCell ref="F4:F5"/>
    <mergeCell ref="G4:G5"/>
    <mergeCell ref="M4:M5"/>
    <mergeCell ref="L4:L5"/>
    <mergeCell ref="K4:K5"/>
    <mergeCell ref="J4:J5"/>
    <mergeCell ref="D4:D5"/>
    <mergeCell ref="E4:E5"/>
    <mergeCell ref="E7:M7"/>
    <mergeCell ref="E10:M10"/>
  </mergeCells>
  <pageMargins left="0.7" right="0.7" top="0.75" bottom="0.75" header="0.3" footer="0.3"/>
  <pageSetup paperSize="9" orientation="portrait" r:id="rId1"/>
  <ignoredErrors>
    <ignoredError sqref="J15:M17 K5:M5 J7:M10 F10:G10 C5:F5 F17:G17 F7:G7 F15:G15 F16:G16 F8:G8 F9:G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01203-C6E4-4AFC-B58B-3EB51E64B7BB}">
  <sheetPr codeName="Hoja25"/>
  <dimension ref="A1:AH129"/>
  <sheetViews>
    <sheetView showGridLines="0" zoomScale="85" zoomScaleNormal="85" workbookViewId="0">
      <selection activeCell="I2" sqref="I2"/>
    </sheetView>
  </sheetViews>
  <sheetFormatPr baseColWidth="10" defaultColWidth="0" defaultRowHeight="0" customHeight="1" zeroHeight="1" x14ac:dyDescent="0.25"/>
  <cols>
    <col min="1" max="1" width="11.5703125" style="23" customWidth="1"/>
    <col min="2" max="2" width="1.7109375" style="23" customWidth="1"/>
    <col min="3" max="3" width="6.42578125" style="23" customWidth="1"/>
    <col min="4" max="4" width="6.42578125" style="23" hidden="1" customWidth="1"/>
    <col min="5" max="5" width="15.7109375" style="23" customWidth="1"/>
    <col min="6" max="6" width="15.7109375" style="23" hidden="1" customWidth="1"/>
    <col min="7" max="7" width="24.5703125" style="23" hidden="1" customWidth="1"/>
    <col min="8" max="8" width="18.28515625" style="23" customWidth="1"/>
    <col min="9" max="9" width="15.7109375" style="23" customWidth="1"/>
    <col min="10" max="10" width="179.28515625" style="23" bestFit="1" customWidth="1"/>
    <col min="11" max="17" width="16.7109375" style="23" customWidth="1"/>
    <col min="18" max="32" width="11.5703125" style="23" customWidth="1"/>
    <col min="33" max="34" width="0" style="23" hidden="1" customWidth="1"/>
    <col min="35" max="16384" width="11.5703125" style="23" hidden="1"/>
  </cols>
  <sheetData>
    <row r="1" spans="1:32" ht="15.75" thickBot="1" x14ac:dyDescent="0.3"/>
    <row r="2" spans="1:32" ht="15" customHeight="1" thickBot="1" x14ac:dyDescent="0.3">
      <c r="C2" s="170" t="s">
        <v>212</v>
      </c>
      <c r="D2" s="171"/>
      <c r="E2" s="171"/>
      <c r="F2" s="171"/>
      <c r="G2" s="171"/>
      <c r="H2" s="172"/>
      <c r="I2" s="85" t="s">
        <v>345</v>
      </c>
      <c r="J2" s="57" t="str">
        <f>IF(VLOOKUP(I2,'Listado de temas'!$E$3:$F$179,2,FALSE)=0,"",VLOOKUP(I2,'Listado de temas'!$E$3:$F$179,2,FALSE))</f>
        <v>La teoría neoclásica del mercado de trabajo. Análisis intertemporal de la oferta de trabajo. Teoría del capital humano. Función de ingresos de capital humano y evidencia empírica.</v>
      </c>
    </row>
    <row r="3" spans="1:32" s="10" customFormat="1" ht="15.75" thickBot="1" x14ac:dyDescent="0.3">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row>
    <row r="4" spans="1:32" ht="15" customHeight="1" thickBot="1" x14ac:dyDescent="0.3">
      <c r="C4" s="164" t="s">
        <v>184</v>
      </c>
      <c r="D4" s="165"/>
      <c r="E4" s="165"/>
      <c r="F4" s="165"/>
      <c r="G4" s="165"/>
      <c r="H4" s="166"/>
      <c r="I4" s="165"/>
      <c r="J4" s="167"/>
    </row>
    <row r="5" spans="1:32" ht="45.75" thickBot="1" x14ac:dyDescent="0.3">
      <c r="C5" s="46" t="s">
        <v>188</v>
      </c>
      <c r="D5" s="47"/>
      <c r="E5" s="60" t="s">
        <v>185</v>
      </c>
      <c r="F5" s="64"/>
      <c r="G5" s="53"/>
      <c r="H5" s="55" t="s">
        <v>189</v>
      </c>
      <c r="I5" s="168" t="s">
        <v>186</v>
      </c>
      <c r="J5" s="169"/>
    </row>
    <row r="6" spans="1:32" ht="14.45" customHeight="1" thickBot="1" x14ac:dyDescent="0.3">
      <c r="C6" s="48">
        <v>1</v>
      </c>
      <c r="D6" s="61">
        <f ca="1">RAND()</f>
        <v>0.75549963476597404</v>
      </c>
      <c r="E6" s="80" t="s">
        <v>172</v>
      </c>
      <c r="F6" s="21">
        <v>0</v>
      </c>
      <c r="G6" s="21" cm="1">
        <f t="array" aca="1" ref="G6" ca="1">CELL("fila",G6)-1</f>
        <v>5</v>
      </c>
      <c r="H6" s="84">
        <v>2</v>
      </c>
      <c r="I6" s="49" t="str">
        <f t="shared" ref="I6:I15" ca="1" si="0">VLOOKUP(RANDBETWEEN(1,(VLOOKUP("-",$E$6:$G$95,2,FALSE))),$C$6:$E$95,3,FALSE)</f>
        <v>3.A.21</v>
      </c>
      <c r="J6" s="58" t="str">
        <f ca="1">IF(VLOOKUP(I6,'Listado de temas'!$E$3:$F$179,2,FALSE)=0,"",VLOOKUP(I6,'Listado de temas'!$E$3:$F$179,2,FALSE))</f>
        <v>La teoría del equilibrio general.</v>
      </c>
    </row>
    <row r="7" spans="1:32" ht="14.45" customHeight="1" thickBot="1" x14ac:dyDescent="0.3">
      <c r="C7" s="50">
        <v>2</v>
      </c>
      <c r="D7" s="62">
        <f ca="1">RAND()</f>
        <v>0.30546328491791075</v>
      </c>
      <c r="E7" s="80" t="s">
        <v>174</v>
      </c>
      <c r="F7" s="21">
        <v>1</v>
      </c>
      <c r="G7" s="21" cm="1">
        <f t="array" aca="1" ref="G7" ca="1">CELL("fila",G7)-1</f>
        <v>6</v>
      </c>
      <c r="H7" s="54"/>
      <c r="I7" s="56" t="str">
        <f t="shared" ca="1" si="0"/>
        <v>3.A.44</v>
      </c>
      <c r="J7" s="58" t="str">
        <f ca="1">IF(VLOOKUP(I7,'Listado de temas'!$E$3:$F$179,2,FALSE)=0,"",VLOOKUP(I7,'Listado de temas'!$E$3:$F$179,2,FALSE))</f>
        <v>Crecimiento económico (II). Modelos de crecimiento endógeno: rendimientos crecientes, capital humano e innovación tecnológica.</v>
      </c>
    </row>
    <row r="8" spans="1:32" ht="14.45" customHeight="1" thickBot="1" x14ac:dyDescent="0.3">
      <c r="C8" s="50">
        <v>3</v>
      </c>
      <c r="D8" s="62">
        <f t="shared" ref="D8:D71" ca="1" si="1">RAND()</f>
        <v>0.26563147559375078</v>
      </c>
      <c r="E8" s="80" t="s">
        <v>153</v>
      </c>
      <c r="F8" s="21">
        <v>2</v>
      </c>
      <c r="G8" s="21" cm="1">
        <f t="array" aca="1" ref="G8" ca="1">CELL("fila",G8)-1</f>
        <v>7</v>
      </c>
      <c r="H8" s="54"/>
      <c r="I8" s="56" t="str">
        <f t="shared" ca="1" si="0"/>
        <v>3.A.42</v>
      </c>
      <c r="J8" s="58" t="str">
        <f ca="1">IF(VLOOKUP(I8,'Listado de temas'!$E$3:$F$179,2,FALSE)=0,"",VLOOKUP(I8,'Listado de temas'!$E$3:$F$179,2,FALSE))</f>
        <v>Teorías de los ciclos económicos: ciclos nominales y reales. Referencia al ciclo financiero y sus interrelaciones con el ciclo real.</v>
      </c>
    </row>
    <row r="9" spans="1:32" ht="14.45" customHeight="1" thickBot="1" x14ac:dyDescent="0.3">
      <c r="C9" s="50">
        <v>4</v>
      </c>
      <c r="D9" s="62">
        <f t="shared" ca="1" si="1"/>
        <v>0.51666062941923718</v>
      </c>
      <c r="E9" s="80" t="s">
        <v>155</v>
      </c>
      <c r="F9" s="21">
        <v>3</v>
      </c>
      <c r="G9" s="21" cm="1">
        <f t="array" aca="1" ref="G9" ca="1">CELL("fila",G9)-1</f>
        <v>8</v>
      </c>
      <c r="H9" s="54"/>
      <c r="I9" s="56" t="str">
        <f t="shared" ca="1" si="0"/>
        <v>3.A.17</v>
      </c>
      <c r="J9" s="58" t="str">
        <f ca="1">IF(VLOOKUP(I9,'Listado de temas'!$E$3:$F$179,2,FALSE)=0,"",VLOOKUP(I9,'Listado de temas'!$E$3:$F$179,2,FALSE))</f>
        <v>Análisis de mercados (II). Teoría del monopolio. Discriminación de precios. Monopolio natural. Producción conjunta. Análisis de eficiencia y bienestar. Monopsonio. Monopolio bilateral.</v>
      </c>
    </row>
    <row r="10" spans="1:32" ht="14.45" customHeight="1" thickBot="1" x14ac:dyDescent="0.3">
      <c r="C10" s="50">
        <v>5</v>
      </c>
      <c r="D10" s="62">
        <f t="shared" ca="1" si="1"/>
        <v>0.42348595226805608</v>
      </c>
      <c r="E10" s="80" t="s">
        <v>147</v>
      </c>
      <c r="F10" s="21">
        <v>4</v>
      </c>
      <c r="G10" s="21" cm="1">
        <f t="array" aca="1" ref="G10" ca="1">CELL("fila",G10)-1</f>
        <v>9</v>
      </c>
      <c r="H10" s="54"/>
      <c r="I10" s="56" t="str">
        <f t="shared" ca="1" si="0"/>
        <v>3.B.7</v>
      </c>
      <c r="J10" s="58" t="str">
        <f ca="1">IF(VLOOKUP(I10,'Listado de temas'!$E$3:$F$179,2,FALSE)=0,"",VLOOKUP(I10,'Listado de temas'!$E$3:$F$179,2,FALSE))</f>
        <v>La política comercial (I). Instrumentos y efectos. Barreras arancelarias y no arancelarias. Otros instrumentos tradicionales.</v>
      </c>
    </row>
    <row r="11" spans="1:32" ht="14.45" customHeight="1" thickBot="1" x14ac:dyDescent="0.3">
      <c r="C11" s="50">
        <v>6</v>
      </c>
      <c r="D11" s="62">
        <f t="shared" ca="1" si="1"/>
        <v>0.4569760222197915</v>
      </c>
      <c r="E11" s="80" t="s">
        <v>158</v>
      </c>
      <c r="F11" s="21">
        <v>5</v>
      </c>
      <c r="G11" s="21" cm="1">
        <f t="array" aca="1" ref="G11" ca="1">CELL("fila",G11)-1</f>
        <v>10</v>
      </c>
      <c r="H11" s="54"/>
      <c r="I11" s="56" t="str">
        <f t="shared" ca="1" si="0"/>
        <v>3.A.9</v>
      </c>
      <c r="J11" s="58" t="str">
        <f ca="1">IF(VLOOKUP(I11,'Listado de temas'!$E$3:$F$179,2,FALSE)=0,"",VLOOKUP(I11,'Listado de temas'!$E$3:$F$179,2,FALSE))</f>
        <v>Teoría de la demanda del consumidor (II). Dualidad e integrabilidad de las preferencias. Sistemas de demanda utilizados en estudios empíricos. Medidas de cambio en el bienestar.</v>
      </c>
    </row>
    <row r="12" spans="1:32" ht="14.45" customHeight="1" thickBot="1" x14ac:dyDescent="0.3">
      <c r="C12" s="50">
        <v>7</v>
      </c>
      <c r="D12" s="62">
        <f t="shared" ca="1" si="1"/>
        <v>0.4540766961938445</v>
      </c>
      <c r="E12" s="80" t="s">
        <v>159</v>
      </c>
      <c r="F12" s="21">
        <v>6</v>
      </c>
      <c r="G12" s="21" cm="1">
        <f t="array" aca="1" ref="G12" ca="1">CELL("fila",G12)-1</f>
        <v>11</v>
      </c>
      <c r="H12" s="54"/>
      <c r="I12" s="56" t="str">
        <f t="shared" ca="1" si="0"/>
        <v>3.A.14</v>
      </c>
      <c r="J12" s="58" t="str">
        <f ca="1">IF(VLOOKUP(I12,'Listado de temas'!$E$3:$F$179,2,FALSE)=0,"",VLOOKUP(I12,'Listado de temas'!$E$3:$F$179,2,FALSE))</f>
        <v>Teoría de juegos. Principales conceptos. Aplicaciones, con especial referencia a las subastas.</v>
      </c>
    </row>
    <row r="13" spans="1:32" ht="14.45" customHeight="1" thickBot="1" x14ac:dyDescent="0.3">
      <c r="C13" s="50">
        <v>8</v>
      </c>
      <c r="D13" s="62">
        <f t="shared" ca="1" si="1"/>
        <v>0.88803885024019891</v>
      </c>
      <c r="E13" s="80" t="s">
        <v>168</v>
      </c>
      <c r="F13" s="21">
        <v>7</v>
      </c>
      <c r="G13" s="21" cm="1">
        <f t="array" aca="1" ref="G13" ca="1">CELL("fila",G13)-1</f>
        <v>12</v>
      </c>
      <c r="H13" s="54"/>
      <c r="I13" s="56" t="str">
        <f t="shared" ca="1" si="0"/>
        <v>3.B.7</v>
      </c>
      <c r="J13" s="58" t="str">
        <f ca="1">IF(VLOOKUP(I13,'Listado de temas'!$E$3:$F$179,2,FALSE)=0,"",VLOOKUP(I13,'Listado de temas'!$E$3:$F$179,2,FALSE))</f>
        <v>La política comercial (I). Instrumentos y efectos. Barreras arancelarias y no arancelarias. Otros instrumentos tradicionales.</v>
      </c>
    </row>
    <row r="14" spans="1:32" ht="14.45" customHeight="1" thickBot="1" x14ac:dyDescent="0.3">
      <c r="C14" s="50">
        <v>9</v>
      </c>
      <c r="D14" s="62">
        <f t="shared" ca="1" si="1"/>
        <v>0.19866194443456775</v>
      </c>
      <c r="E14" s="81" t="s">
        <v>166</v>
      </c>
      <c r="F14" s="21">
        <v>8</v>
      </c>
      <c r="G14" s="21" cm="1">
        <f t="array" aca="1" ref="G14" ca="1">CELL("fila",G14)-1</f>
        <v>13</v>
      </c>
      <c r="H14" s="54"/>
      <c r="I14" s="56" t="str">
        <f t="shared" ca="1" si="0"/>
        <v>3.A.22</v>
      </c>
      <c r="J14" s="58" t="str">
        <f ca="1">IF(VLOOKUP(I14,'Listado de temas'!$E$3:$F$179,2,FALSE)=0,"",VLOOKUP(I14,'Listado de temas'!$E$3:$F$179,2,FALSE))</f>
        <v>Economía del bienestar (I). Los teoremas fundamentales del bienestar. Óptimo económico y «second best».</v>
      </c>
    </row>
    <row r="15" spans="1:32" ht="14.45" customHeight="1" thickBot="1" x14ac:dyDescent="0.3">
      <c r="C15" s="50">
        <v>10</v>
      </c>
      <c r="D15" s="62">
        <f t="shared" ca="1" si="1"/>
        <v>0.33253174791583551</v>
      </c>
      <c r="E15" s="81" t="s">
        <v>167</v>
      </c>
      <c r="F15" s="21">
        <v>9</v>
      </c>
      <c r="G15" s="21" cm="1">
        <f t="array" aca="1" ref="G15" ca="1">CELL("fila",G15)-1</f>
        <v>14</v>
      </c>
      <c r="H15" s="54"/>
      <c r="I15" s="56" t="str">
        <f t="shared" ca="1" si="0"/>
        <v>3.B.7</v>
      </c>
      <c r="J15" s="58" t="str">
        <f ca="1">IF(VLOOKUP(I15,'Listado de temas'!$E$3:$F$179,2,FALSE)=0,"",VLOOKUP(I15,'Listado de temas'!$E$3:$F$179,2,FALSE))</f>
        <v>La política comercial (I). Instrumentos y efectos. Barreras arancelarias y no arancelarias. Otros instrumentos tradicionales.</v>
      </c>
    </row>
    <row r="16" spans="1:32" ht="14.45" customHeight="1" x14ac:dyDescent="0.25">
      <c r="C16" s="50">
        <v>11</v>
      </c>
      <c r="D16" s="62">
        <f t="shared" ca="1" si="1"/>
        <v>0.30806151570369855</v>
      </c>
      <c r="E16" s="81" t="s">
        <v>152</v>
      </c>
      <c r="F16" s="21">
        <v>10</v>
      </c>
      <c r="G16" s="21" cm="1">
        <f t="array" aca="1" ref="G16" ca="1">CELL("fila",G16)-1</f>
        <v>15</v>
      </c>
      <c r="H16" s="54"/>
      <c r="I16" s="54"/>
      <c r="J16" s="59"/>
    </row>
    <row r="17" spans="3:10" ht="14.45" customHeight="1" x14ac:dyDescent="0.25">
      <c r="C17" s="50">
        <v>12</v>
      </c>
      <c r="D17" s="62">
        <f t="shared" ca="1" si="1"/>
        <v>0.56600664135951029</v>
      </c>
      <c r="E17" s="82" t="s">
        <v>161</v>
      </c>
      <c r="F17" s="21">
        <v>11</v>
      </c>
      <c r="G17" s="21" cm="1">
        <f t="array" aca="1" ref="G17" ca="1">CELL("fila",G17)-1</f>
        <v>16</v>
      </c>
      <c r="H17" s="54"/>
      <c r="I17" s="54"/>
      <c r="J17" s="59"/>
    </row>
    <row r="18" spans="3:10" ht="14.45" customHeight="1" x14ac:dyDescent="0.25">
      <c r="C18" s="50">
        <v>13</v>
      </c>
      <c r="D18" s="62">
        <f t="shared" ca="1" si="1"/>
        <v>0.29031140225181262</v>
      </c>
      <c r="E18" s="81" t="s">
        <v>154</v>
      </c>
      <c r="F18" s="21">
        <v>12</v>
      </c>
      <c r="G18" s="21" cm="1">
        <f t="array" aca="1" ref="G18" ca="1">CELL("fila",G18)-1</f>
        <v>17</v>
      </c>
      <c r="H18" s="54"/>
      <c r="I18" s="54"/>
      <c r="J18" s="59"/>
    </row>
    <row r="19" spans="3:10" ht="14.45" customHeight="1" x14ac:dyDescent="0.25">
      <c r="C19" s="50">
        <v>14</v>
      </c>
      <c r="D19" s="62">
        <f t="shared" ca="1" si="1"/>
        <v>0.20166680301631945</v>
      </c>
      <c r="E19" s="82" t="s">
        <v>162</v>
      </c>
      <c r="F19" s="21">
        <v>13</v>
      </c>
      <c r="G19" s="21" cm="1">
        <f t="array" aca="1" ref="G19" ca="1">CELL("fila",G19)-1</f>
        <v>18</v>
      </c>
      <c r="H19" s="54"/>
      <c r="I19" s="54"/>
      <c r="J19" s="59"/>
    </row>
    <row r="20" spans="3:10" ht="14.45" customHeight="1" x14ac:dyDescent="0.25">
      <c r="C20" s="50">
        <v>15</v>
      </c>
      <c r="D20" s="62">
        <f t="shared" ca="1" si="1"/>
        <v>0.47248502672917292</v>
      </c>
      <c r="E20" s="81" t="s">
        <v>156</v>
      </c>
      <c r="F20" s="21">
        <v>14</v>
      </c>
      <c r="G20" s="21" cm="1">
        <f t="array" aca="1" ref="G20" ca="1">CELL("fila",G20)-1</f>
        <v>19</v>
      </c>
      <c r="H20" s="54"/>
      <c r="I20" s="54"/>
      <c r="J20" s="59"/>
    </row>
    <row r="21" spans="3:10" ht="14.45" customHeight="1" x14ac:dyDescent="0.25">
      <c r="C21" s="50">
        <v>16</v>
      </c>
      <c r="D21" s="62">
        <f t="shared" ca="1" si="1"/>
        <v>0.82797927403238214</v>
      </c>
      <c r="E21" s="81" t="s">
        <v>157</v>
      </c>
      <c r="F21" s="21">
        <v>15</v>
      </c>
      <c r="G21" s="21" cm="1">
        <f t="array" aca="1" ref="G21" ca="1">CELL("fila",G21)-1</f>
        <v>20</v>
      </c>
      <c r="H21" s="54"/>
      <c r="I21" s="54"/>
      <c r="J21" s="59"/>
    </row>
    <row r="22" spans="3:10" ht="14.45" customHeight="1" x14ac:dyDescent="0.25">
      <c r="C22" s="50">
        <v>17</v>
      </c>
      <c r="D22" s="62">
        <f t="shared" ca="1" si="1"/>
        <v>0.3888100103661688</v>
      </c>
      <c r="E22" s="81" t="s">
        <v>177</v>
      </c>
      <c r="F22" s="21">
        <v>16</v>
      </c>
      <c r="G22" s="21" cm="1">
        <f t="array" aca="1" ref="G22" ca="1">CELL("fila",G22)-1</f>
        <v>21</v>
      </c>
      <c r="H22" s="54"/>
      <c r="I22" s="54"/>
      <c r="J22" s="59"/>
    </row>
    <row r="23" spans="3:10" ht="14.45" customHeight="1" x14ac:dyDescent="0.25">
      <c r="C23" s="50">
        <v>18</v>
      </c>
      <c r="D23" s="62">
        <f t="shared" ca="1" si="1"/>
        <v>0.4203857821774124</v>
      </c>
      <c r="E23" s="82" t="s">
        <v>163</v>
      </c>
      <c r="F23" s="21">
        <v>17</v>
      </c>
      <c r="G23" s="21" cm="1">
        <f t="array" aca="1" ref="G23" ca="1">CELL("fila",G23)-1</f>
        <v>22</v>
      </c>
      <c r="H23" s="54"/>
      <c r="I23" s="54"/>
      <c r="J23" s="59"/>
    </row>
    <row r="24" spans="3:10" ht="14.45" customHeight="1" x14ac:dyDescent="0.25">
      <c r="C24" s="50">
        <v>19</v>
      </c>
      <c r="D24" s="62">
        <f t="shared" ca="1" si="1"/>
        <v>0.56253077649948469</v>
      </c>
      <c r="E24" s="81" t="s">
        <v>169</v>
      </c>
      <c r="F24" s="21">
        <v>18</v>
      </c>
      <c r="G24" s="21" cm="1">
        <f t="array" aca="1" ref="G24" ca="1">CELL("fila",G24)-1</f>
        <v>23</v>
      </c>
      <c r="H24" s="54"/>
      <c r="I24" s="54"/>
      <c r="J24" s="59"/>
    </row>
    <row r="25" spans="3:10" ht="14.45" customHeight="1" x14ac:dyDescent="0.25">
      <c r="C25" s="50">
        <v>20</v>
      </c>
      <c r="D25" s="62">
        <f t="shared" ca="1" si="1"/>
        <v>0.9639002767308511</v>
      </c>
      <c r="E25" s="81" t="s">
        <v>170</v>
      </c>
      <c r="F25" s="21">
        <v>19</v>
      </c>
      <c r="G25" s="21" cm="1">
        <f t="array" aca="1" ref="G25" ca="1">CELL("fila",G25)-1</f>
        <v>24</v>
      </c>
      <c r="H25" s="54"/>
      <c r="I25" s="54"/>
      <c r="J25" s="59"/>
    </row>
    <row r="26" spans="3:10" ht="14.45" customHeight="1" x14ac:dyDescent="0.25">
      <c r="C26" s="50">
        <v>21</v>
      </c>
      <c r="D26" s="62">
        <f t="shared" ca="1" si="1"/>
        <v>0.55886983738392992</v>
      </c>
      <c r="E26" s="81" t="s">
        <v>148</v>
      </c>
      <c r="F26" s="21">
        <v>20</v>
      </c>
      <c r="G26" s="21" cm="1">
        <f t="array" aca="1" ref="G26" ca="1">CELL("fila",G26)-1</f>
        <v>25</v>
      </c>
      <c r="H26" s="54"/>
      <c r="I26" s="54"/>
      <c r="J26" s="59"/>
    </row>
    <row r="27" spans="3:10" ht="14.45" customHeight="1" x14ac:dyDescent="0.25">
      <c r="C27" s="50">
        <v>22</v>
      </c>
      <c r="D27" s="62">
        <f t="shared" ca="1" si="1"/>
        <v>0.98802133947785009</v>
      </c>
      <c r="E27" s="81" t="s">
        <v>149</v>
      </c>
      <c r="F27" s="21">
        <v>21</v>
      </c>
      <c r="G27" s="21" cm="1">
        <f t="array" aca="1" ref="G27" ca="1">CELL("fila",G27)-1</f>
        <v>26</v>
      </c>
      <c r="H27" s="54"/>
      <c r="I27" s="54"/>
      <c r="J27" s="59"/>
    </row>
    <row r="28" spans="3:10" ht="14.45" customHeight="1" x14ac:dyDescent="0.25">
      <c r="C28" s="50">
        <v>23</v>
      </c>
      <c r="D28" s="62">
        <f t="shared" ca="1" si="1"/>
        <v>0.32721474748520041</v>
      </c>
      <c r="E28" s="82" t="s">
        <v>175</v>
      </c>
      <c r="F28" s="21">
        <v>22</v>
      </c>
      <c r="G28" s="21" cm="1">
        <f t="array" aca="1" ref="G28" ca="1">CELL("fila",G28)-1</f>
        <v>27</v>
      </c>
      <c r="H28" s="54"/>
      <c r="I28" s="54"/>
      <c r="J28" s="59"/>
    </row>
    <row r="29" spans="3:10" ht="14.45" customHeight="1" x14ac:dyDescent="0.25">
      <c r="C29" s="50">
        <v>24</v>
      </c>
      <c r="D29" s="62">
        <f t="shared" ca="1" si="1"/>
        <v>0.77132535064771213</v>
      </c>
      <c r="E29" s="82" t="s">
        <v>160</v>
      </c>
      <c r="F29" s="21">
        <v>23</v>
      </c>
      <c r="G29" s="21" cm="1">
        <f t="array" aca="1" ref="G29" ca="1">CELL("fila",G29)-1</f>
        <v>28</v>
      </c>
      <c r="H29" s="54"/>
      <c r="I29" s="54"/>
      <c r="J29" s="59"/>
    </row>
    <row r="30" spans="3:10" ht="14.45" customHeight="1" x14ac:dyDescent="0.25">
      <c r="C30" s="50">
        <v>25</v>
      </c>
      <c r="D30" s="62">
        <f t="shared" ca="1" si="1"/>
        <v>0.47974219418738939</v>
      </c>
      <c r="E30" s="82" t="s">
        <v>150</v>
      </c>
      <c r="F30" s="21">
        <v>24</v>
      </c>
      <c r="G30" s="21" cm="1">
        <f t="array" aca="1" ref="G30" ca="1">CELL("fila",G30)-1</f>
        <v>29</v>
      </c>
      <c r="H30" s="54"/>
      <c r="I30" s="54"/>
      <c r="J30" s="59"/>
    </row>
    <row r="31" spans="3:10" ht="14.45" customHeight="1" x14ac:dyDescent="0.25">
      <c r="C31" s="50">
        <v>26</v>
      </c>
      <c r="D31" s="62">
        <f t="shared" ca="1" si="1"/>
        <v>0.77689886926435092</v>
      </c>
      <c r="E31" s="82" t="s">
        <v>151</v>
      </c>
      <c r="F31" s="21">
        <v>25</v>
      </c>
      <c r="G31" s="21" cm="1">
        <f t="array" aca="1" ref="G31" ca="1">CELL("fila",G31)-1</f>
        <v>30</v>
      </c>
      <c r="H31" s="54"/>
      <c r="I31" s="54"/>
      <c r="J31" s="59"/>
    </row>
    <row r="32" spans="3:10" ht="14.45" customHeight="1" x14ac:dyDescent="0.25">
      <c r="C32" s="50">
        <v>27</v>
      </c>
      <c r="D32" s="62">
        <f t="shared" ca="1" si="1"/>
        <v>0.84251919407288212</v>
      </c>
      <c r="E32" s="82" t="s">
        <v>176</v>
      </c>
      <c r="F32" s="21">
        <v>26</v>
      </c>
      <c r="G32" s="21" cm="1">
        <f t="array" aca="1" ref="G32" ca="1">CELL("fila",G32)-1</f>
        <v>31</v>
      </c>
      <c r="H32" s="54"/>
      <c r="I32" s="54"/>
      <c r="J32" s="59"/>
    </row>
    <row r="33" spans="3:10" ht="14.45" customHeight="1" x14ac:dyDescent="0.25">
      <c r="C33" s="50">
        <v>28</v>
      </c>
      <c r="D33" s="62">
        <f t="shared" ca="1" si="1"/>
        <v>0.8579097178243873</v>
      </c>
      <c r="E33" s="82" t="s">
        <v>173</v>
      </c>
      <c r="F33" s="21">
        <v>27</v>
      </c>
      <c r="G33" s="21" cm="1">
        <f t="array" aca="1" ref="G33" ca="1">CELL("fila",G33)-1</f>
        <v>32</v>
      </c>
      <c r="H33" s="54"/>
      <c r="I33" s="54"/>
      <c r="J33" s="59"/>
    </row>
    <row r="34" spans="3:10" ht="14.45" customHeight="1" x14ac:dyDescent="0.25">
      <c r="C34" s="50">
        <v>29</v>
      </c>
      <c r="D34" s="62">
        <f t="shared" ca="1" si="1"/>
        <v>0.14032514530553786</v>
      </c>
      <c r="E34" s="82" t="s">
        <v>164</v>
      </c>
      <c r="F34" s="21">
        <v>28</v>
      </c>
      <c r="G34" s="21" cm="1">
        <f t="array" aca="1" ref="G34" ca="1">CELL("fila",G34)-1</f>
        <v>33</v>
      </c>
      <c r="H34" s="54"/>
      <c r="I34" s="54"/>
      <c r="J34" s="59"/>
    </row>
    <row r="35" spans="3:10" ht="14.45" customHeight="1" x14ac:dyDescent="0.25">
      <c r="C35" s="50">
        <v>30</v>
      </c>
      <c r="D35" s="62">
        <f t="shared" ca="1" si="1"/>
        <v>0.70492664928279647</v>
      </c>
      <c r="E35" s="81" t="s">
        <v>165</v>
      </c>
      <c r="F35" s="21">
        <v>29</v>
      </c>
      <c r="G35" s="21" cm="1">
        <f t="array" aca="1" ref="G35" ca="1">CELL("fila",G35)-1</f>
        <v>34</v>
      </c>
      <c r="H35" s="54"/>
      <c r="I35" s="54"/>
      <c r="J35" s="59"/>
    </row>
    <row r="36" spans="3:10" ht="14.45" customHeight="1" x14ac:dyDescent="0.25">
      <c r="C36" s="50">
        <v>31</v>
      </c>
      <c r="D36" s="62">
        <f t="shared" ca="1" si="1"/>
        <v>0.55390336545100149</v>
      </c>
      <c r="E36" s="81" t="s">
        <v>183</v>
      </c>
      <c r="F36" s="21">
        <v>30</v>
      </c>
      <c r="G36" s="21" cm="1">
        <f t="array" aca="1" ref="G36" ca="1">CELL("fila",G36)-1</f>
        <v>35</v>
      </c>
      <c r="H36" s="54"/>
      <c r="I36" s="54"/>
      <c r="J36" s="59"/>
    </row>
    <row r="37" spans="3:10" ht="14.45" customHeight="1" x14ac:dyDescent="0.25">
      <c r="C37" s="50">
        <v>32</v>
      </c>
      <c r="D37" s="62">
        <f t="shared" ca="1" si="1"/>
        <v>0.59241004611684156</v>
      </c>
      <c r="E37" s="81" t="s">
        <v>183</v>
      </c>
      <c r="F37" s="21">
        <v>31</v>
      </c>
      <c r="G37" s="21" cm="1">
        <f t="array" aca="1" ref="G37" ca="1">CELL("fila",G37)-1</f>
        <v>36</v>
      </c>
      <c r="H37" s="54"/>
      <c r="I37" s="54"/>
      <c r="J37" s="59"/>
    </row>
    <row r="38" spans="3:10" ht="14.45" customHeight="1" x14ac:dyDescent="0.25">
      <c r="C38" s="50">
        <v>33</v>
      </c>
      <c r="D38" s="62">
        <f t="shared" ca="1" si="1"/>
        <v>0.85218595788794516</v>
      </c>
      <c r="E38" s="81" t="s">
        <v>183</v>
      </c>
      <c r="F38" s="21">
        <v>32</v>
      </c>
      <c r="G38" s="21" cm="1">
        <f t="array" aca="1" ref="G38" ca="1">CELL("fila",G38)-1</f>
        <v>37</v>
      </c>
      <c r="H38" s="54"/>
      <c r="I38" s="54"/>
      <c r="J38" s="59"/>
    </row>
    <row r="39" spans="3:10" ht="14.45" customHeight="1" x14ac:dyDescent="0.25">
      <c r="C39" s="50">
        <v>34</v>
      </c>
      <c r="D39" s="62">
        <f t="shared" ca="1" si="1"/>
        <v>0.32128736396727642</v>
      </c>
      <c r="E39" s="81" t="s">
        <v>183</v>
      </c>
      <c r="F39" s="21">
        <v>33</v>
      </c>
      <c r="G39" s="21" cm="1">
        <f t="array" aca="1" ref="G39" ca="1">CELL("fila",G39)-1</f>
        <v>38</v>
      </c>
      <c r="H39" s="54"/>
      <c r="I39" s="54"/>
      <c r="J39" s="59"/>
    </row>
    <row r="40" spans="3:10" ht="14.45" customHeight="1" x14ac:dyDescent="0.25">
      <c r="C40" s="50">
        <v>35</v>
      </c>
      <c r="D40" s="62">
        <f t="shared" ca="1" si="1"/>
        <v>0.45613125391636922</v>
      </c>
      <c r="E40" s="81" t="s">
        <v>183</v>
      </c>
      <c r="F40" s="21">
        <v>34</v>
      </c>
      <c r="G40" s="21" cm="1">
        <f t="array" aca="1" ref="G40" ca="1">CELL("fila",G40)-1</f>
        <v>39</v>
      </c>
      <c r="H40" s="54"/>
      <c r="I40" s="54"/>
      <c r="J40" s="59"/>
    </row>
    <row r="41" spans="3:10" ht="14.45" customHeight="1" x14ac:dyDescent="0.25">
      <c r="C41" s="50">
        <v>36</v>
      </c>
      <c r="D41" s="62">
        <f t="shared" ca="1" si="1"/>
        <v>0.7718379204241661</v>
      </c>
      <c r="E41" s="81" t="s">
        <v>183</v>
      </c>
      <c r="F41" s="21">
        <v>35</v>
      </c>
      <c r="G41" s="21" cm="1">
        <f t="array" aca="1" ref="G41" ca="1">CELL("fila",G41)-1</f>
        <v>40</v>
      </c>
      <c r="H41" s="54"/>
      <c r="I41" s="54"/>
      <c r="J41" s="59"/>
    </row>
    <row r="42" spans="3:10" ht="14.45" customHeight="1" x14ac:dyDescent="0.25">
      <c r="C42" s="50">
        <v>37</v>
      </c>
      <c r="D42" s="62">
        <f t="shared" ca="1" si="1"/>
        <v>0.3529483220098667</v>
      </c>
      <c r="E42" s="81" t="s">
        <v>183</v>
      </c>
      <c r="F42" s="21">
        <v>36</v>
      </c>
      <c r="G42" s="21" cm="1">
        <f t="array" aca="1" ref="G42" ca="1">CELL("fila",G42)-1</f>
        <v>41</v>
      </c>
      <c r="H42" s="54"/>
      <c r="I42" s="54"/>
      <c r="J42" s="59"/>
    </row>
    <row r="43" spans="3:10" ht="14.45" customHeight="1" x14ac:dyDescent="0.25">
      <c r="C43" s="50">
        <v>38</v>
      </c>
      <c r="D43" s="62">
        <f t="shared" ca="1" si="1"/>
        <v>0.48863006996179992</v>
      </c>
      <c r="E43" s="81" t="s">
        <v>183</v>
      </c>
      <c r="F43" s="21">
        <v>37</v>
      </c>
      <c r="G43" s="21" cm="1">
        <f t="array" aca="1" ref="G43" ca="1">CELL("fila",G43)-1</f>
        <v>42</v>
      </c>
      <c r="H43" s="54"/>
      <c r="I43" s="54"/>
      <c r="J43" s="59"/>
    </row>
    <row r="44" spans="3:10" ht="14.45" customHeight="1" x14ac:dyDescent="0.25">
      <c r="C44" s="50">
        <v>39</v>
      </c>
      <c r="D44" s="62">
        <f t="shared" ca="1" si="1"/>
        <v>3.6001786517372292E-3</v>
      </c>
      <c r="E44" s="81" t="s">
        <v>183</v>
      </c>
      <c r="F44" s="21">
        <v>38</v>
      </c>
      <c r="G44" s="21" cm="1">
        <f t="array" aca="1" ref="G44" ca="1">CELL("fila",G44)-1</f>
        <v>43</v>
      </c>
      <c r="H44" s="54"/>
      <c r="I44" s="54"/>
      <c r="J44" s="59"/>
    </row>
    <row r="45" spans="3:10" ht="14.45" customHeight="1" x14ac:dyDescent="0.25">
      <c r="C45" s="50">
        <v>40</v>
      </c>
      <c r="D45" s="62">
        <f t="shared" ca="1" si="1"/>
        <v>0.39760659032734647</v>
      </c>
      <c r="E45" s="81" t="s">
        <v>183</v>
      </c>
      <c r="F45" s="21">
        <v>39</v>
      </c>
      <c r="G45" s="21" cm="1">
        <f t="array" aca="1" ref="G45" ca="1">CELL("fila",G45)-1</f>
        <v>44</v>
      </c>
      <c r="H45" s="54"/>
      <c r="I45" s="54"/>
      <c r="J45" s="59"/>
    </row>
    <row r="46" spans="3:10" ht="14.45" customHeight="1" x14ac:dyDescent="0.25">
      <c r="C46" s="50">
        <v>41</v>
      </c>
      <c r="D46" s="62">
        <f t="shared" ca="1" si="1"/>
        <v>0.93306996453345958</v>
      </c>
      <c r="E46" s="81" t="s">
        <v>183</v>
      </c>
      <c r="F46" s="21">
        <v>40</v>
      </c>
      <c r="G46" s="21" cm="1">
        <f t="array" aca="1" ref="G46" ca="1">CELL("fila",G46)-1</f>
        <v>45</v>
      </c>
      <c r="H46" s="54"/>
      <c r="I46" s="54"/>
      <c r="J46" s="59"/>
    </row>
    <row r="47" spans="3:10" ht="14.45" customHeight="1" x14ac:dyDescent="0.25">
      <c r="C47" s="50">
        <v>42</v>
      </c>
      <c r="D47" s="62">
        <f t="shared" ca="1" si="1"/>
        <v>0.56229617376485186</v>
      </c>
      <c r="E47" s="81" t="s">
        <v>183</v>
      </c>
      <c r="F47" s="21">
        <v>41</v>
      </c>
      <c r="G47" s="21" cm="1">
        <f t="array" aca="1" ref="G47" ca="1">CELL("fila",G47)-1</f>
        <v>46</v>
      </c>
      <c r="H47" s="54"/>
      <c r="I47" s="54"/>
      <c r="J47" s="59"/>
    </row>
    <row r="48" spans="3:10" ht="14.45" customHeight="1" x14ac:dyDescent="0.25">
      <c r="C48" s="50">
        <v>43</v>
      </c>
      <c r="D48" s="62">
        <f t="shared" ca="1" si="1"/>
        <v>0.97530881886816745</v>
      </c>
      <c r="E48" s="81" t="s">
        <v>183</v>
      </c>
      <c r="F48" s="21">
        <v>42</v>
      </c>
      <c r="G48" s="21" cm="1">
        <f t="array" aca="1" ref="G48" ca="1">CELL("fila",G48)-1</f>
        <v>47</v>
      </c>
      <c r="H48" s="54"/>
      <c r="I48" s="54"/>
      <c r="J48" s="59"/>
    </row>
    <row r="49" spans="3:10" ht="14.45" customHeight="1" x14ac:dyDescent="0.25">
      <c r="C49" s="50">
        <v>44</v>
      </c>
      <c r="D49" s="62">
        <f t="shared" ca="1" si="1"/>
        <v>0.6594843950053072</v>
      </c>
      <c r="E49" s="81" t="s">
        <v>183</v>
      </c>
      <c r="F49" s="21">
        <v>43</v>
      </c>
      <c r="G49" s="21" cm="1">
        <f t="array" aca="1" ref="G49" ca="1">CELL("fila",G49)-1</f>
        <v>48</v>
      </c>
      <c r="H49" s="54"/>
      <c r="I49" s="54"/>
      <c r="J49" s="59"/>
    </row>
    <row r="50" spans="3:10" ht="14.45" customHeight="1" x14ac:dyDescent="0.25">
      <c r="C50" s="50">
        <v>45</v>
      </c>
      <c r="D50" s="62">
        <f t="shared" ca="1" si="1"/>
        <v>0.82143066786838004</v>
      </c>
      <c r="E50" s="81" t="s">
        <v>183</v>
      </c>
      <c r="F50" s="21">
        <v>44</v>
      </c>
      <c r="G50" s="21" cm="1">
        <f t="array" aca="1" ref="G50" ca="1">CELL("fila",G50)-1</f>
        <v>49</v>
      </c>
      <c r="H50" s="54"/>
      <c r="I50" s="54"/>
      <c r="J50" s="59"/>
    </row>
    <row r="51" spans="3:10" ht="14.45" customHeight="1" x14ac:dyDescent="0.25">
      <c r="C51" s="50">
        <v>46</v>
      </c>
      <c r="D51" s="62">
        <f t="shared" ca="1" si="1"/>
        <v>0.91630763341347987</v>
      </c>
      <c r="E51" s="81" t="s">
        <v>183</v>
      </c>
      <c r="F51" s="21">
        <v>45</v>
      </c>
      <c r="G51" s="21" cm="1">
        <f t="array" aca="1" ref="G51" ca="1">CELL("fila",G51)-1</f>
        <v>50</v>
      </c>
      <c r="H51" s="54"/>
      <c r="I51" s="54"/>
      <c r="J51" s="59"/>
    </row>
    <row r="52" spans="3:10" ht="14.45" customHeight="1" x14ac:dyDescent="0.25">
      <c r="C52" s="50">
        <v>47</v>
      </c>
      <c r="D52" s="62">
        <f t="shared" ca="1" si="1"/>
        <v>0.91089228997299121</v>
      </c>
      <c r="E52" s="81" t="s">
        <v>183</v>
      </c>
      <c r="F52" s="21">
        <v>46</v>
      </c>
      <c r="G52" s="21" cm="1">
        <f t="array" aca="1" ref="G52" ca="1">CELL("fila",G52)-1</f>
        <v>51</v>
      </c>
      <c r="H52" s="54"/>
      <c r="I52" s="54"/>
      <c r="J52" s="59"/>
    </row>
    <row r="53" spans="3:10" ht="14.45" customHeight="1" x14ac:dyDescent="0.25">
      <c r="C53" s="50">
        <v>48</v>
      </c>
      <c r="D53" s="62">
        <f t="shared" ca="1" si="1"/>
        <v>0.66464430297381283</v>
      </c>
      <c r="E53" s="81" t="s">
        <v>183</v>
      </c>
      <c r="F53" s="21">
        <v>47</v>
      </c>
      <c r="G53" s="21" cm="1">
        <f t="array" aca="1" ref="G53" ca="1">CELL("fila",G53)-1</f>
        <v>52</v>
      </c>
      <c r="H53" s="54"/>
      <c r="I53" s="54"/>
      <c r="J53" s="59"/>
    </row>
    <row r="54" spans="3:10" ht="14.45" customHeight="1" x14ac:dyDescent="0.25">
      <c r="C54" s="50">
        <v>49</v>
      </c>
      <c r="D54" s="62">
        <f t="shared" ca="1" si="1"/>
        <v>0.91269775867576208</v>
      </c>
      <c r="E54" s="81" t="s">
        <v>183</v>
      </c>
      <c r="F54" s="21">
        <v>48</v>
      </c>
      <c r="G54" s="21" cm="1">
        <f t="array" aca="1" ref="G54" ca="1">CELL("fila",G54)-1</f>
        <v>53</v>
      </c>
      <c r="H54" s="54"/>
      <c r="I54" s="54"/>
      <c r="J54" s="59"/>
    </row>
    <row r="55" spans="3:10" ht="14.45" customHeight="1" x14ac:dyDescent="0.25">
      <c r="C55" s="50">
        <v>50</v>
      </c>
      <c r="D55" s="62">
        <f t="shared" ca="1" si="1"/>
        <v>0.27184303158586032</v>
      </c>
      <c r="E55" s="81" t="s">
        <v>183</v>
      </c>
      <c r="F55" s="21">
        <v>49</v>
      </c>
      <c r="G55" s="21" cm="1">
        <f t="array" aca="1" ref="G55" ca="1">CELL("fila",G55)-1</f>
        <v>54</v>
      </c>
      <c r="H55" s="54"/>
      <c r="I55" s="54"/>
      <c r="J55" s="59"/>
    </row>
    <row r="56" spans="3:10" ht="14.45" customHeight="1" x14ac:dyDescent="0.25">
      <c r="C56" s="50">
        <v>51</v>
      </c>
      <c r="D56" s="62">
        <f t="shared" ca="1" si="1"/>
        <v>0.28910120442978759</v>
      </c>
      <c r="E56" s="81" t="s">
        <v>183</v>
      </c>
      <c r="F56" s="21">
        <v>50</v>
      </c>
      <c r="G56" s="21" cm="1">
        <f t="array" aca="1" ref="G56" ca="1">CELL("fila",G56)-1</f>
        <v>55</v>
      </c>
      <c r="H56" s="54"/>
      <c r="I56" s="54"/>
      <c r="J56" s="59"/>
    </row>
    <row r="57" spans="3:10" ht="14.45" customHeight="1" x14ac:dyDescent="0.25">
      <c r="C57" s="50">
        <v>52</v>
      </c>
      <c r="D57" s="62">
        <f t="shared" ca="1" si="1"/>
        <v>0.31974971177969613</v>
      </c>
      <c r="E57" s="81" t="s">
        <v>183</v>
      </c>
      <c r="F57" s="21">
        <v>51</v>
      </c>
      <c r="G57" s="21" cm="1">
        <f t="array" aca="1" ref="G57" ca="1">CELL("fila",G57)-1</f>
        <v>56</v>
      </c>
      <c r="H57" s="54"/>
      <c r="I57" s="54"/>
      <c r="J57" s="59"/>
    </row>
    <row r="58" spans="3:10" ht="14.45" customHeight="1" x14ac:dyDescent="0.25">
      <c r="C58" s="50">
        <v>53</v>
      </c>
      <c r="D58" s="62">
        <f t="shared" ca="1" si="1"/>
        <v>0.46445533376847847</v>
      </c>
      <c r="E58" s="81" t="s">
        <v>183</v>
      </c>
      <c r="F58" s="21">
        <v>52</v>
      </c>
      <c r="G58" s="21" cm="1">
        <f t="array" aca="1" ref="G58" ca="1">CELL("fila",G58)-1</f>
        <v>57</v>
      </c>
      <c r="H58" s="54"/>
      <c r="I58" s="54"/>
      <c r="J58" s="59"/>
    </row>
    <row r="59" spans="3:10" ht="14.45" customHeight="1" x14ac:dyDescent="0.25">
      <c r="C59" s="50">
        <v>54</v>
      </c>
      <c r="D59" s="62">
        <f t="shared" ca="1" si="1"/>
        <v>0.81137043414152388</v>
      </c>
      <c r="E59" s="81" t="s">
        <v>183</v>
      </c>
      <c r="F59" s="21">
        <v>53</v>
      </c>
      <c r="G59" s="21" cm="1">
        <f t="array" aca="1" ref="G59" ca="1">CELL("fila",G59)-1</f>
        <v>58</v>
      </c>
      <c r="H59" s="54"/>
      <c r="I59" s="54"/>
      <c r="J59" s="59"/>
    </row>
    <row r="60" spans="3:10" ht="14.45" customHeight="1" x14ac:dyDescent="0.25">
      <c r="C60" s="50">
        <v>55</v>
      </c>
      <c r="D60" s="62">
        <f t="shared" ca="1" si="1"/>
        <v>0.51356126549439496</v>
      </c>
      <c r="E60" s="81" t="s">
        <v>183</v>
      </c>
      <c r="F60" s="21">
        <v>54</v>
      </c>
      <c r="G60" s="21" cm="1">
        <f t="array" aca="1" ref="G60" ca="1">CELL("fila",G60)-1</f>
        <v>59</v>
      </c>
      <c r="H60" s="54"/>
      <c r="I60" s="54"/>
      <c r="J60" s="59"/>
    </row>
    <row r="61" spans="3:10" ht="14.45" customHeight="1" x14ac:dyDescent="0.25">
      <c r="C61" s="50">
        <v>56</v>
      </c>
      <c r="D61" s="62">
        <f t="shared" ca="1" si="1"/>
        <v>0.36907907052225541</v>
      </c>
      <c r="E61" s="81" t="s">
        <v>183</v>
      </c>
      <c r="F61" s="21">
        <v>55</v>
      </c>
      <c r="G61" s="21" cm="1">
        <f t="array" aca="1" ref="G61" ca="1">CELL("fila",G61)-1</f>
        <v>60</v>
      </c>
      <c r="H61" s="54"/>
      <c r="I61" s="54"/>
      <c r="J61" s="59"/>
    </row>
    <row r="62" spans="3:10" ht="14.45" customHeight="1" x14ac:dyDescent="0.25">
      <c r="C62" s="50">
        <v>57</v>
      </c>
      <c r="D62" s="62">
        <f t="shared" ca="1" si="1"/>
        <v>0.9444985916680223</v>
      </c>
      <c r="E62" s="81" t="s">
        <v>183</v>
      </c>
      <c r="F62" s="21">
        <v>56</v>
      </c>
      <c r="G62" s="21" cm="1">
        <f t="array" aca="1" ref="G62" ca="1">CELL("fila",G62)-1</f>
        <v>61</v>
      </c>
      <c r="H62" s="54"/>
      <c r="I62" s="54"/>
      <c r="J62" s="59"/>
    </row>
    <row r="63" spans="3:10" ht="14.45" customHeight="1" x14ac:dyDescent="0.25">
      <c r="C63" s="50">
        <v>58</v>
      </c>
      <c r="D63" s="62">
        <f t="shared" ca="1" si="1"/>
        <v>0.70848848897103589</v>
      </c>
      <c r="E63" s="81" t="s">
        <v>183</v>
      </c>
      <c r="F63" s="21">
        <v>57</v>
      </c>
      <c r="G63" s="21" cm="1">
        <f t="array" aca="1" ref="G63" ca="1">CELL("fila",G63)-1</f>
        <v>62</v>
      </c>
      <c r="H63" s="54"/>
      <c r="I63" s="54"/>
      <c r="J63" s="59"/>
    </row>
    <row r="64" spans="3:10" ht="14.45" customHeight="1" x14ac:dyDescent="0.25">
      <c r="C64" s="50">
        <v>59</v>
      </c>
      <c r="D64" s="62">
        <f t="shared" ca="1" si="1"/>
        <v>0.80516764385703521</v>
      </c>
      <c r="E64" s="81" t="s">
        <v>183</v>
      </c>
      <c r="F64" s="21">
        <v>58</v>
      </c>
      <c r="G64" s="21" cm="1">
        <f t="array" aca="1" ref="G64" ca="1">CELL("fila",G64)-1</f>
        <v>63</v>
      </c>
      <c r="H64" s="54"/>
      <c r="I64" s="54"/>
      <c r="J64" s="59"/>
    </row>
    <row r="65" spans="3:10" ht="14.45" customHeight="1" x14ac:dyDescent="0.25">
      <c r="C65" s="50">
        <v>60</v>
      </c>
      <c r="D65" s="62">
        <f t="shared" ca="1" si="1"/>
        <v>0.13300033386897825</v>
      </c>
      <c r="E65" s="81" t="s">
        <v>183</v>
      </c>
      <c r="F65" s="21">
        <v>59</v>
      </c>
      <c r="G65" s="21" cm="1">
        <f t="array" aca="1" ref="G65" ca="1">CELL("fila",G65)-1</f>
        <v>64</v>
      </c>
      <c r="H65" s="54"/>
      <c r="I65" s="54"/>
      <c r="J65" s="59"/>
    </row>
    <row r="66" spans="3:10" ht="14.45" customHeight="1" x14ac:dyDescent="0.25">
      <c r="C66" s="50">
        <v>61</v>
      </c>
      <c r="D66" s="62">
        <f t="shared" ca="1" si="1"/>
        <v>0.114540214477587</v>
      </c>
      <c r="E66" s="81" t="s">
        <v>183</v>
      </c>
      <c r="F66" s="21">
        <v>60</v>
      </c>
      <c r="G66" s="21" cm="1">
        <f t="array" aca="1" ref="G66" ca="1">CELL("fila",G66)-1</f>
        <v>65</v>
      </c>
      <c r="H66" s="54"/>
      <c r="I66" s="54"/>
      <c r="J66" s="59"/>
    </row>
    <row r="67" spans="3:10" ht="14.45" customHeight="1" x14ac:dyDescent="0.25">
      <c r="C67" s="50">
        <v>62</v>
      </c>
      <c r="D67" s="62">
        <f t="shared" ca="1" si="1"/>
        <v>0.99998610667104681</v>
      </c>
      <c r="E67" s="81" t="s">
        <v>183</v>
      </c>
      <c r="F67" s="21">
        <v>61</v>
      </c>
      <c r="G67" s="21" cm="1">
        <f t="array" aca="1" ref="G67" ca="1">CELL("fila",G67)-1</f>
        <v>66</v>
      </c>
      <c r="H67" s="54"/>
      <c r="I67" s="54"/>
      <c r="J67" s="59"/>
    </row>
    <row r="68" spans="3:10" ht="14.45" customHeight="1" x14ac:dyDescent="0.25">
      <c r="C68" s="50">
        <v>63</v>
      </c>
      <c r="D68" s="62">
        <f t="shared" ca="1" si="1"/>
        <v>0.48522252762908957</v>
      </c>
      <c r="E68" s="81" t="s">
        <v>183</v>
      </c>
      <c r="F68" s="21">
        <v>62</v>
      </c>
      <c r="G68" s="21" cm="1">
        <f t="array" aca="1" ref="G68" ca="1">CELL("fila",G68)-1</f>
        <v>67</v>
      </c>
      <c r="H68" s="54"/>
      <c r="I68" s="54"/>
      <c r="J68" s="59"/>
    </row>
    <row r="69" spans="3:10" ht="14.45" customHeight="1" x14ac:dyDescent="0.25">
      <c r="C69" s="50">
        <v>64</v>
      </c>
      <c r="D69" s="62">
        <f t="shared" ca="1" si="1"/>
        <v>0.68936342435163922</v>
      </c>
      <c r="E69" s="81" t="s">
        <v>183</v>
      </c>
      <c r="F69" s="21">
        <v>63</v>
      </c>
      <c r="G69" s="21" cm="1">
        <f t="array" aca="1" ref="G69" ca="1">CELL("fila",G69)-1</f>
        <v>68</v>
      </c>
      <c r="H69" s="54"/>
      <c r="I69" s="54"/>
      <c r="J69" s="59"/>
    </row>
    <row r="70" spans="3:10" ht="14.45" customHeight="1" x14ac:dyDescent="0.25">
      <c r="C70" s="50">
        <v>65</v>
      </c>
      <c r="D70" s="62">
        <f t="shared" ca="1" si="1"/>
        <v>0.42929024808570548</v>
      </c>
      <c r="E70" s="81" t="s">
        <v>183</v>
      </c>
      <c r="F70" s="21">
        <v>64</v>
      </c>
      <c r="G70" s="21" cm="1">
        <f t="array" aca="1" ref="G70" ca="1">CELL("fila",G70)-1</f>
        <v>69</v>
      </c>
      <c r="H70" s="54"/>
      <c r="I70" s="54"/>
      <c r="J70" s="59"/>
    </row>
    <row r="71" spans="3:10" ht="14.45" customHeight="1" x14ac:dyDescent="0.25">
      <c r="C71" s="50">
        <v>66</v>
      </c>
      <c r="D71" s="62">
        <f t="shared" ca="1" si="1"/>
        <v>0.30312813501697744</v>
      </c>
      <c r="E71" s="81" t="s">
        <v>183</v>
      </c>
      <c r="F71" s="21">
        <v>65</v>
      </c>
      <c r="G71" s="21" cm="1">
        <f t="array" aca="1" ref="G71" ca="1">CELL("fila",G71)-1</f>
        <v>70</v>
      </c>
      <c r="H71" s="54"/>
      <c r="I71" s="54"/>
      <c r="J71" s="59"/>
    </row>
    <row r="72" spans="3:10" ht="14.45" customHeight="1" x14ac:dyDescent="0.25">
      <c r="C72" s="50">
        <v>67</v>
      </c>
      <c r="D72" s="62">
        <f t="shared" ref="D72:D94" ca="1" si="2">RAND()</f>
        <v>0.87435485558026915</v>
      </c>
      <c r="E72" s="81" t="s">
        <v>183</v>
      </c>
      <c r="F72" s="21">
        <v>66</v>
      </c>
      <c r="G72" s="21" cm="1">
        <f t="array" aca="1" ref="G72" ca="1">CELL("fila",G72)-1</f>
        <v>71</v>
      </c>
      <c r="H72" s="54"/>
      <c r="I72" s="54"/>
      <c r="J72" s="59"/>
    </row>
    <row r="73" spans="3:10" ht="14.45" customHeight="1" x14ac:dyDescent="0.25">
      <c r="C73" s="50">
        <v>68</v>
      </c>
      <c r="D73" s="62">
        <f t="shared" ca="1" si="2"/>
        <v>0.28852858366625678</v>
      </c>
      <c r="E73" s="81" t="s">
        <v>183</v>
      </c>
      <c r="F73" s="21">
        <v>67</v>
      </c>
      <c r="G73" s="21" cm="1">
        <f t="array" aca="1" ref="G73" ca="1">CELL("fila",G73)-1</f>
        <v>72</v>
      </c>
      <c r="H73" s="54"/>
      <c r="I73" s="54"/>
      <c r="J73" s="59"/>
    </row>
    <row r="74" spans="3:10" ht="14.45" customHeight="1" x14ac:dyDescent="0.25">
      <c r="C74" s="50">
        <v>69</v>
      </c>
      <c r="D74" s="62">
        <f t="shared" ca="1" si="2"/>
        <v>0.39442925577536658</v>
      </c>
      <c r="E74" s="81" t="s">
        <v>183</v>
      </c>
      <c r="F74" s="21">
        <v>68</v>
      </c>
      <c r="G74" s="21" cm="1">
        <f t="array" aca="1" ref="G74" ca="1">CELL("fila",G74)-1</f>
        <v>73</v>
      </c>
      <c r="H74" s="54"/>
      <c r="I74" s="54"/>
      <c r="J74" s="59"/>
    </row>
    <row r="75" spans="3:10" ht="14.45" customHeight="1" x14ac:dyDescent="0.25">
      <c r="C75" s="50">
        <v>70</v>
      </c>
      <c r="D75" s="62">
        <f t="shared" ca="1" si="2"/>
        <v>0.9928608388972997</v>
      </c>
      <c r="E75" s="81" t="s">
        <v>183</v>
      </c>
      <c r="F75" s="21">
        <v>69</v>
      </c>
      <c r="G75" s="21" cm="1">
        <f t="array" aca="1" ref="G75" ca="1">CELL("fila",G75)-1</f>
        <v>74</v>
      </c>
      <c r="H75" s="54"/>
      <c r="I75" s="54"/>
      <c r="J75" s="59"/>
    </row>
    <row r="76" spans="3:10" ht="14.45" customHeight="1" x14ac:dyDescent="0.25">
      <c r="C76" s="50">
        <v>71</v>
      </c>
      <c r="D76" s="62">
        <f t="shared" ca="1" si="2"/>
        <v>0.23025454294510583</v>
      </c>
      <c r="E76" s="81" t="s">
        <v>183</v>
      </c>
      <c r="F76" s="21">
        <v>70</v>
      </c>
      <c r="G76" s="21" cm="1">
        <f t="array" aca="1" ref="G76" ca="1">CELL("fila",G76)-1</f>
        <v>75</v>
      </c>
      <c r="H76" s="54"/>
      <c r="I76" s="54"/>
      <c r="J76" s="59"/>
    </row>
    <row r="77" spans="3:10" ht="14.45" customHeight="1" x14ac:dyDescent="0.25">
      <c r="C77" s="50">
        <v>72</v>
      </c>
      <c r="D77" s="62">
        <f t="shared" ca="1" si="2"/>
        <v>0.46840470078058694</v>
      </c>
      <c r="E77" s="81" t="s">
        <v>183</v>
      </c>
      <c r="F77" s="21">
        <v>71</v>
      </c>
      <c r="G77" s="21" cm="1">
        <f t="array" aca="1" ref="G77" ca="1">CELL("fila",G77)-1</f>
        <v>76</v>
      </c>
      <c r="H77" s="54"/>
      <c r="I77" s="54"/>
      <c r="J77" s="59"/>
    </row>
    <row r="78" spans="3:10" ht="14.45" customHeight="1" x14ac:dyDescent="0.25">
      <c r="C78" s="50">
        <v>73</v>
      </c>
      <c r="D78" s="62">
        <f t="shared" ca="1" si="2"/>
        <v>3.5169729084677304E-2</v>
      </c>
      <c r="E78" s="81" t="s">
        <v>183</v>
      </c>
      <c r="F78" s="21">
        <v>72</v>
      </c>
      <c r="G78" s="21" cm="1">
        <f t="array" aca="1" ref="G78" ca="1">CELL("fila",G78)-1</f>
        <v>77</v>
      </c>
      <c r="H78" s="54"/>
      <c r="I78" s="54"/>
      <c r="J78" s="59"/>
    </row>
    <row r="79" spans="3:10" ht="14.45" customHeight="1" x14ac:dyDescent="0.25">
      <c r="C79" s="50">
        <v>74</v>
      </c>
      <c r="D79" s="62">
        <f t="shared" ca="1" si="2"/>
        <v>8.5128072789373288E-3</v>
      </c>
      <c r="E79" s="81" t="s">
        <v>183</v>
      </c>
      <c r="F79" s="21">
        <v>73</v>
      </c>
      <c r="G79" s="21" cm="1">
        <f t="array" aca="1" ref="G79" ca="1">CELL("fila",G79)-1</f>
        <v>78</v>
      </c>
      <c r="H79" s="54"/>
      <c r="I79" s="54"/>
      <c r="J79" s="59"/>
    </row>
    <row r="80" spans="3:10" ht="14.45" customHeight="1" x14ac:dyDescent="0.25">
      <c r="C80" s="50">
        <v>75</v>
      </c>
      <c r="D80" s="62">
        <f t="shared" ca="1" si="2"/>
        <v>0.21623268317088251</v>
      </c>
      <c r="E80" s="81" t="s">
        <v>183</v>
      </c>
      <c r="F80" s="21">
        <v>74</v>
      </c>
      <c r="G80" s="21" cm="1">
        <f t="array" aca="1" ref="G80" ca="1">CELL("fila",G80)-1</f>
        <v>79</v>
      </c>
      <c r="H80" s="54"/>
      <c r="I80" s="54"/>
      <c r="J80" s="59"/>
    </row>
    <row r="81" spans="3:10" ht="14.45" customHeight="1" x14ac:dyDescent="0.25">
      <c r="C81" s="50">
        <v>76</v>
      </c>
      <c r="D81" s="62">
        <f t="shared" ca="1" si="2"/>
        <v>5.6891647391260292E-2</v>
      </c>
      <c r="E81" s="81" t="s">
        <v>183</v>
      </c>
      <c r="F81" s="21">
        <v>75</v>
      </c>
      <c r="G81" s="21" cm="1">
        <f t="array" aca="1" ref="G81" ca="1">CELL("fila",G81)-1</f>
        <v>80</v>
      </c>
      <c r="H81" s="54"/>
      <c r="I81" s="54"/>
      <c r="J81" s="59"/>
    </row>
    <row r="82" spans="3:10" ht="14.45" customHeight="1" x14ac:dyDescent="0.25">
      <c r="C82" s="50">
        <v>77</v>
      </c>
      <c r="D82" s="62">
        <f t="shared" ca="1" si="2"/>
        <v>9.5738865858897682E-2</v>
      </c>
      <c r="E82" s="81" t="s">
        <v>183</v>
      </c>
      <c r="F82" s="21">
        <v>76</v>
      </c>
      <c r="G82" s="21" cm="1">
        <f t="array" aca="1" ref="G82" ca="1">CELL("fila",G82)-1</f>
        <v>81</v>
      </c>
      <c r="H82" s="54"/>
      <c r="I82" s="54"/>
      <c r="J82" s="59"/>
    </row>
    <row r="83" spans="3:10" ht="14.45" customHeight="1" x14ac:dyDescent="0.25">
      <c r="C83" s="50">
        <v>78</v>
      </c>
      <c r="D83" s="62">
        <f t="shared" ca="1" si="2"/>
        <v>0.42220170500034504</v>
      </c>
      <c r="E83" s="81" t="s">
        <v>183</v>
      </c>
      <c r="F83" s="21">
        <v>77</v>
      </c>
      <c r="G83" s="21" cm="1">
        <f t="array" aca="1" ref="G83" ca="1">CELL("fila",G83)-1</f>
        <v>82</v>
      </c>
      <c r="H83" s="54"/>
      <c r="I83" s="54"/>
      <c r="J83" s="59"/>
    </row>
    <row r="84" spans="3:10" ht="14.45" customHeight="1" x14ac:dyDescent="0.25">
      <c r="C84" s="50">
        <v>79</v>
      </c>
      <c r="D84" s="62">
        <f t="shared" ca="1" si="2"/>
        <v>0.91649782836378135</v>
      </c>
      <c r="E84" s="81" t="s">
        <v>183</v>
      </c>
      <c r="F84" s="21">
        <v>78</v>
      </c>
      <c r="G84" s="21" cm="1">
        <f t="array" aca="1" ref="G84" ca="1">CELL("fila",G84)-1</f>
        <v>83</v>
      </c>
      <c r="H84" s="54"/>
      <c r="I84" s="54"/>
      <c r="J84" s="59"/>
    </row>
    <row r="85" spans="3:10" ht="14.45" customHeight="1" x14ac:dyDescent="0.25">
      <c r="C85" s="50">
        <v>80</v>
      </c>
      <c r="D85" s="62">
        <f t="shared" ca="1" si="2"/>
        <v>0.3306470355260942</v>
      </c>
      <c r="E85" s="81" t="s">
        <v>183</v>
      </c>
      <c r="F85" s="21">
        <v>79</v>
      </c>
      <c r="G85" s="21" cm="1">
        <f t="array" aca="1" ref="G85" ca="1">CELL("fila",G85)-1</f>
        <v>84</v>
      </c>
      <c r="H85" s="54"/>
      <c r="I85" s="54"/>
      <c r="J85" s="59"/>
    </row>
    <row r="86" spans="3:10" ht="14.45" customHeight="1" x14ac:dyDescent="0.25">
      <c r="C86" s="50">
        <v>81</v>
      </c>
      <c r="D86" s="62">
        <f t="shared" ca="1" si="2"/>
        <v>0.746884658901939</v>
      </c>
      <c r="E86" s="81" t="s">
        <v>183</v>
      </c>
      <c r="F86" s="21">
        <v>80</v>
      </c>
      <c r="G86" s="21" cm="1">
        <f t="array" aca="1" ref="G86" ca="1">CELL("fila",G86)-1</f>
        <v>85</v>
      </c>
      <c r="H86" s="54"/>
      <c r="I86" s="54"/>
      <c r="J86" s="59"/>
    </row>
    <row r="87" spans="3:10" ht="14.45" customHeight="1" x14ac:dyDescent="0.25">
      <c r="C87" s="50">
        <v>82</v>
      </c>
      <c r="D87" s="62">
        <f t="shared" ca="1" si="2"/>
        <v>0.65644836501288184</v>
      </c>
      <c r="E87" s="81" t="s">
        <v>183</v>
      </c>
      <c r="F87" s="21">
        <v>81</v>
      </c>
      <c r="G87" s="21" cm="1">
        <f t="array" aca="1" ref="G87" ca="1">CELL("fila",G87)-1</f>
        <v>86</v>
      </c>
      <c r="H87" s="54"/>
      <c r="I87" s="54"/>
      <c r="J87" s="59"/>
    </row>
    <row r="88" spans="3:10" ht="14.45" customHeight="1" x14ac:dyDescent="0.25">
      <c r="C88" s="50">
        <v>83</v>
      </c>
      <c r="D88" s="62">
        <f t="shared" ca="1" si="2"/>
        <v>0.21700808312893904</v>
      </c>
      <c r="E88" s="81" t="s">
        <v>183</v>
      </c>
      <c r="F88" s="21">
        <v>82</v>
      </c>
      <c r="G88" s="21" cm="1">
        <f t="array" aca="1" ref="G88" ca="1">CELL("fila",G88)-1</f>
        <v>87</v>
      </c>
      <c r="H88" s="54"/>
      <c r="I88" s="54"/>
      <c r="J88" s="59"/>
    </row>
    <row r="89" spans="3:10" ht="14.45" customHeight="1" x14ac:dyDescent="0.25">
      <c r="C89" s="50">
        <v>84</v>
      </c>
      <c r="D89" s="62">
        <f t="shared" ca="1" si="2"/>
        <v>0.49673729327797922</v>
      </c>
      <c r="E89" s="81" t="s">
        <v>183</v>
      </c>
      <c r="F89" s="21">
        <v>83</v>
      </c>
      <c r="G89" s="21" cm="1">
        <f t="array" aca="1" ref="G89" ca="1">CELL("fila",G89)-1</f>
        <v>88</v>
      </c>
      <c r="H89" s="54"/>
      <c r="I89" s="54"/>
      <c r="J89" s="59"/>
    </row>
    <row r="90" spans="3:10" ht="14.45" customHeight="1" x14ac:dyDescent="0.25">
      <c r="C90" s="52">
        <v>85</v>
      </c>
      <c r="D90" s="62">
        <f t="shared" ca="1" si="2"/>
        <v>0.48049164113699572</v>
      </c>
      <c r="E90" s="81" t="s">
        <v>183</v>
      </c>
      <c r="F90" s="21">
        <v>84</v>
      </c>
      <c r="G90" s="21" cm="1">
        <f t="array" aca="1" ref="G90" ca="1">CELL("fila",G90)-1</f>
        <v>89</v>
      </c>
      <c r="H90" s="54"/>
      <c r="I90" s="54"/>
      <c r="J90" s="59"/>
    </row>
    <row r="91" spans="3:10" ht="14.45" customHeight="1" x14ac:dyDescent="0.25">
      <c r="C91" s="52">
        <v>86</v>
      </c>
      <c r="D91" s="62">
        <f t="shared" ca="1" si="2"/>
        <v>0.82931782746696558</v>
      </c>
      <c r="E91" s="81" t="s">
        <v>183</v>
      </c>
      <c r="F91" s="21">
        <v>85</v>
      </c>
      <c r="G91" s="21" cm="1">
        <f t="array" aca="1" ref="G91" ca="1">CELL("fila",G91)-1</f>
        <v>90</v>
      </c>
      <c r="H91" s="54"/>
      <c r="I91" s="54"/>
      <c r="J91" s="59"/>
    </row>
    <row r="92" spans="3:10" ht="14.45" customHeight="1" x14ac:dyDescent="0.25">
      <c r="C92" s="52">
        <v>87</v>
      </c>
      <c r="D92" s="62">
        <f t="shared" ca="1" si="2"/>
        <v>0.19612522826262635</v>
      </c>
      <c r="E92" s="81" t="s">
        <v>183</v>
      </c>
      <c r="F92" s="21">
        <v>86</v>
      </c>
      <c r="G92" s="21" cm="1">
        <f t="array" aca="1" ref="G92" ca="1">CELL("fila",G92)-1</f>
        <v>91</v>
      </c>
      <c r="H92" s="54"/>
      <c r="I92" s="54"/>
      <c r="J92" s="59"/>
    </row>
    <row r="93" spans="3:10" ht="14.45" customHeight="1" x14ac:dyDescent="0.25">
      <c r="C93" s="52">
        <v>88</v>
      </c>
      <c r="D93" s="62">
        <f t="shared" ca="1" si="2"/>
        <v>0.59073114255825132</v>
      </c>
      <c r="E93" s="81" t="s">
        <v>183</v>
      </c>
      <c r="F93" s="21">
        <v>87</v>
      </c>
      <c r="G93" s="21" cm="1">
        <f t="array" aca="1" ref="G93" ca="1">CELL("fila",G93)-1</f>
        <v>92</v>
      </c>
      <c r="H93" s="54"/>
      <c r="I93" s="54"/>
      <c r="J93" s="59"/>
    </row>
    <row r="94" spans="3:10" ht="14.45" customHeight="1" x14ac:dyDescent="0.25">
      <c r="C94" s="52">
        <v>89</v>
      </c>
      <c r="D94" s="62">
        <f t="shared" ca="1" si="2"/>
        <v>0.35751975784369461</v>
      </c>
      <c r="E94" s="81" t="s">
        <v>183</v>
      </c>
      <c r="F94" s="21">
        <v>88</v>
      </c>
      <c r="G94" s="21" cm="1">
        <f t="array" aca="1" ref="G94" ca="1">CELL("fila",G94)-1</f>
        <v>93</v>
      </c>
      <c r="H94" s="54"/>
      <c r="I94" s="54"/>
      <c r="J94" s="59"/>
    </row>
    <row r="95" spans="3:10" ht="14.45" customHeight="1" thickBot="1" x14ac:dyDescent="0.3">
      <c r="C95" s="51">
        <v>90</v>
      </c>
      <c r="D95" s="63">
        <f ca="1">RAND()</f>
        <v>0.56280626720638294</v>
      </c>
      <c r="E95" s="83" t="s">
        <v>183</v>
      </c>
      <c r="F95" s="65">
        <v>89</v>
      </c>
      <c r="G95" s="66" cm="1">
        <f t="array" aca="1" ref="G95" ca="1">CELL("fila",G95)-1</f>
        <v>94</v>
      </c>
      <c r="H95" s="54"/>
      <c r="I95" s="54"/>
      <c r="J95" s="59"/>
    </row>
    <row r="96" spans="3:10" ht="43.9" customHeight="1" x14ac:dyDescent="0.25"/>
    <row r="97" ht="43.9" customHeight="1" x14ac:dyDescent="0.25"/>
    <row r="98" ht="43.9" customHeight="1" x14ac:dyDescent="0.25"/>
    <row r="99" ht="43.9" customHeight="1" x14ac:dyDescent="0.25"/>
    <row r="100" ht="43.9" customHeight="1" x14ac:dyDescent="0.25"/>
    <row r="101" ht="43.9" customHeight="1" x14ac:dyDescent="0.25"/>
    <row r="102" ht="43.9" customHeight="1" x14ac:dyDescent="0.25"/>
    <row r="103" ht="43.9" customHeight="1" x14ac:dyDescent="0.25"/>
    <row r="104" ht="43.9" customHeight="1" x14ac:dyDescent="0.25"/>
    <row r="105" ht="15" hidden="1" x14ac:dyDescent="0.25"/>
    <row r="106" ht="15" hidden="1" x14ac:dyDescent="0.25"/>
    <row r="107" ht="15" hidden="1" x14ac:dyDescent="0.25"/>
    <row r="108" ht="15" hidden="1" x14ac:dyDescent="0.25"/>
    <row r="109" ht="15" hidden="1" x14ac:dyDescent="0.25"/>
    <row r="110" ht="15" hidden="1" x14ac:dyDescent="0.25"/>
    <row r="111" ht="15" hidden="1" x14ac:dyDescent="0.25"/>
    <row r="112" ht="15" hidden="1" x14ac:dyDescent="0.25"/>
    <row r="113" ht="15" hidden="1" x14ac:dyDescent="0.25"/>
    <row r="114" ht="15" hidden="1" x14ac:dyDescent="0.25"/>
    <row r="115" ht="15" hidden="1" x14ac:dyDescent="0.25"/>
    <row r="116" ht="15" hidden="1" x14ac:dyDescent="0.25"/>
    <row r="117" ht="15" hidden="1" x14ac:dyDescent="0.25"/>
    <row r="118" ht="15" hidden="1" x14ac:dyDescent="0.25"/>
    <row r="119" ht="15" hidden="1" x14ac:dyDescent="0.25"/>
    <row r="120" ht="15" hidden="1" x14ac:dyDescent="0.25"/>
    <row r="121" ht="15" hidden="1" x14ac:dyDescent="0.25"/>
    <row r="122" ht="15" hidden="1" x14ac:dyDescent="0.25"/>
    <row r="123" ht="15" hidden="1" x14ac:dyDescent="0.25"/>
    <row r="124" ht="15" hidden="1" x14ac:dyDescent="0.25"/>
    <row r="125" ht="15" hidden="1" x14ac:dyDescent="0.25"/>
    <row r="126" ht="15" hidden="1" x14ac:dyDescent="0.25"/>
    <row r="127" ht="15" hidden="1" x14ac:dyDescent="0.25"/>
    <row r="128" ht="15" hidden="1" x14ac:dyDescent="0.25"/>
    <row r="129" ht="15" hidden="1" x14ac:dyDescent="0.25"/>
  </sheetData>
  <sheetProtection algorithmName="SHA-512" hashValue="ZYSLxS7zS8JS+kOZxpSfOGSrFLWjX55pVBQS+c4ULRqAvFwFTz8SsftP8BhdRQN6oJglwHWDk5BeFOHnlJW7Ng==" saltValue="Ts0lKNv9O5tKffJ1D0SBCw==" spinCount="100000" sheet="1" objects="1" scenarios="1" selectLockedCells="1"/>
  <mergeCells count="3">
    <mergeCell ref="C4:J4"/>
    <mergeCell ref="I5:J5"/>
    <mergeCell ref="C2:H2"/>
  </mergeCells>
  <phoneticPr fontId="13" type="noConversion"/>
  <conditionalFormatting sqref="I13:J13">
    <cfRule type="expression" dxfId="134" priority="9">
      <formula>$H$6&lt;8</formula>
    </cfRule>
  </conditionalFormatting>
  <conditionalFormatting sqref="I14:J14">
    <cfRule type="expression" dxfId="133" priority="10">
      <formula>$H$6&lt;9</formula>
    </cfRule>
  </conditionalFormatting>
  <conditionalFormatting sqref="I15:J15">
    <cfRule type="expression" dxfId="132" priority="11">
      <formula>$H$6&lt;10</formula>
    </cfRule>
  </conditionalFormatting>
  <conditionalFormatting sqref="I12:J12">
    <cfRule type="expression" dxfId="131" priority="8">
      <formula>$H$6&lt;7</formula>
    </cfRule>
  </conditionalFormatting>
  <conditionalFormatting sqref="I11:J11">
    <cfRule type="expression" dxfId="130" priority="7">
      <formula>$H$6&lt;6</formula>
    </cfRule>
  </conditionalFormatting>
  <conditionalFormatting sqref="I10:J10">
    <cfRule type="expression" dxfId="129" priority="6">
      <formula>$H$6&lt;5</formula>
    </cfRule>
  </conditionalFormatting>
  <conditionalFormatting sqref="I9:J9">
    <cfRule type="expression" dxfId="128" priority="5">
      <formula>$H$6&lt;4</formula>
    </cfRule>
  </conditionalFormatting>
  <conditionalFormatting sqref="I8:J8">
    <cfRule type="expression" dxfId="127" priority="4">
      <formula>$H$6&lt;3</formula>
    </cfRule>
  </conditionalFormatting>
  <conditionalFormatting sqref="I7:J7">
    <cfRule type="expression" dxfId="126" priority="3">
      <formula>$H$6&lt;2</formula>
    </cfRule>
  </conditionalFormatting>
  <conditionalFormatting sqref="I6:J6">
    <cfRule type="expression" dxfId="125" priority="2">
      <formula>$H$6&lt;1</formula>
    </cfRule>
  </conditionalFormatting>
  <dataValidations count="1">
    <dataValidation type="whole" operator="lessThanOrEqual" allowBlank="1" showInputMessage="1" showErrorMessage="1" sqref="H6" xr:uid="{834AAA99-E931-485B-9A46-0FAD17C70F75}">
      <formula1>10</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61F4-F963-483B-AA58-2FC09950935D}">
  <sheetPr codeName="Hoja16"/>
  <dimension ref="A1:Z60"/>
  <sheetViews>
    <sheetView showGridLines="0" showRowColHeaders="0" zoomScaleNormal="100" workbookViewId="0">
      <selection activeCell="D45" sqref="D45"/>
    </sheetView>
  </sheetViews>
  <sheetFormatPr baseColWidth="10" defaultColWidth="0" defaultRowHeight="15" zeroHeight="1" x14ac:dyDescent="0.25"/>
  <cols>
    <col min="1" max="26" width="11.5703125" style="18" customWidth="1"/>
    <col min="27" max="16384" width="11.5703125" style="18" hidden="1"/>
  </cols>
  <sheetData>
    <row r="1" spans="2:9" x14ac:dyDescent="0.25">
      <c r="B1" s="173" t="s">
        <v>181</v>
      </c>
      <c r="C1" s="173"/>
      <c r="D1" s="173"/>
      <c r="E1" s="173"/>
      <c r="F1" s="173"/>
      <c r="G1" s="173"/>
      <c r="H1" s="173"/>
      <c r="I1" s="173"/>
    </row>
    <row r="2" spans="2:9" x14ac:dyDescent="0.25">
      <c r="B2" s="173"/>
      <c r="C2" s="173"/>
      <c r="D2" s="173"/>
      <c r="E2" s="173"/>
      <c r="F2" s="173"/>
      <c r="G2" s="173"/>
      <c r="H2" s="173"/>
      <c r="I2" s="173"/>
    </row>
    <row r="3" spans="2:9" x14ac:dyDescent="0.25">
      <c r="B3" s="173"/>
      <c r="C3" s="173"/>
      <c r="D3" s="173"/>
      <c r="E3" s="173"/>
      <c r="F3" s="173"/>
      <c r="G3" s="173"/>
      <c r="H3" s="173"/>
      <c r="I3" s="173"/>
    </row>
    <row r="4" spans="2:9" x14ac:dyDescent="0.25">
      <c r="B4" s="173"/>
      <c r="C4" s="173"/>
      <c r="D4" s="173"/>
      <c r="E4" s="173"/>
      <c r="F4" s="173"/>
      <c r="G4" s="173"/>
      <c r="H4" s="173"/>
      <c r="I4" s="173"/>
    </row>
    <row r="5" spans="2:9" x14ac:dyDescent="0.25"/>
    <row r="6" spans="2:9" x14ac:dyDescent="0.25"/>
    <row r="7" spans="2:9" x14ac:dyDescent="0.25"/>
    <row r="8" spans="2:9" x14ac:dyDescent="0.25"/>
    <row r="9" spans="2:9" x14ac:dyDescent="0.25"/>
    <row r="10" spans="2:9" x14ac:dyDescent="0.25"/>
    <row r="11" spans="2:9" x14ac:dyDescent="0.25"/>
    <row r="12" spans="2:9" x14ac:dyDescent="0.25"/>
    <row r="13" spans="2:9" x14ac:dyDescent="0.25"/>
    <row r="14" spans="2:9" x14ac:dyDescent="0.25"/>
    <row r="15" spans="2:9" x14ac:dyDescent="0.25"/>
    <row r="16" spans="2:9"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sheetData>
  <sheetProtection algorithmName="SHA-512" hashValue="xApGe0WxFr7y2hxMXno5hMc7JLq5DvnFAHbK2K0gysrpTN9FqnU3zneEYVJRgUrDu/9WrK8zXpJGeiMejXR+2A==" saltValue="PgBDEAhyVk8T8eQBy/ZRwA==" spinCount="100000" sheet="1" objects="1" scenarios="1" selectLockedCells="1" selectUnlockedCells="1"/>
  <mergeCells count="1">
    <mergeCell ref="B1:I4"/>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A26D3-73AD-43E3-8FC5-E57B4A779725}">
  <sheetPr codeName="Hoja6"/>
  <dimension ref="A1:BF710"/>
  <sheetViews>
    <sheetView showGridLines="0" zoomScale="72" zoomScaleNormal="70" workbookViewId="0">
      <selection activeCell="G3" sqref="G3"/>
    </sheetView>
  </sheetViews>
  <sheetFormatPr baseColWidth="10" defaultColWidth="0" defaultRowHeight="15" zeroHeight="1" x14ac:dyDescent="0.25"/>
  <cols>
    <col min="1" max="1" width="4.7109375" style="21" customWidth="1"/>
    <col min="2" max="4" width="1.7109375" style="21" hidden="1" customWidth="1"/>
    <col min="5" max="5" width="11.5703125" style="21" customWidth="1"/>
    <col min="6" max="6" width="255.7109375" style="21" bestFit="1" customWidth="1"/>
    <col min="7" max="7" width="18.7109375" style="21" customWidth="1"/>
    <col min="8" max="8" width="47.85546875" style="21" customWidth="1"/>
    <col min="9" max="10" width="23.7109375" style="21" customWidth="1"/>
    <col min="11" max="11" width="11.5703125" customWidth="1"/>
    <col min="12" max="12" width="31" style="24" customWidth="1"/>
    <col min="13" max="13" width="19.7109375" style="24" customWidth="1"/>
    <col min="14" max="14" width="0" hidden="1" customWidth="1"/>
    <col min="15" max="15" width="13.28515625" customWidth="1"/>
    <col min="16" max="16" width="57.140625" style="21" customWidth="1"/>
    <col min="17" max="17" width="11.5703125" customWidth="1"/>
    <col min="18" max="18" width="12.5703125" style="21" customWidth="1"/>
    <col min="19" max="19" width="11.85546875" customWidth="1"/>
    <col min="20" max="20" width="12.5703125" style="21" customWidth="1"/>
    <col min="21" max="49" width="11.5703125" style="21" customWidth="1"/>
    <col min="50" max="58" width="0" style="21" hidden="1" customWidth="1"/>
    <col min="59" max="16384" width="11.5703125" style="21" hidden="1"/>
  </cols>
  <sheetData>
    <row r="1" spans="1:19" ht="23.45" customHeight="1" thickTop="1" thickBot="1" x14ac:dyDescent="0.3">
      <c r="A1" s="174" t="s">
        <v>31</v>
      </c>
      <c r="B1" s="175"/>
      <c r="C1" s="175"/>
      <c r="D1" s="175"/>
      <c r="E1" s="175"/>
      <c r="F1" s="175"/>
      <c r="G1" s="175"/>
      <c r="H1" s="176"/>
      <c r="K1" s="21"/>
      <c r="L1" s="21"/>
      <c r="M1" s="21"/>
      <c r="N1" s="21"/>
      <c r="O1" s="21"/>
      <c r="Q1" s="21"/>
      <c r="S1" s="21"/>
    </row>
    <row r="2" spans="1:19" ht="57" customHeight="1" thickTop="1" x14ac:dyDescent="0.25">
      <c r="A2" s="17"/>
      <c r="B2" s="36" t="s">
        <v>32</v>
      </c>
      <c r="C2" s="37" t="s">
        <v>33</v>
      </c>
      <c r="D2" s="38" t="s">
        <v>34</v>
      </c>
      <c r="E2" s="39" t="s">
        <v>35</v>
      </c>
      <c r="F2" s="39" t="s">
        <v>37</v>
      </c>
      <c r="G2" s="39" t="s">
        <v>120</v>
      </c>
      <c r="H2" s="40" t="s">
        <v>225</v>
      </c>
      <c r="K2" s="21"/>
      <c r="L2" s="21"/>
      <c r="M2" s="21"/>
      <c r="N2" s="21"/>
      <c r="O2" s="21"/>
      <c r="Q2" s="21"/>
      <c r="S2" s="21"/>
    </row>
    <row r="3" spans="1:19" x14ac:dyDescent="0.25">
      <c r="A3" s="1"/>
      <c r="B3" s="15">
        <v>3</v>
      </c>
      <c r="C3" s="15" t="s">
        <v>36</v>
      </c>
      <c r="D3" s="15">
        <v>1</v>
      </c>
      <c r="E3" s="1" t="str">
        <f t="shared" ref="E3:E34" si="0">_xlfn.CONCAT(B3,".",C3,".",D3)</f>
        <v>3.A.1</v>
      </c>
      <c r="F3" s="7" t="s">
        <v>215</v>
      </c>
      <c r="G3" s="86" t="s">
        <v>122</v>
      </c>
      <c r="H3" s="87" t="s">
        <v>133</v>
      </c>
      <c r="K3" s="21"/>
      <c r="L3" s="21"/>
      <c r="M3" s="21"/>
      <c r="N3" s="21"/>
      <c r="O3" s="21"/>
      <c r="Q3" s="21"/>
      <c r="S3" s="21"/>
    </row>
    <row r="4" spans="1:19" x14ac:dyDescent="0.25">
      <c r="A4" s="1"/>
      <c r="B4" s="15">
        <v>3</v>
      </c>
      <c r="C4" s="15" t="s">
        <v>36</v>
      </c>
      <c r="D4" s="15">
        <v>2</v>
      </c>
      <c r="E4" s="1" t="str">
        <f t="shared" si="0"/>
        <v>3.A.2</v>
      </c>
      <c r="F4" s="7" t="s">
        <v>67</v>
      </c>
      <c r="G4" s="86" t="s">
        <v>122</v>
      </c>
      <c r="H4" s="87" t="s">
        <v>133</v>
      </c>
      <c r="K4" s="21"/>
      <c r="L4" s="21"/>
      <c r="M4" s="21"/>
      <c r="N4" s="21"/>
      <c r="O4" s="21"/>
      <c r="Q4" s="21"/>
      <c r="S4" s="21"/>
    </row>
    <row r="5" spans="1:19" x14ac:dyDescent="0.25">
      <c r="A5" s="1"/>
      <c r="B5" s="15">
        <v>3</v>
      </c>
      <c r="C5" s="15" t="s">
        <v>36</v>
      </c>
      <c r="D5" s="15">
        <v>3</v>
      </c>
      <c r="E5" s="1" t="str">
        <f t="shared" si="0"/>
        <v>3.A.3</v>
      </c>
      <c r="F5" s="7" t="s">
        <v>68</v>
      </c>
      <c r="G5" s="86" t="s">
        <v>122</v>
      </c>
      <c r="H5" s="87" t="s">
        <v>133</v>
      </c>
      <c r="K5" s="21"/>
      <c r="L5" s="21"/>
      <c r="M5" s="21"/>
      <c r="N5" s="21"/>
      <c r="O5" s="21"/>
      <c r="Q5" s="21"/>
      <c r="S5" s="21"/>
    </row>
    <row r="6" spans="1:19" x14ac:dyDescent="0.25">
      <c r="A6" s="1"/>
      <c r="B6" s="15">
        <v>3</v>
      </c>
      <c r="C6" s="15" t="s">
        <v>36</v>
      </c>
      <c r="D6" s="15">
        <v>4</v>
      </c>
      <c r="E6" s="1" t="str">
        <f t="shared" si="0"/>
        <v>3.A.4</v>
      </c>
      <c r="F6" s="7" t="s">
        <v>216</v>
      </c>
      <c r="G6" s="86" t="s">
        <v>122</v>
      </c>
      <c r="H6" s="87" t="s">
        <v>133</v>
      </c>
      <c r="K6" s="21"/>
      <c r="L6" s="21"/>
      <c r="M6" s="21"/>
      <c r="N6" s="21"/>
      <c r="O6" s="21"/>
      <c r="Q6" s="21"/>
      <c r="S6" s="21"/>
    </row>
    <row r="7" spans="1:19" x14ac:dyDescent="0.25">
      <c r="A7" s="1"/>
      <c r="B7" s="15">
        <v>3</v>
      </c>
      <c r="C7" s="15" t="s">
        <v>36</v>
      </c>
      <c r="D7" s="15">
        <v>5</v>
      </c>
      <c r="E7" s="1" t="str">
        <f t="shared" si="0"/>
        <v>3.A.5</v>
      </c>
      <c r="F7" s="7" t="s">
        <v>217</v>
      </c>
      <c r="G7" s="86" t="s">
        <v>122</v>
      </c>
      <c r="H7" s="87" t="s">
        <v>133</v>
      </c>
      <c r="K7" s="21"/>
      <c r="L7" s="21"/>
      <c r="M7" s="21"/>
      <c r="N7" s="21"/>
      <c r="O7" s="21"/>
      <c r="Q7" s="21"/>
      <c r="S7" s="21"/>
    </row>
    <row r="8" spans="1:19" x14ac:dyDescent="0.25">
      <c r="A8" s="1"/>
      <c r="B8" s="15">
        <v>3</v>
      </c>
      <c r="C8" s="15" t="s">
        <v>36</v>
      </c>
      <c r="D8" s="15">
        <v>6</v>
      </c>
      <c r="E8" s="1" t="str">
        <f t="shared" si="0"/>
        <v>3.A.6</v>
      </c>
      <c r="F8" s="7" t="s">
        <v>218</v>
      </c>
      <c r="G8" s="86" t="s">
        <v>122</v>
      </c>
      <c r="H8" s="87" t="s">
        <v>133</v>
      </c>
      <c r="K8" s="21"/>
      <c r="L8" s="21"/>
      <c r="M8" s="21"/>
      <c r="N8" s="21"/>
      <c r="O8" s="21"/>
      <c r="Q8" s="21"/>
      <c r="S8" s="21"/>
    </row>
    <row r="9" spans="1:19" x14ac:dyDescent="0.25">
      <c r="A9" s="1"/>
      <c r="B9" s="15">
        <v>3</v>
      </c>
      <c r="C9" s="15" t="s">
        <v>36</v>
      </c>
      <c r="D9" s="15">
        <v>7</v>
      </c>
      <c r="E9" s="1" t="str">
        <f t="shared" si="0"/>
        <v>3.A.7</v>
      </c>
      <c r="F9" s="7" t="s">
        <v>219</v>
      </c>
      <c r="G9" s="86" t="s">
        <v>122</v>
      </c>
      <c r="H9" s="87" t="s">
        <v>133</v>
      </c>
      <c r="K9" s="21"/>
      <c r="L9" s="21"/>
      <c r="M9" s="21"/>
      <c r="N9" s="21"/>
      <c r="O9" s="21"/>
      <c r="Q9" s="21"/>
      <c r="S9" s="21"/>
    </row>
    <row r="10" spans="1:19" x14ac:dyDescent="0.25">
      <c r="A10" s="1"/>
      <c r="B10" s="15">
        <v>3</v>
      </c>
      <c r="C10" s="15" t="s">
        <v>36</v>
      </c>
      <c r="D10" s="15">
        <v>8</v>
      </c>
      <c r="E10" s="1" t="str">
        <f t="shared" si="0"/>
        <v>3.A.8</v>
      </c>
      <c r="F10" s="7" t="s">
        <v>220</v>
      </c>
      <c r="G10" s="86" t="s">
        <v>123</v>
      </c>
      <c r="H10" s="87" t="s">
        <v>135</v>
      </c>
      <c r="K10" s="21"/>
      <c r="L10" s="21"/>
      <c r="M10" s="21"/>
      <c r="N10" s="21"/>
      <c r="O10" s="21"/>
      <c r="Q10" s="21"/>
      <c r="S10" s="21"/>
    </row>
    <row r="11" spans="1:19" x14ac:dyDescent="0.25">
      <c r="A11" s="1"/>
      <c r="B11" s="15">
        <v>3</v>
      </c>
      <c r="C11" s="15" t="s">
        <v>36</v>
      </c>
      <c r="D11" s="15">
        <v>9</v>
      </c>
      <c r="E11" s="1" t="str">
        <f t="shared" si="0"/>
        <v>3.A.9</v>
      </c>
      <c r="F11" s="7" t="s">
        <v>221</v>
      </c>
      <c r="G11" s="86" t="s">
        <v>123</v>
      </c>
      <c r="H11" s="87" t="s">
        <v>135</v>
      </c>
      <c r="K11" s="21"/>
      <c r="L11" s="21"/>
      <c r="M11" s="21"/>
      <c r="N11" s="21"/>
      <c r="O11" s="21"/>
      <c r="Q11" s="21"/>
      <c r="S11" s="21"/>
    </row>
    <row r="12" spans="1:19" x14ac:dyDescent="0.25">
      <c r="A12" s="1"/>
      <c r="B12" s="15">
        <v>3</v>
      </c>
      <c r="C12" s="15" t="s">
        <v>36</v>
      </c>
      <c r="D12" s="15">
        <v>10</v>
      </c>
      <c r="E12" s="1" t="str">
        <f t="shared" si="0"/>
        <v>3.A.10</v>
      </c>
      <c r="F12" s="7" t="s">
        <v>222</v>
      </c>
      <c r="G12" s="86" t="s">
        <v>123</v>
      </c>
      <c r="H12" s="87" t="s">
        <v>136</v>
      </c>
      <c r="K12" s="21"/>
      <c r="L12" s="21"/>
      <c r="M12" s="21"/>
      <c r="N12" s="21"/>
      <c r="O12" s="21"/>
      <c r="Q12" s="21"/>
      <c r="S12" s="21"/>
    </row>
    <row r="13" spans="1:19" x14ac:dyDescent="0.25">
      <c r="A13" s="1"/>
      <c r="B13" s="15">
        <v>3</v>
      </c>
      <c r="C13" s="15" t="s">
        <v>36</v>
      </c>
      <c r="D13" s="15">
        <v>11</v>
      </c>
      <c r="E13" s="1" t="str">
        <f t="shared" si="0"/>
        <v>3.A.11</v>
      </c>
      <c r="F13" s="7" t="s">
        <v>223</v>
      </c>
      <c r="G13" s="86" t="s">
        <v>123</v>
      </c>
      <c r="H13" s="87" t="s">
        <v>135</v>
      </c>
      <c r="K13" s="21"/>
      <c r="L13" s="21"/>
      <c r="M13" s="21"/>
      <c r="N13" s="21"/>
      <c r="O13" s="21"/>
      <c r="Q13" s="21"/>
      <c r="S13" s="21"/>
    </row>
    <row r="14" spans="1:19" x14ac:dyDescent="0.25">
      <c r="A14" s="1"/>
      <c r="B14" s="15">
        <v>3</v>
      </c>
      <c r="C14" s="15" t="s">
        <v>36</v>
      </c>
      <c r="D14" s="15">
        <v>12</v>
      </c>
      <c r="E14" s="1" t="str">
        <f t="shared" si="0"/>
        <v>3.A.12</v>
      </c>
      <c r="F14" s="7" t="s">
        <v>224</v>
      </c>
      <c r="G14" s="86" t="s">
        <v>123</v>
      </c>
      <c r="H14" s="87" t="s">
        <v>135</v>
      </c>
      <c r="K14" s="21"/>
      <c r="L14" s="21"/>
      <c r="M14" s="21"/>
      <c r="N14" s="21"/>
      <c r="O14" s="21"/>
      <c r="Q14" s="21"/>
      <c r="S14" s="21"/>
    </row>
    <row r="15" spans="1:19" x14ac:dyDescent="0.25">
      <c r="A15" s="1"/>
      <c r="B15" s="15">
        <v>3</v>
      </c>
      <c r="C15" s="15" t="s">
        <v>36</v>
      </c>
      <c r="D15" s="15">
        <v>13</v>
      </c>
      <c r="E15" s="1" t="str">
        <f t="shared" si="0"/>
        <v>3.A.13</v>
      </c>
      <c r="F15" s="7" t="s">
        <v>69</v>
      </c>
      <c r="G15" s="86" t="s">
        <v>123</v>
      </c>
      <c r="H15" s="87" t="s">
        <v>136</v>
      </c>
      <c r="K15" s="21"/>
      <c r="L15" s="21"/>
      <c r="M15" s="21"/>
      <c r="N15" s="21"/>
      <c r="O15" s="21"/>
      <c r="Q15" s="21"/>
      <c r="S15" s="21"/>
    </row>
    <row r="16" spans="1:19" x14ac:dyDescent="0.25">
      <c r="A16" s="1"/>
      <c r="B16" s="15">
        <v>3</v>
      </c>
      <c r="C16" s="15" t="s">
        <v>36</v>
      </c>
      <c r="D16" s="15">
        <v>14</v>
      </c>
      <c r="E16" s="1" t="str">
        <f t="shared" si="0"/>
        <v>3.A.14</v>
      </c>
      <c r="F16" s="7" t="s">
        <v>226</v>
      </c>
      <c r="G16" s="86" t="s">
        <v>123</v>
      </c>
      <c r="H16" s="87" t="s">
        <v>136</v>
      </c>
      <c r="K16" s="21"/>
      <c r="L16" s="21"/>
      <c r="M16" s="21"/>
      <c r="N16" s="21"/>
      <c r="O16" s="21"/>
      <c r="Q16" s="21"/>
      <c r="S16" s="21"/>
    </row>
    <row r="17" spans="1:19" x14ac:dyDescent="0.25">
      <c r="A17" s="1"/>
      <c r="B17" s="15">
        <v>3</v>
      </c>
      <c r="C17" s="15" t="s">
        <v>36</v>
      </c>
      <c r="D17" s="15">
        <v>15</v>
      </c>
      <c r="E17" s="1" t="str">
        <f t="shared" si="0"/>
        <v>3.A.15</v>
      </c>
      <c r="F17" s="7" t="s">
        <v>227</v>
      </c>
      <c r="G17" s="86" t="s">
        <v>123</v>
      </c>
      <c r="H17" s="87" t="s">
        <v>136</v>
      </c>
      <c r="K17" s="21"/>
      <c r="L17" s="21"/>
      <c r="M17" s="21"/>
      <c r="N17" s="21"/>
      <c r="O17" s="21"/>
      <c r="Q17" s="21"/>
      <c r="S17" s="21"/>
    </row>
    <row r="18" spans="1:19" x14ac:dyDescent="0.25">
      <c r="A18" s="1"/>
      <c r="B18" s="15">
        <v>3</v>
      </c>
      <c r="C18" s="15" t="s">
        <v>36</v>
      </c>
      <c r="D18" s="15">
        <v>16</v>
      </c>
      <c r="E18" s="1" t="str">
        <f t="shared" si="0"/>
        <v>3.A.16</v>
      </c>
      <c r="F18" s="7" t="s">
        <v>228</v>
      </c>
      <c r="G18" s="86" t="s">
        <v>123</v>
      </c>
      <c r="H18" s="87" t="s">
        <v>135</v>
      </c>
      <c r="K18" s="21"/>
      <c r="L18" s="21"/>
      <c r="M18" s="21"/>
      <c r="N18" s="21"/>
      <c r="O18" s="21"/>
      <c r="Q18" s="21"/>
      <c r="S18" s="21"/>
    </row>
    <row r="19" spans="1:19" x14ac:dyDescent="0.25">
      <c r="A19" s="1"/>
      <c r="B19" s="15">
        <v>3</v>
      </c>
      <c r="C19" s="15" t="s">
        <v>36</v>
      </c>
      <c r="D19" s="15">
        <v>17</v>
      </c>
      <c r="E19" s="21" t="str">
        <f t="shared" si="0"/>
        <v>3.A.17</v>
      </c>
      <c r="F19" s="7" t="s">
        <v>231</v>
      </c>
      <c r="G19" s="86" t="s">
        <v>123</v>
      </c>
      <c r="H19" s="87" t="s">
        <v>136</v>
      </c>
      <c r="K19" s="21"/>
      <c r="L19" s="21"/>
      <c r="M19" s="21"/>
      <c r="N19" s="21"/>
      <c r="O19" s="21"/>
      <c r="Q19" s="21"/>
      <c r="S19" s="21"/>
    </row>
    <row r="20" spans="1:19" x14ac:dyDescent="0.25">
      <c r="A20" s="1"/>
      <c r="B20" s="15">
        <v>3</v>
      </c>
      <c r="C20" s="15" t="s">
        <v>36</v>
      </c>
      <c r="D20" s="15">
        <v>18</v>
      </c>
      <c r="E20" s="21" t="str">
        <f t="shared" si="0"/>
        <v>3.A.18</v>
      </c>
      <c r="F20" s="67" t="s">
        <v>232</v>
      </c>
      <c r="G20" s="86" t="s">
        <v>123</v>
      </c>
      <c r="H20" s="87" t="s">
        <v>136</v>
      </c>
      <c r="K20" s="21"/>
      <c r="L20" s="21"/>
      <c r="M20" s="21"/>
      <c r="N20" s="21"/>
      <c r="O20" s="21"/>
      <c r="Q20" s="21"/>
      <c r="S20" s="21"/>
    </row>
    <row r="21" spans="1:19" x14ac:dyDescent="0.25">
      <c r="A21" s="1"/>
      <c r="B21" s="15">
        <v>3</v>
      </c>
      <c r="C21" s="15" t="s">
        <v>36</v>
      </c>
      <c r="D21" s="15">
        <v>19</v>
      </c>
      <c r="E21" s="21" t="str">
        <f t="shared" si="0"/>
        <v>3.A.19</v>
      </c>
      <c r="F21" s="7" t="s">
        <v>233</v>
      </c>
      <c r="G21" s="86" t="s">
        <v>123</v>
      </c>
      <c r="H21" s="87" t="s">
        <v>136</v>
      </c>
      <c r="K21" s="21"/>
      <c r="L21" s="21"/>
      <c r="M21" s="21"/>
      <c r="N21" s="21"/>
      <c r="O21" s="21"/>
      <c r="Q21" s="21"/>
      <c r="S21" s="21"/>
    </row>
    <row r="22" spans="1:19" x14ac:dyDescent="0.25">
      <c r="A22" s="1"/>
      <c r="B22" s="15">
        <v>3</v>
      </c>
      <c r="C22" s="15" t="s">
        <v>36</v>
      </c>
      <c r="D22" s="15">
        <v>20</v>
      </c>
      <c r="E22" s="21" t="str">
        <f t="shared" si="0"/>
        <v>3.A.20</v>
      </c>
      <c r="F22" s="7" t="s">
        <v>234</v>
      </c>
      <c r="G22" s="86" t="s">
        <v>123</v>
      </c>
      <c r="H22" s="87" t="s">
        <v>136</v>
      </c>
      <c r="K22" s="21"/>
      <c r="L22" s="21"/>
      <c r="M22" s="21"/>
      <c r="N22" s="21"/>
      <c r="O22" s="21"/>
      <c r="Q22" s="21"/>
      <c r="S22" s="21"/>
    </row>
    <row r="23" spans="1:19" x14ac:dyDescent="0.25">
      <c r="A23" s="1"/>
      <c r="B23" s="15">
        <v>3</v>
      </c>
      <c r="C23" s="15" t="s">
        <v>36</v>
      </c>
      <c r="D23" s="15">
        <v>21</v>
      </c>
      <c r="E23" s="21" t="str">
        <f t="shared" si="0"/>
        <v>3.A.21</v>
      </c>
      <c r="F23" s="7" t="s">
        <v>70</v>
      </c>
      <c r="G23" s="86" t="s">
        <v>123</v>
      </c>
      <c r="H23" s="87" t="s">
        <v>135</v>
      </c>
      <c r="K23" s="21"/>
      <c r="L23" s="21"/>
      <c r="M23" s="21"/>
      <c r="N23" s="21"/>
      <c r="O23" s="21"/>
      <c r="Q23" s="21"/>
      <c r="S23" s="21"/>
    </row>
    <row r="24" spans="1:19" x14ac:dyDescent="0.25">
      <c r="A24" s="1"/>
      <c r="B24" s="15">
        <v>3</v>
      </c>
      <c r="C24" s="15" t="s">
        <v>36</v>
      </c>
      <c r="D24" s="15">
        <v>22</v>
      </c>
      <c r="E24" s="21" t="str">
        <f t="shared" si="0"/>
        <v>3.A.22</v>
      </c>
      <c r="F24" s="7" t="s">
        <v>235</v>
      </c>
      <c r="G24" s="86" t="s">
        <v>123</v>
      </c>
      <c r="H24" s="87" t="s">
        <v>137</v>
      </c>
      <c r="K24" s="21"/>
      <c r="L24" s="21"/>
      <c r="M24" s="21"/>
      <c r="N24" s="21"/>
      <c r="O24" s="21"/>
      <c r="Q24" s="21"/>
      <c r="S24" s="21"/>
    </row>
    <row r="25" spans="1:19" x14ac:dyDescent="0.25">
      <c r="A25" s="1"/>
      <c r="B25" s="15">
        <v>3</v>
      </c>
      <c r="C25" s="15" t="s">
        <v>36</v>
      </c>
      <c r="D25" s="15">
        <v>23</v>
      </c>
      <c r="E25" s="21" t="str">
        <f t="shared" si="0"/>
        <v>3.A.23</v>
      </c>
      <c r="F25" s="7" t="s">
        <v>236</v>
      </c>
      <c r="G25" s="86" t="s">
        <v>123</v>
      </c>
      <c r="H25" s="87" t="s">
        <v>137</v>
      </c>
      <c r="K25" s="21"/>
      <c r="L25" s="21"/>
      <c r="M25" s="21"/>
      <c r="N25" s="21"/>
      <c r="O25" s="21"/>
      <c r="Q25" s="21"/>
      <c r="S25" s="21"/>
    </row>
    <row r="26" spans="1:19" x14ac:dyDescent="0.25">
      <c r="A26" s="1"/>
      <c r="B26" s="15">
        <v>3</v>
      </c>
      <c r="C26" s="15" t="s">
        <v>36</v>
      </c>
      <c r="D26" s="15">
        <v>24</v>
      </c>
      <c r="E26" s="21" t="str">
        <f t="shared" si="0"/>
        <v>3.A.24</v>
      </c>
      <c r="F26" s="7" t="s">
        <v>71</v>
      </c>
      <c r="G26" s="86" t="s">
        <v>123</v>
      </c>
      <c r="H26" s="87" t="s">
        <v>137</v>
      </c>
      <c r="K26" s="21"/>
      <c r="L26" s="21"/>
      <c r="M26" s="21"/>
      <c r="N26" s="21"/>
      <c r="O26" s="21"/>
      <c r="Q26" s="21"/>
      <c r="S26" s="21"/>
    </row>
    <row r="27" spans="1:19" x14ac:dyDescent="0.25">
      <c r="A27" s="1"/>
      <c r="B27" s="15">
        <v>3</v>
      </c>
      <c r="C27" s="15" t="s">
        <v>36</v>
      </c>
      <c r="D27" s="15">
        <v>25</v>
      </c>
      <c r="E27" s="21" t="str">
        <f t="shared" si="0"/>
        <v>3.A.25</v>
      </c>
      <c r="F27" s="7" t="s">
        <v>237</v>
      </c>
      <c r="G27" s="86" t="s">
        <v>124</v>
      </c>
      <c r="H27" s="87" t="s">
        <v>134</v>
      </c>
      <c r="K27" s="21"/>
      <c r="L27" s="21"/>
      <c r="M27" s="21"/>
      <c r="N27" s="21"/>
      <c r="O27" s="21"/>
      <c r="Q27" s="21"/>
      <c r="S27" s="21"/>
    </row>
    <row r="28" spans="1:19" x14ac:dyDescent="0.25">
      <c r="A28" s="1"/>
      <c r="B28" s="15">
        <v>3</v>
      </c>
      <c r="C28" s="15" t="s">
        <v>36</v>
      </c>
      <c r="D28" s="15">
        <v>26</v>
      </c>
      <c r="E28" s="21" t="str">
        <f t="shared" si="0"/>
        <v>3.A.26</v>
      </c>
      <c r="F28" s="7" t="s">
        <v>238</v>
      </c>
      <c r="G28" s="86" t="s">
        <v>124</v>
      </c>
      <c r="H28" s="87" t="s">
        <v>134</v>
      </c>
      <c r="K28" s="21"/>
      <c r="L28" s="21"/>
      <c r="M28" s="21"/>
      <c r="N28" s="21"/>
      <c r="O28" s="21"/>
      <c r="Q28" s="21"/>
      <c r="S28" s="21"/>
    </row>
    <row r="29" spans="1:19" x14ac:dyDescent="0.25">
      <c r="A29" s="1"/>
      <c r="B29" s="15">
        <v>3</v>
      </c>
      <c r="C29" s="15" t="s">
        <v>36</v>
      </c>
      <c r="D29" s="15">
        <v>27</v>
      </c>
      <c r="E29" s="21" t="str">
        <f t="shared" si="0"/>
        <v>3.A.27</v>
      </c>
      <c r="F29" s="7" t="s">
        <v>239</v>
      </c>
      <c r="G29" s="86" t="s">
        <v>124</v>
      </c>
      <c r="H29" s="87" t="s">
        <v>134</v>
      </c>
      <c r="K29" s="21"/>
      <c r="L29" s="21"/>
      <c r="M29" s="21"/>
      <c r="N29" s="21"/>
      <c r="O29" s="21"/>
      <c r="Q29" s="21"/>
      <c r="S29" s="21"/>
    </row>
    <row r="30" spans="1:19" x14ac:dyDescent="0.25">
      <c r="A30" s="1"/>
      <c r="B30" s="15">
        <v>3</v>
      </c>
      <c r="C30" s="15" t="s">
        <v>36</v>
      </c>
      <c r="D30" s="15">
        <v>28</v>
      </c>
      <c r="E30" s="21" t="str">
        <f t="shared" si="0"/>
        <v>3.A.28</v>
      </c>
      <c r="F30" s="7" t="s">
        <v>240</v>
      </c>
      <c r="G30" s="86" t="s">
        <v>124</v>
      </c>
      <c r="H30" s="87" t="s">
        <v>134</v>
      </c>
      <c r="K30" s="21"/>
      <c r="L30" s="21"/>
      <c r="M30" s="21"/>
      <c r="N30" s="21"/>
      <c r="O30" s="21"/>
      <c r="Q30" s="21"/>
      <c r="S30" s="21"/>
    </row>
    <row r="31" spans="1:19" x14ac:dyDescent="0.25">
      <c r="A31" s="1"/>
      <c r="B31" s="15">
        <v>3</v>
      </c>
      <c r="C31" s="15" t="s">
        <v>36</v>
      </c>
      <c r="D31" s="15">
        <v>29</v>
      </c>
      <c r="E31" s="21" t="str">
        <f t="shared" si="0"/>
        <v>3.A.29</v>
      </c>
      <c r="F31" s="7" t="s">
        <v>241</v>
      </c>
      <c r="G31" s="86" t="s">
        <v>124</v>
      </c>
      <c r="H31" s="87" t="s">
        <v>140</v>
      </c>
      <c r="K31" s="21"/>
      <c r="L31" s="21"/>
      <c r="M31" s="21"/>
      <c r="N31" s="21"/>
      <c r="O31" s="21"/>
      <c r="Q31" s="21"/>
      <c r="S31" s="21"/>
    </row>
    <row r="32" spans="1:19" x14ac:dyDescent="0.25">
      <c r="A32" s="1"/>
      <c r="B32" s="15">
        <v>3</v>
      </c>
      <c r="C32" s="15" t="s">
        <v>36</v>
      </c>
      <c r="D32" s="15">
        <v>30</v>
      </c>
      <c r="E32" s="21" t="str">
        <f t="shared" si="0"/>
        <v>3.A.30</v>
      </c>
      <c r="F32" s="7" t="s">
        <v>242</v>
      </c>
      <c r="G32" s="86" t="s">
        <v>124</v>
      </c>
      <c r="H32" s="87" t="s">
        <v>138</v>
      </c>
      <c r="K32" s="21"/>
      <c r="L32" s="21"/>
      <c r="M32" s="21"/>
      <c r="N32" s="21"/>
      <c r="O32" s="21"/>
      <c r="Q32" s="21"/>
      <c r="S32" s="21"/>
    </row>
    <row r="33" spans="1:19" x14ac:dyDescent="0.25">
      <c r="A33" s="1"/>
      <c r="B33" s="15">
        <v>3</v>
      </c>
      <c r="C33" s="15" t="s">
        <v>36</v>
      </c>
      <c r="D33" s="15">
        <v>31</v>
      </c>
      <c r="E33" s="21" t="str">
        <f t="shared" si="0"/>
        <v>3.A.31</v>
      </c>
      <c r="F33" s="7" t="s">
        <v>72</v>
      </c>
      <c r="G33" s="86" t="s">
        <v>124</v>
      </c>
      <c r="H33" s="87" t="s">
        <v>138</v>
      </c>
      <c r="K33" s="21"/>
      <c r="L33" s="21"/>
      <c r="M33" s="21"/>
      <c r="N33" s="21"/>
      <c r="O33" s="21"/>
      <c r="Q33" s="21"/>
      <c r="S33" s="21"/>
    </row>
    <row r="34" spans="1:19" x14ac:dyDescent="0.25">
      <c r="A34" s="1"/>
      <c r="B34" s="15">
        <v>3</v>
      </c>
      <c r="C34" s="15" t="s">
        <v>36</v>
      </c>
      <c r="D34" s="15">
        <v>32</v>
      </c>
      <c r="E34" s="21" t="str">
        <f t="shared" si="0"/>
        <v>3.A.32</v>
      </c>
      <c r="F34" s="7" t="s">
        <v>243</v>
      </c>
      <c r="G34" s="86" t="s">
        <v>124</v>
      </c>
      <c r="H34" s="87" t="s">
        <v>134</v>
      </c>
      <c r="K34" s="21"/>
      <c r="L34" s="21"/>
      <c r="M34" s="21"/>
      <c r="N34" s="21"/>
      <c r="O34" s="21"/>
      <c r="Q34" s="21"/>
      <c r="S34" s="21"/>
    </row>
    <row r="35" spans="1:19" x14ac:dyDescent="0.25">
      <c r="A35" s="1"/>
      <c r="B35" s="15">
        <v>3</v>
      </c>
      <c r="C35" s="15" t="s">
        <v>36</v>
      </c>
      <c r="D35" s="15">
        <v>33</v>
      </c>
      <c r="E35" s="21" t="str">
        <f t="shared" ref="E35:E67" si="1">_xlfn.CONCAT(B35,".",C35,".",D35)</f>
        <v>3.A.33</v>
      </c>
      <c r="F35" s="7" t="s">
        <v>244</v>
      </c>
      <c r="G35" s="86" t="s">
        <v>124</v>
      </c>
      <c r="H35" s="87" t="s">
        <v>134</v>
      </c>
      <c r="K35" s="21"/>
      <c r="L35" s="21"/>
      <c r="M35" s="21"/>
      <c r="N35" s="21"/>
      <c r="O35" s="21"/>
      <c r="Q35" s="21"/>
      <c r="S35" s="21"/>
    </row>
    <row r="36" spans="1:19" x14ac:dyDescent="0.25">
      <c r="A36" s="1"/>
      <c r="B36" s="15">
        <v>3</v>
      </c>
      <c r="C36" s="15" t="s">
        <v>36</v>
      </c>
      <c r="D36" s="15">
        <v>34</v>
      </c>
      <c r="E36" s="21" t="str">
        <f t="shared" si="1"/>
        <v>3.A.34</v>
      </c>
      <c r="F36" s="7" t="s">
        <v>245</v>
      </c>
      <c r="G36" s="86" t="s">
        <v>124</v>
      </c>
      <c r="H36" s="87" t="s">
        <v>134</v>
      </c>
      <c r="K36" s="21"/>
      <c r="L36" s="21"/>
      <c r="M36" s="21"/>
      <c r="N36" s="21"/>
      <c r="O36" s="21"/>
      <c r="Q36" s="21"/>
      <c r="S36" s="21"/>
    </row>
    <row r="37" spans="1:19" x14ac:dyDescent="0.25">
      <c r="A37" s="1"/>
      <c r="B37" s="15">
        <v>3</v>
      </c>
      <c r="C37" s="15" t="s">
        <v>36</v>
      </c>
      <c r="D37" s="15">
        <v>35</v>
      </c>
      <c r="E37" s="21" t="str">
        <f t="shared" si="1"/>
        <v>3.A.35</v>
      </c>
      <c r="F37" s="7" t="s">
        <v>73</v>
      </c>
      <c r="G37" s="86" t="s">
        <v>124</v>
      </c>
      <c r="H37" s="87" t="s">
        <v>139</v>
      </c>
      <c r="K37" s="21"/>
      <c r="L37" s="21"/>
      <c r="M37" s="21"/>
      <c r="N37" s="21"/>
      <c r="O37" s="21"/>
      <c r="Q37" s="21"/>
      <c r="S37" s="21"/>
    </row>
    <row r="38" spans="1:19" x14ac:dyDescent="0.25">
      <c r="A38" s="1"/>
      <c r="B38" s="15">
        <v>3</v>
      </c>
      <c r="C38" s="15" t="s">
        <v>36</v>
      </c>
      <c r="D38" s="15">
        <v>36</v>
      </c>
      <c r="E38" s="21" t="str">
        <f t="shared" si="1"/>
        <v>3.A.36</v>
      </c>
      <c r="F38" s="7" t="s">
        <v>247</v>
      </c>
      <c r="G38" s="86" t="s">
        <v>124</v>
      </c>
      <c r="H38" s="87" t="s">
        <v>139</v>
      </c>
      <c r="K38" s="21"/>
      <c r="L38" s="21"/>
      <c r="M38" s="21"/>
      <c r="N38" s="21"/>
      <c r="O38" s="21"/>
      <c r="Q38" s="21"/>
      <c r="S38" s="21"/>
    </row>
    <row r="39" spans="1:19" x14ac:dyDescent="0.25">
      <c r="A39" s="1"/>
      <c r="B39" s="15">
        <v>3</v>
      </c>
      <c r="C39" s="15" t="s">
        <v>36</v>
      </c>
      <c r="D39" s="15">
        <v>37</v>
      </c>
      <c r="E39" s="21" t="str">
        <f t="shared" si="1"/>
        <v>3.A.37</v>
      </c>
      <c r="F39" s="7" t="s">
        <v>246</v>
      </c>
      <c r="G39" s="86" t="s">
        <v>124</v>
      </c>
      <c r="H39" s="87" t="s">
        <v>139</v>
      </c>
      <c r="K39" s="21"/>
      <c r="L39" s="21"/>
      <c r="M39" s="21"/>
      <c r="N39" s="21"/>
      <c r="O39" s="21"/>
      <c r="Q39" s="21"/>
      <c r="S39" s="21"/>
    </row>
    <row r="40" spans="1:19" x14ac:dyDescent="0.25">
      <c r="A40" s="1"/>
      <c r="B40" s="15">
        <v>3</v>
      </c>
      <c r="C40" s="15" t="s">
        <v>36</v>
      </c>
      <c r="D40" s="15">
        <v>38</v>
      </c>
      <c r="E40" s="21" t="str">
        <f t="shared" si="1"/>
        <v>3.A.38</v>
      </c>
      <c r="F40" t="s">
        <v>249</v>
      </c>
      <c r="G40" s="86" t="s">
        <v>124</v>
      </c>
      <c r="H40" s="87" t="s">
        <v>139</v>
      </c>
      <c r="K40" s="21"/>
      <c r="L40" s="21"/>
      <c r="M40" s="21"/>
      <c r="N40" s="21"/>
      <c r="O40" s="21"/>
      <c r="Q40" s="21"/>
      <c r="S40" s="21"/>
    </row>
    <row r="41" spans="1:19" x14ac:dyDescent="0.25">
      <c r="A41" s="1"/>
      <c r="B41" s="15">
        <v>3</v>
      </c>
      <c r="C41" s="15" t="s">
        <v>36</v>
      </c>
      <c r="D41" s="15">
        <v>39</v>
      </c>
      <c r="E41" s="21" t="str">
        <f t="shared" si="1"/>
        <v>3.A.39</v>
      </c>
      <c r="F41" s="7" t="s">
        <v>250</v>
      </c>
      <c r="G41" s="86" t="s">
        <v>124</v>
      </c>
      <c r="H41" s="87" t="s">
        <v>139</v>
      </c>
      <c r="K41" s="21"/>
      <c r="L41" s="21"/>
      <c r="M41" s="21"/>
      <c r="N41" s="21"/>
      <c r="O41" s="21"/>
      <c r="Q41" s="21"/>
      <c r="S41" s="21"/>
    </row>
    <row r="42" spans="1:19" x14ac:dyDescent="0.25">
      <c r="A42" s="1"/>
      <c r="B42" s="15">
        <v>3</v>
      </c>
      <c r="C42" s="15" t="s">
        <v>36</v>
      </c>
      <c r="D42" s="15">
        <v>40</v>
      </c>
      <c r="E42" s="21" t="str">
        <f t="shared" si="1"/>
        <v>3.A.40</v>
      </c>
      <c r="F42" s="7" t="s">
        <v>251</v>
      </c>
      <c r="G42" s="86" t="s">
        <v>124</v>
      </c>
      <c r="H42" s="87" t="s">
        <v>139</v>
      </c>
      <c r="K42" s="21"/>
      <c r="L42" s="21"/>
      <c r="M42" s="21"/>
      <c r="N42" s="21"/>
      <c r="O42" s="21"/>
      <c r="Q42" s="21"/>
      <c r="S42" s="21"/>
    </row>
    <row r="43" spans="1:19" x14ac:dyDescent="0.25">
      <c r="A43" s="1"/>
      <c r="B43" s="15">
        <v>3</v>
      </c>
      <c r="C43" s="15" t="s">
        <v>36</v>
      </c>
      <c r="D43" s="15">
        <v>41</v>
      </c>
      <c r="E43" s="21" t="str">
        <f t="shared" si="1"/>
        <v>3.A.41</v>
      </c>
      <c r="F43" s="7" t="s">
        <v>252</v>
      </c>
      <c r="G43" s="86" t="s">
        <v>124</v>
      </c>
      <c r="H43" s="87" t="s">
        <v>139</v>
      </c>
      <c r="K43" s="21"/>
      <c r="L43" s="21"/>
      <c r="M43" s="21"/>
      <c r="N43" s="21"/>
      <c r="O43" s="21"/>
      <c r="Q43" s="21"/>
      <c r="S43" s="21"/>
    </row>
    <row r="44" spans="1:19" x14ac:dyDescent="0.25">
      <c r="A44" s="1"/>
      <c r="B44" s="15">
        <v>3</v>
      </c>
      <c r="C44" s="15" t="s">
        <v>36</v>
      </c>
      <c r="D44" s="15">
        <v>42</v>
      </c>
      <c r="E44" s="21" t="str">
        <f t="shared" si="1"/>
        <v>3.A.42</v>
      </c>
      <c r="F44" s="7" t="s">
        <v>253</v>
      </c>
      <c r="G44" s="86" t="s">
        <v>124</v>
      </c>
      <c r="H44" s="87" t="s">
        <v>139</v>
      </c>
      <c r="K44" s="21"/>
      <c r="L44" s="21"/>
      <c r="M44" s="21"/>
      <c r="N44" s="21"/>
      <c r="O44" s="21"/>
      <c r="Q44" s="21"/>
      <c r="S44" s="21"/>
    </row>
    <row r="45" spans="1:19" x14ac:dyDescent="0.25">
      <c r="A45" s="1"/>
      <c r="B45" s="15">
        <v>3</v>
      </c>
      <c r="C45" s="15" t="s">
        <v>36</v>
      </c>
      <c r="D45" s="15">
        <v>43</v>
      </c>
      <c r="E45" s="21" t="str">
        <f t="shared" si="1"/>
        <v>3.A.43</v>
      </c>
      <c r="F45" s="67" t="s">
        <v>254</v>
      </c>
      <c r="G45" s="86" t="s">
        <v>124</v>
      </c>
      <c r="H45" s="87" t="s">
        <v>140</v>
      </c>
      <c r="K45" s="21"/>
      <c r="L45" s="21"/>
      <c r="M45" s="21"/>
      <c r="N45" s="21"/>
      <c r="O45" s="21"/>
      <c r="Q45" s="21"/>
      <c r="S45" s="21"/>
    </row>
    <row r="46" spans="1:19" x14ac:dyDescent="0.25">
      <c r="A46" s="1"/>
      <c r="B46" s="15">
        <v>3</v>
      </c>
      <c r="C46" s="15" t="s">
        <v>36</v>
      </c>
      <c r="D46" s="15">
        <v>44</v>
      </c>
      <c r="E46" s="21" t="str">
        <f t="shared" si="1"/>
        <v>3.A.44</v>
      </c>
      <c r="F46" s="7" t="s">
        <v>255</v>
      </c>
      <c r="G46" s="86" t="s">
        <v>124</v>
      </c>
      <c r="H46" s="87" t="s">
        <v>140</v>
      </c>
      <c r="K46" s="21"/>
      <c r="L46" s="21"/>
      <c r="M46" s="21"/>
      <c r="N46" s="21"/>
      <c r="O46" s="21"/>
      <c r="Q46" s="21"/>
      <c r="S46" s="21"/>
    </row>
    <row r="47" spans="1:19" x14ac:dyDescent="0.25">
      <c r="A47" s="1"/>
      <c r="B47" s="15">
        <v>3</v>
      </c>
      <c r="C47" s="15" t="s">
        <v>36</v>
      </c>
      <c r="D47" s="15">
        <v>45</v>
      </c>
      <c r="E47" s="21" t="str">
        <f t="shared" si="1"/>
        <v>3.A.45</v>
      </c>
      <c r="F47" s="7" t="s">
        <v>248</v>
      </c>
      <c r="G47" s="86" t="s">
        <v>124</v>
      </c>
      <c r="H47" s="87" t="s">
        <v>140</v>
      </c>
      <c r="K47" s="21"/>
      <c r="L47" s="21"/>
      <c r="M47" s="21"/>
      <c r="N47" s="21"/>
      <c r="O47" s="21"/>
      <c r="Q47" s="21"/>
      <c r="S47" s="21"/>
    </row>
    <row r="48" spans="1:19" x14ac:dyDescent="0.25">
      <c r="A48" s="1"/>
      <c r="B48" s="15">
        <v>3</v>
      </c>
      <c r="C48" s="15" t="s">
        <v>38</v>
      </c>
      <c r="D48" s="15">
        <v>1</v>
      </c>
      <c r="E48" s="21" t="str">
        <f t="shared" si="1"/>
        <v>3.B.1</v>
      </c>
      <c r="F48" s="7" t="s">
        <v>74</v>
      </c>
      <c r="G48" s="86" t="s">
        <v>123</v>
      </c>
      <c r="H48" s="87" t="s">
        <v>145</v>
      </c>
      <c r="K48" s="21"/>
      <c r="L48" s="21"/>
      <c r="M48" s="21"/>
      <c r="N48" s="21"/>
      <c r="O48" s="21"/>
      <c r="Q48" s="21"/>
      <c r="S48" s="21"/>
    </row>
    <row r="49" spans="1:19" x14ac:dyDescent="0.25">
      <c r="A49" s="1"/>
      <c r="B49" s="15">
        <v>3</v>
      </c>
      <c r="C49" s="15" t="s">
        <v>38</v>
      </c>
      <c r="D49" s="15">
        <v>2</v>
      </c>
      <c r="E49" s="21" t="str">
        <f t="shared" si="1"/>
        <v>3.B.2</v>
      </c>
      <c r="F49" s="7" t="s">
        <v>75</v>
      </c>
      <c r="G49" s="86" t="s">
        <v>123</v>
      </c>
      <c r="H49" s="87" t="s">
        <v>145</v>
      </c>
      <c r="K49" s="21"/>
      <c r="L49" s="21"/>
      <c r="M49" s="21"/>
      <c r="N49" s="21"/>
      <c r="O49" s="21"/>
      <c r="Q49" s="21"/>
      <c r="S49" s="21"/>
    </row>
    <row r="50" spans="1:19" x14ac:dyDescent="0.25">
      <c r="A50" s="1"/>
      <c r="B50" s="15">
        <v>3</v>
      </c>
      <c r="C50" s="15" t="s">
        <v>38</v>
      </c>
      <c r="D50" s="15">
        <v>3</v>
      </c>
      <c r="E50" s="21" t="str">
        <f t="shared" si="1"/>
        <v>3.B.3</v>
      </c>
      <c r="F50" s="7" t="s">
        <v>76</v>
      </c>
      <c r="G50" s="86" t="s">
        <v>123</v>
      </c>
      <c r="H50" s="87" t="s">
        <v>145</v>
      </c>
      <c r="K50" s="21"/>
      <c r="L50" s="21"/>
      <c r="M50" s="21"/>
      <c r="N50" s="21"/>
      <c r="O50" s="21"/>
      <c r="Q50" s="21"/>
      <c r="S50" s="21"/>
    </row>
    <row r="51" spans="1:19" x14ac:dyDescent="0.25">
      <c r="A51" s="1"/>
      <c r="B51" s="15">
        <v>3</v>
      </c>
      <c r="C51" s="15" t="s">
        <v>38</v>
      </c>
      <c r="D51" s="15">
        <v>4</v>
      </c>
      <c r="E51" s="21" t="str">
        <f t="shared" si="1"/>
        <v>3.B.4</v>
      </c>
      <c r="F51" s="25" t="s">
        <v>77</v>
      </c>
      <c r="G51" s="86" t="s">
        <v>123</v>
      </c>
      <c r="H51" s="87" t="s">
        <v>145</v>
      </c>
      <c r="K51" s="21"/>
      <c r="L51" s="21"/>
      <c r="M51" s="21"/>
      <c r="N51" s="21"/>
      <c r="O51" s="21"/>
      <c r="Q51" s="21"/>
      <c r="S51" s="21"/>
    </row>
    <row r="52" spans="1:19" x14ac:dyDescent="0.25">
      <c r="A52" s="1"/>
      <c r="B52" s="15">
        <v>3</v>
      </c>
      <c r="C52" s="15" t="s">
        <v>38</v>
      </c>
      <c r="D52" s="15">
        <v>5</v>
      </c>
      <c r="E52" s="21" t="str">
        <f t="shared" si="1"/>
        <v>3.B.5</v>
      </c>
      <c r="F52" s="7" t="s">
        <v>259</v>
      </c>
      <c r="G52" s="86" t="s">
        <v>123</v>
      </c>
      <c r="H52" s="87" t="s">
        <v>146</v>
      </c>
      <c r="K52" s="21"/>
      <c r="L52" s="21"/>
      <c r="M52" s="21"/>
      <c r="N52" s="21"/>
      <c r="O52" s="21"/>
      <c r="Q52" s="21"/>
      <c r="S52" s="21"/>
    </row>
    <row r="53" spans="1:19" x14ac:dyDescent="0.25">
      <c r="A53" s="1"/>
      <c r="B53" s="15">
        <v>3</v>
      </c>
      <c r="C53" s="15" t="s">
        <v>38</v>
      </c>
      <c r="D53" s="15">
        <v>6</v>
      </c>
      <c r="E53" s="21" t="str">
        <f t="shared" si="1"/>
        <v>3.B.6</v>
      </c>
      <c r="F53" s="7" t="s">
        <v>260</v>
      </c>
      <c r="G53" s="86" t="s">
        <v>123</v>
      </c>
      <c r="H53" s="87" t="s">
        <v>146</v>
      </c>
      <c r="K53" s="21"/>
      <c r="L53" s="21"/>
      <c r="M53" s="21"/>
      <c r="N53" s="21"/>
      <c r="O53" s="21"/>
      <c r="Q53" s="21"/>
      <c r="S53" s="21"/>
    </row>
    <row r="54" spans="1:19" x14ac:dyDescent="0.25">
      <c r="A54" s="1"/>
      <c r="B54" s="15">
        <v>3</v>
      </c>
      <c r="C54" s="15" t="s">
        <v>38</v>
      </c>
      <c r="D54" s="15">
        <v>7</v>
      </c>
      <c r="E54" s="21" t="str">
        <f t="shared" si="1"/>
        <v>3.B.7</v>
      </c>
      <c r="F54" s="7" t="s">
        <v>78</v>
      </c>
      <c r="G54" s="86" t="s">
        <v>123</v>
      </c>
      <c r="H54" s="87" t="s">
        <v>146</v>
      </c>
      <c r="K54" s="21"/>
      <c r="L54" s="21"/>
      <c r="M54" s="21"/>
      <c r="N54" s="21"/>
      <c r="O54" s="21"/>
      <c r="Q54" s="21"/>
      <c r="S54" s="21"/>
    </row>
    <row r="55" spans="1:19" x14ac:dyDescent="0.25">
      <c r="A55" s="1"/>
      <c r="B55" s="15">
        <v>3</v>
      </c>
      <c r="C55" s="15" t="s">
        <v>38</v>
      </c>
      <c r="D55" s="15">
        <v>8</v>
      </c>
      <c r="E55" s="21" t="str">
        <f t="shared" si="1"/>
        <v>3.B.8</v>
      </c>
      <c r="F55" s="7" t="s">
        <v>211</v>
      </c>
      <c r="G55" s="86" t="s">
        <v>123</v>
      </c>
      <c r="H55" s="87" t="s">
        <v>146</v>
      </c>
      <c r="K55" s="21"/>
      <c r="L55" s="21"/>
      <c r="M55" s="21"/>
      <c r="N55" s="21"/>
      <c r="O55" s="21"/>
      <c r="Q55" s="21"/>
      <c r="S55" s="21"/>
    </row>
    <row r="56" spans="1:19" x14ac:dyDescent="0.25">
      <c r="A56" s="1"/>
      <c r="B56" s="15">
        <v>3</v>
      </c>
      <c r="C56" s="15" t="s">
        <v>38</v>
      </c>
      <c r="D56" s="15">
        <v>9</v>
      </c>
      <c r="E56" s="21" t="str">
        <f t="shared" si="1"/>
        <v>3.B.9</v>
      </c>
      <c r="F56" s="7" t="s">
        <v>79</v>
      </c>
      <c r="G56" s="86" t="s">
        <v>123</v>
      </c>
      <c r="H56" s="87" t="s">
        <v>146</v>
      </c>
      <c r="K56" s="21"/>
      <c r="L56" s="21"/>
      <c r="M56" s="21"/>
      <c r="N56" s="21"/>
      <c r="O56" s="21"/>
      <c r="Q56" s="21"/>
      <c r="S56" s="21"/>
    </row>
    <row r="57" spans="1:19" x14ac:dyDescent="0.25">
      <c r="A57" s="1"/>
      <c r="B57" s="15">
        <v>3</v>
      </c>
      <c r="C57" s="15" t="s">
        <v>38</v>
      </c>
      <c r="D57" s="15">
        <v>10</v>
      </c>
      <c r="E57" s="21" t="str">
        <f t="shared" si="1"/>
        <v>3.B.10</v>
      </c>
      <c r="F57" s="7" t="s">
        <v>80</v>
      </c>
      <c r="G57" s="86" t="s">
        <v>123</v>
      </c>
      <c r="H57" s="87" t="s">
        <v>146</v>
      </c>
      <c r="K57" s="21"/>
      <c r="L57" s="21"/>
      <c r="M57" s="21"/>
      <c r="N57" s="21"/>
      <c r="O57" s="21"/>
      <c r="Q57" s="21"/>
      <c r="S57" s="21"/>
    </row>
    <row r="58" spans="1:19" x14ac:dyDescent="0.25">
      <c r="A58" s="1"/>
      <c r="B58" s="15">
        <v>3</v>
      </c>
      <c r="C58" s="15" t="s">
        <v>38</v>
      </c>
      <c r="D58" s="15">
        <v>11</v>
      </c>
      <c r="E58" s="21" t="str">
        <f t="shared" si="1"/>
        <v>3.B.11</v>
      </c>
      <c r="F58" s="7" t="s">
        <v>81</v>
      </c>
      <c r="G58" s="86" t="s">
        <v>124</v>
      </c>
      <c r="H58" s="87" t="s">
        <v>138</v>
      </c>
      <c r="K58" s="21"/>
      <c r="L58" s="21"/>
      <c r="M58" s="21"/>
      <c r="N58" s="21"/>
      <c r="O58" s="21"/>
      <c r="Q58" s="21"/>
      <c r="S58" s="21"/>
    </row>
    <row r="59" spans="1:19" x14ac:dyDescent="0.25">
      <c r="A59" s="1"/>
      <c r="B59" s="15">
        <v>3</v>
      </c>
      <c r="C59" s="15" t="s">
        <v>38</v>
      </c>
      <c r="D59" s="15">
        <v>12</v>
      </c>
      <c r="E59" s="21" t="str">
        <f t="shared" si="1"/>
        <v>3.B.12</v>
      </c>
      <c r="F59" s="7" t="s">
        <v>82</v>
      </c>
      <c r="G59" s="86" t="s">
        <v>124</v>
      </c>
      <c r="H59" s="87" t="s">
        <v>144</v>
      </c>
      <c r="K59" s="21"/>
      <c r="L59" s="21"/>
      <c r="M59" s="21"/>
      <c r="N59" s="21"/>
      <c r="O59" s="21"/>
      <c r="Q59" s="21"/>
      <c r="S59" s="21"/>
    </row>
    <row r="60" spans="1:19" x14ac:dyDescent="0.25">
      <c r="A60" s="1"/>
      <c r="B60" s="15">
        <v>3</v>
      </c>
      <c r="C60" s="15" t="s">
        <v>38</v>
      </c>
      <c r="D60" s="15">
        <v>13</v>
      </c>
      <c r="E60" s="21" t="str">
        <f t="shared" si="1"/>
        <v>3.B.13</v>
      </c>
      <c r="F60" s="7" t="s">
        <v>83</v>
      </c>
      <c r="G60" s="86" t="s">
        <v>123</v>
      </c>
      <c r="H60" s="87" t="s">
        <v>145</v>
      </c>
      <c r="K60" s="21"/>
      <c r="L60" s="21"/>
      <c r="M60" s="21"/>
      <c r="N60" s="21"/>
      <c r="O60" s="21"/>
      <c r="Q60" s="21"/>
      <c r="S60" s="21"/>
    </row>
    <row r="61" spans="1:19" x14ac:dyDescent="0.25">
      <c r="A61" s="1"/>
      <c r="B61" s="15">
        <v>3</v>
      </c>
      <c r="C61" s="15" t="s">
        <v>38</v>
      </c>
      <c r="D61" s="15">
        <v>14</v>
      </c>
      <c r="E61" s="21" t="str">
        <f t="shared" si="1"/>
        <v>3.B.14</v>
      </c>
      <c r="F61" s="7" t="s">
        <v>84</v>
      </c>
      <c r="G61" s="86" t="s">
        <v>124</v>
      </c>
      <c r="H61" s="87" t="s">
        <v>144</v>
      </c>
      <c r="K61" s="21"/>
      <c r="L61" s="21"/>
      <c r="M61" s="21"/>
      <c r="N61" s="21"/>
      <c r="O61" s="21"/>
      <c r="Q61" s="21"/>
      <c r="S61" s="21"/>
    </row>
    <row r="62" spans="1:19" x14ac:dyDescent="0.25">
      <c r="A62" s="1"/>
      <c r="B62" s="15">
        <v>3</v>
      </c>
      <c r="C62" s="15" t="s">
        <v>38</v>
      </c>
      <c r="D62" s="15">
        <v>15</v>
      </c>
      <c r="E62" s="21" t="str">
        <f t="shared" si="1"/>
        <v>3.B.15</v>
      </c>
      <c r="F62" s="7" t="s">
        <v>86</v>
      </c>
      <c r="G62" s="86" t="s">
        <v>124</v>
      </c>
      <c r="H62" s="87" t="s">
        <v>144</v>
      </c>
      <c r="K62" s="21"/>
      <c r="L62" s="21"/>
      <c r="M62" s="21"/>
      <c r="N62" s="21"/>
      <c r="O62" s="21"/>
      <c r="Q62" s="21"/>
      <c r="S62" s="21"/>
    </row>
    <row r="63" spans="1:19" x14ac:dyDescent="0.25">
      <c r="A63" s="1"/>
      <c r="B63" s="15">
        <v>3</v>
      </c>
      <c r="C63" s="15" t="s">
        <v>38</v>
      </c>
      <c r="D63" s="15">
        <v>16</v>
      </c>
      <c r="E63" s="21" t="str">
        <f t="shared" si="1"/>
        <v>3.B.16</v>
      </c>
      <c r="F63" s="7" t="s">
        <v>85</v>
      </c>
      <c r="G63" s="86" t="s">
        <v>124</v>
      </c>
      <c r="H63" s="87" t="s">
        <v>144</v>
      </c>
      <c r="K63" s="21"/>
      <c r="L63" s="21"/>
      <c r="M63" s="21"/>
      <c r="N63" s="21"/>
      <c r="O63" s="21"/>
      <c r="Q63" s="21"/>
      <c r="S63" s="21"/>
    </row>
    <row r="64" spans="1:19" x14ac:dyDescent="0.25">
      <c r="A64" s="1"/>
      <c r="B64" s="15">
        <v>3</v>
      </c>
      <c r="C64" s="15" t="s">
        <v>38</v>
      </c>
      <c r="D64" s="15">
        <v>17</v>
      </c>
      <c r="E64" s="21" t="str">
        <f t="shared" si="1"/>
        <v>3.B.17</v>
      </c>
      <c r="F64" s="7" t="s">
        <v>261</v>
      </c>
      <c r="G64" s="86" t="s">
        <v>124</v>
      </c>
      <c r="H64" s="87" t="s">
        <v>144</v>
      </c>
      <c r="K64" s="21"/>
      <c r="L64" s="21"/>
      <c r="M64" s="21"/>
      <c r="N64" s="21"/>
      <c r="O64" s="21"/>
      <c r="Q64" s="21"/>
      <c r="S64" s="21"/>
    </row>
    <row r="65" spans="1:19" x14ac:dyDescent="0.25">
      <c r="A65" s="1"/>
      <c r="B65" s="15">
        <v>3</v>
      </c>
      <c r="C65" s="15" t="s">
        <v>38</v>
      </c>
      <c r="D65" s="15">
        <v>18</v>
      </c>
      <c r="E65" s="21" t="str">
        <f t="shared" si="1"/>
        <v>3.B.18</v>
      </c>
      <c r="F65" s="7" t="s">
        <v>262</v>
      </c>
      <c r="G65" s="86" t="s">
        <v>124</v>
      </c>
      <c r="H65" s="87" t="s">
        <v>144</v>
      </c>
      <c r="K65" s="21"/>
      <c r="L65" s="21"/>
      <c r="M65" s="21"/>
      <c r="N65" s="21"/>
      <c r="O65" s="21"/>
      <c r="Q65" s="21"/>
      <c r="S65" s="21"/>
    </row>
    <row r="66" spans="1:19" x14ac:dyDescent="0.25">
      <c r="A66" s="1"/>
      <c r="B66" s="15">
        <v>3</v>
      </c>
      <c r="C66" s="15" t="s">
        <v>38</v>
      </c>
      <c r="D66" s="15">
        <v>19</v>
      </c>
      <c r="E66" s="21" t="str">
        <f t="shared" si="1"/>
        <v>3.B.19</v>
      </c>
      <c r="F66" s="7" t="s">
        <v>263</v>
      </c>
      <c r="G66" s="86" t="s">
        <v>124</v>
      </c>
      <c r="H66" s="87" t="s">
        <v>144</v>
      </c>
      <c r="K66" s="21"/>
      <c r="L66" s="21"/>
      <c r="M66" s="21"/>
      <c r="N66" s="21"/>
      <c r="O66" s="21"/>
      <c r="Q66" s="21"/>
      <c r="S66" s="21"/>
    </row>
    <row r="67" spans="1:19" x14ac:dyDescent="0.25">
      <c r="A67" s="1"/>
      <c r="B67" s="15">
        <v>3</v>
      </c>
      <c r="C67" s="15" t="s">
        <v>38</v>
      </c>
      <c r="D67" s="15">
        <v>20</v>
      </c>
      <c r="E67" s="21" t="str">
        <f t="shared" si="1"/>
        <v>3.B.20</v>
      </c>
      <c r="F67" s="7" t="s">
        <v>264</v>
      </c>
      <c r="G67" s="86" t="s">
        <v>122</v>
      </c>
      <c r="H67" s="87" t="s">
        <v>141</v>
      </c>
      <c r="K67" s="21"/>
      <c r="L67" s="21"/>
      <c r="M67" s="21"/>
      <c r="N67" s="21"/>
      <c r="O67" s="21"/>
      <c r="Q67" s="21"/>
      <c r="S67" s="21"/>
    </row>
    <row r="68" spans="1:19" x14ac:dyDescent="0.25">
      <c r="A68" s="1"/>
      <c r="B68" s="15">
        <v>3</v>
      </c>
      <c r="C68" s="15" t="s">
        <v>38</v>
      </c>
      <c r="D68" s="15">
        <v>21</v>
      </c>
      <c r="E68" s="21" t="str">
        <f t="shared" ref="E68:E98" si="2">_xlfn.CONCAT(B68,".",C68,".",D68)</f>
        <v>3.B.21</v>
      </c>
      <c r="F68" s="7" t="s">
        <v>265</v>
      </c>
      <c r="G68" s="86" t="s">
        <v>122</v>
      </c>
      <c r="H68" s="87" t="s">
        <v>141</v>
      </c>
      <c r="K68" s="21"/>
      <c r="L68" s="21"/>
      <c r="M68" s="21"/>
      <c r="N68" s="21"/>
      <c r="O68" s="21"/>
      <c r="Q68" s="21"/>
      <c r="S68" s="21"/>
    </row>
    <row r="69" spans="1:19" x14ac:dyDescent="0.25">
      <c r="A69" s="1"/>
      <c r="B69" s="15">
        <v>3</v>
      </c>
      <c r="C69" s="15" t="s">
        <v>38</v>
      </c>
      <c r="D69" s="15">
        <v>22</v>
      </c>
      <c r="E69" s="21" t="str">
        <f t="shared" si="2"/>
        <v>3.B.22</v>
      </c>
      <c r="F69" s="7" t="s">
        <v>266</v>
      </c>
      <c r="G69" s="86" t="s">
        <v>122</v>
      </c>
      <c r="H69" s="87" t="s">
        <v>142</v>
      </c>
      <c r="K69" s="21"/>
      <c r="L69" s="21"/>
      <c r="M69" s="21"/>
      <c r="N69" s="21"/>
      <c r="O69" s="21"/>
      <c r="Q69" s="21"/>
      <c r="S69" s="21"/>
    </row>
    <row r="70" spans="1:19" x14ac:dyDescent="0.25">
      <c r="A70" s="1"/>
      <c r="B70" s="15">
        <v>3</v>
      </c>
      <c r="C70" s="15" t="s">
        <v>38</v>
      </c>
      <c r="D70" s="15">
        <v>23</v>
      </c>
      <c r="E70" s="21" t="str">
        <f t="shared" si="2"/>
        <v>3.B.23</v>
      </c>
      <c r="F70" s="7" t="s">
        <v>89</v>
      </c>
      <c r="G70" s="86" t="s">
        <v>123</v>
      </c>
      <c r="H70" s="87" t="s">
        <v>145</v>
      </c>
      <c r="K70" s="21"/>
      <c r="L70" s="21"/>
      <c r="M70" s="21"/>
      <c r="N70" s="21"/>
      <c r="O70" s="21"/>
      <c r="Q70" s="21"/>
      <c r="S70" s="21"/>
    </row>
    <row r="71" spans="1:19" x14ac:dyDescent="0.25">
      <c r="A71" s="1"/>
      <c r="B71" s="15">
        <v>3</v>
      </c>
      <c r="C71" s="15" t="s">
        <v>38</v>
      </c>
      <c r="D71" s="15">
        <v>24</v>
      </c>
      <c r="E71" s="21" t="str">
        <f t="shared" si="2"/>
        <v>3.B.24</v>
      </c>
      <c r="F71" s="7" t="s">
        <v>96</v>
      </c>
      <c r="G71" s="86" t="s">
        <v>123</v>
      </c>
      <c r="H71" s="87" t="s">
        <v>145</v>
      </c>
      <c r="K71" s="21"/>
      <c r="L71" s="21"/>
      <c r="M71" s="21"/>
      <c r="N71" s="21"/>
      <c r="O71" s="21"/>
      <c r="Q71" s="21"/>
      <c r="S71" s="21"/>
    </row>
    <row r="72" spans="1:19" x14ac:dyDescent="0.25">
      <c r="A72" s="1"/>
      <c r="B72" s="15">
        <v>3</v>
      </c>
      <c r="C72" s="15" t="s">
        <v>38</v>
      </c>
      <c r="D72" s="15">
        <v>25</v>
      </c>
      <c r="E72" s="21" t="str">
        <f t="shared" si="2"/>
        <v>3.B.25</v>
      </c>
      <c r="F72" s="7" t="s">
        <v>94</v>
      </c>
      <c r="G72" s="86" t="s">
        <v>123</v>
      </c>
      <c r="H72" s="87" t="s">
        <v>145</v>
      </c>
      <c r="K72" s="21"/>
      <c r="L72" s="21"/>
      <c r="M72" s="21"/>
      <c r="N72" s="21"/>
      <c r="O72" s="21"/>
      <c r="Q72" s="21"/>
      <c r="S72" s="21"/>
    </row>
    <row r="73" spans="1:19" x14ac:dyDescent="0.25">
      <c r="A73" s="1"/>
      <c r="B73" s="15">
        <v>3</v>
      </c>
      <c r="C73" s="15" t="s">
        <v>38</v>
      </c>
      <c r="D73" s="15">
        <v>26</v>
      </c>
      <c r="E73" s="21" t="str">
        <f t="shared" si="2"/>
        <v>3.B.26</v>
      </c>
      <c r="F73" s="7" t="s">
        <v>267</v>
      </c>
      <c r="G73" s="86" t="s">
        <v>123</v>
      </c>
      <c r="H73" s="87" t="s">
        <v>145</v>
      </c>
      <c r="K73" s="21"/>
      <c r="L73" s="21"/>
      <c r="M73" s="21"/>
      <c r="N73" s="21"/>
      <c r="O73" s="21"/>
      <c r="Q73" s="21"/>
      <c r="S73" s="21"/>
    </row>
    <row r="74" spans="1:19" x14ac:dyDescent="0.25">
      <c r="A74" s="1"/>
      <c r="B74" s="15">
        <v>3</v>
      </c>
      <c r="C74" s="15" t="s">
        <v>38</v>
      </c>
      <c r="D74" s="15">
        <v>27</v>
      </c>
      <c r="E74" s="21" t="str">
        <f t="shared" si="2"/>
        <v>3.B.27</v>
      </c>
      <c r="F74" s="7" t="s">
        <v>268</v>
      </c>
      <c r="G74" s="86" t="s">
        <v>123</v>
      </c>
      <c r="H74" s="87" t="s">
        <v>145</v>
      </c>
      <c r="K74" s="21"/>
      <c r="L74" s="21"/>
      <c r="M74" s="21"/>
      <c r="N74" s="21"/>
      <c r="O74" s="21"/>
      <c r="Q74" s="21"/>
      <c r="S74" s="21"/>
    </row>
    <row r="75" spans="1:19" x14ac:dyDescent="0.25">
      <c r="A75" s="1"/>
      <c r="B75" s="15">
        <v>3</v>
      </c>
      <c r="C75" s="15" t="s">
        <v>38</v>
      </c>
      <c r="D75" s="15">
        <v>28</v>
      </c>
      <c r="E75" s="21" t="str">
        <f t="shared" si="2"/>
        <v>3.B.28</v>
      </c>
      <c r="F75" s="7" t="s">
        <v>344</v>
      </c>
      <c r="G75" s="86" t="s">
        <v>124</v>
      </c>
      <c r="H75" s="87" t="s">
        <v>140</v>
      </c>
      <c r="K75" s="21"/>
      <c r="L75" s="21"/>
      <c r="M75" s="21"/>
      <c r="N75" s="21"/>
      <c r="O75" s="21"/>
      <c r="Q75" s="21"/>
      <c r="S75" s="21"/>
    </row>
    <row r="76" spans="1:19" x14ac:dyDescent="0.25">
      <c r="A76" s="1"/>
      <c r="B76" s="15">
        <v>3</v>
      </c>
      <c r="C76" s="15" t="s">
        <v>38</v>
      </c>
      <c r="D76" s="15">
        <v>29</v>
      </c>
      <c r="E76" s="21" t="str">
        <f t="shared" si="2"/>
        <v>3.B.29</v>
      </c>
      <c r="F76" s="7" t="s">
        <v>95</v>
      </c>
      <c r="G76" s="86" t="s">
        <v>124</v>
      </c>
      <c r="H76" s="87" t="s">
        <v>144</v>
      </c>
      <c r="K76" s="21"/>
      <c r="L76" s="21"/>
      <c r="M76" s="21"/>
      <c r="N76" s="21"/>
      <c r="O76" s="21"/>
      <c r="Q76" s="21"/>
      <c r="S76" s="21"/>
    </row>
    <row r="77" spans="1:19" x14ac:dyDescent="0.25">
      <c r="A77" s="1"/>
      <c r="B77" s="15">
        <v>3</v>
      </c>
      <c r="C77" s="15" t="s">
        <v>38</v>
      </c>
      <c r="D77" s="15">
        <v>30</v>
      </c>
      <c r="E77" s="21" t="str">
        <f t="shared" si="2"/>
        <v>3.B.30</v>
      </c>
      <c r="F77" s="7" t="s">
        <v>269</v>
      </c>
      <c r="G77" s="86" t="s">
        <v>122</v>
      </c>
      <c r="H77" s="87" t="s">
        <v>142</v>
      </c>
      <c r="K77" s="21"/>
      <c r="L77" s="21"/>
      <c r="M77" s="21"/>
      <c r="N77" s="21"/>
      <c r="O77" s="21"/>
      <c r="Q77" s="21"/>
      <c r="S77" s="21"/>
    </row>
    <row r="78" spans="1:19" x14ac:dyDescent="0.25">
      <c r="A78" s="1"/>
      <c r="B78" s="15">
        <v>3</v>
      </c>
      <c r="C78" s="15" t="s">
        <v>38</v>
      </c>
      <c r="D78" s="15">
        <v>31</v>
      </c>
      <c r="E78" s="21" t="str">
        <f t="shared" si="2"/>
        <v>3.B.31</v>
      </c>
      <c r="F78" s="7" t="s">
        <v>270</v>
      </c>
      <c r="G78" s="86" t="s">
        <v>124</v>
      </c>
      <c r="H78" s="87" t="s">
        <v>140</v>
      </c>
      <c r="K78" s="21"/>
      <c r="L78" s="21"/>
      <c r="M78" s="21"/>
      <c r="N78" s="21"/>
      <c r="O78" s="21"/>
      <c r="Q78" s="21"/>
      <c r="S78" s="21"/>
    </row>
    <row r="79" spans="1:19" x14ac:dyDescent="0.25">
      <c r="A79" s="1"/>
      <c r="B79" s="15">
        <v>3</v>
      </c>
      <c r="C79" s="15" t="s">
        <v>38</v>
      </c>
      <c r="D79" s="15">
        <v>32</v>
      </c>
      <c r="E79" s="21" t="str">
        <f t="shared" si="2"/>
        <v>3.B.32</v>
      </c>
      <c r="F79" s="7" t="s">
        <v>271</v>
      </c>
      <c r="G79" s="86" t="s">
        <v>122</v>
      </c>
      <c r="H79" s="87" t="s">
        <v>141</v>
      </c>
      <c r="K79" s="21"/>
      <c r="L79" s="21"/>
      <c r="M79" s="21"/>
      <c r="N79" s="21"/>
      <c r="O79" s="21"/>
      <c r="Q79" s="21"/>
      <c r="S79" s="21"/>
    </row>
    <row r="80" spans="1:19" x14ac:dyDescent="0.25">
      <c r="A80" s="1"/>
      <c r="B80" s="15">
        <v>3</v>
      </c>
      <c r="C80" s="15" t="s">
        <v>38</v>
      </c>
      <c r="D80" s="15">
        <v>33</v>
      </c>
      <c r="E80" s="21" t="str">
        <f t="shared" si="2"/>
        <v>3.B.33</v>
      </c>
      <c r="F80" s="25" t="s">
        <v>93</v>
      </c>
      <c r="G80" s="86" t="s">
        <v>122</v>
      </c>
      <c r="H80" s="87" t="s">
        <v>142</v>
      </c>
      <c r="K80" s="21"/>
      <c r="L80" s="21"/>
      <c r="M80" s="21"/>
      <c r="N80" s="21"/>
      <c r="O80" s="21"/>
      <c r="Q80" s="21"/>
      <c r="S80" s="21"/>
    </row>
    <row r="81" spans="1:19" x14ac:dyDescent="0.25">
      <c r="A81" s="1"/>
      <c r="B81" s="15">
        <v>3</v>
      </c>
      <c r="C81" s="15" t="s">
        <v>38</v>
      </c>
      <c r="D81" s="15">
        <v>34</v>
      </c>
      <c r="E81" s="21" t="str">
        <f t="shared" si="2"/>
        <v>3.B.34</v>
      </c>
      <c r="F81" s="7" t="s">
        <v>92</v>
      </c>
      <c r="G81" s="86" t="s">
        <v>122</v>
      </c>
      <c r="H81" s="87" t="s">
        <v>142</v>
      </c>
      <c r="K81" s="21"/>
      <c r="L81" s="21"/>
      <c r="M81" s="21"/>
      <c r="N81" s="21"/>
      <c r="O81" s="21"/>
      <c r="Q81" s="21"/>
      <c r="S81" s="21"/>
    </row>
    <row r="82" spans="1:19" x14ac:dyDescent="0.25">
      <c r="A82" s="1"/>
      <c r="B82" s="15">
        <v>3</v>
      </c>
      <c r="C82" s="15" t="s">
        <v>38</v>
      </c>
      <c r="D82" s="15">
        <v>35</v>
      </c>
      <c r="E82" s="21" t="str">
        <f t="shared" si="2"/>
        <v>3.B.35</v>
      </c>
      <c r="F82" s="7" t="s">
        <v>272</v>
      </c>
      <c r="G82" s="86" t="s">
        <v>122</v>
      </c>
      <c r="H82" s="87" t="s">
        <v>142</v>
      </c>
      <c r="K82" s="21"/>
      <c r="L82" s="21"/>
      <c r="M82" s="21"/>
      <c r="N82" s="21"/>
      <c r="O82" s="21"/>
      <c r="Q82" s="21"/>
      <c r="S82" s="21"/>
    </row>
    <row r="83" spans="1:19" x14ac:dyDescent="0.25">
      <c r="A83" s="1"/>
      <c r="B83" s="15">
        <v>3</v>
      </c>
      <c r="C83" s="15" t="s">
        <v>38</v>
      </c>
      <c r="D83" s="15">
        <v>36</v>
      </c>
      <c r="E83" s="21" t="str">
        <f t="shared" si="2"/>
        <v>3.B.36</v>
      </c>
      <c r="F83" s="7" t="s">
        <v>273</v>
      </c>
      <c r="G83" s="86" t="s">
        <v>122</v>
      </c>
      <c r="H83" s="87" t="s">
        <v>143</v>
      </c>
      <c r="K83" s="21"/>
      <c r="L83" s="21"/>
      <c r="M83" s="21"/>
      <c r="N83" s="21"/>
      <c r="O83" s="21"/>
      <c r="Q83" s="21"/>
      <c r="S83" s="21"/>
    </row>
    <row r="84" spans="1:19" x14ac:dyDescent="0.25">
      <c r="A84" s="1"/>
      <c r="B84" s="15">
        <v>3</v>
      </c>
      <c r="C84" s="15" t="s">
        <v>38</v>
      </c>
      <c r="D84" s="15">
        <v>37</v>
      </c>
      <c r="E84" s="21" t="str">
        <f t="shared" si="2"/>
        <v>3.B.37</v>
      </c>
      <c r="F84" s="7" t="s">
        <v>90</v>
      </c>
      <c r="G84" s="86" t="s">
        <v>122</v>
      </c>
      <c r="H84" s="87" t="s">
        <v>143</v>
      </c>
      <c r="K84" s="21"/>
      <c r="L84" s="21"/>
      <c r="M84" s="21"/>
      <c r="N84" s="21"/>
      <c r="O84" s="21"/>
      <c r="Q84" s="21"/>
      <c r="S84" s="21"/>
    </row>
    <row r="85" spans="1:19" x14ac:dyDescent="0.25">
      <c r="A85" s="1"/>
      <c r="B85" s="15">
        <v>3</v>
      </c>
      <c r="C85" s="15" t="s">
        <v>38</v>
      </c>
      <c r="D85" s="15">
        <v>38</v>
      </c>
      <c r="E85" s="21" t="str">
        <f t="shared" si="2"/>
        <v>3.B.38</v>
      </c>
      <c r="F85" s="7" t="s">
        <v>91</v>
      </c>
      <c r="G85" s="86" t="s">
        <v>122</v>
      </c>
      <c r="H85" s="87" t="s">
        <v>143</v>
      </c>
      <c r="K85" s="21"/>
      <c r="L85" s="21"/>
      <c r="M85" s="21"/>
      <c r="N85" s="21"/>
      <c r="O85" s="21"/>
      <c r="Q85" s="21"/>
      <c r="S85" s="21"/>
    </row>
    <row r="86" spans="1:19" x14ac:dyDescent="0.25">
      <c r="A86" s="1"/>
      <c r="B86" s="15">
        <v>3</v>
      </c>
      <c r="C86" s="15" t="s">
        <v>38</v>
      </c>
      <c r="D86" s="15">
        <v>39</v>
      </c>
      <c r="E86" s="21" t="str">
        <f t="shared" si="2"/>
        <v>3.B.39</v>
      </c>
      <c r="F86" s="7" t="s">
        <v>274</v>
      </c>
      <c r="G86" s="86" t="s">
        <v>122</v>
      </c>
      <c r="H86" s="87" t="s">
        <v>143</v>
      </c>
      <c r="K86" s="21"/>
      <c r="L86" s="21"/>
      <c r="M86" s="21"/>
      <c r="N86" s="21"/>
      <c r="O86" s="21"/>
      <c r="Q86" s="21"/>
      <c r="S86" s="21"/>
    </row>
    <row r="87" spans="1:19" x14ac:dyDescent="0.25">
      <c r="A87" s="1"/>
      <c r="B87" s="15">
        <v>3</v>
      </c>
      <c r="C87" s="15" t="s">
        <v>38</v>
      </c>
      <c r="D87" s="15">
        <v>40</v>
      </c>
      <c r="E87" s="21" t="str">
        <f t="shared" si="2"/>
        <v>3.B.40</v>
      </c>
      <c r="F87" s="7" t="s">
        <v>275</v>
      </c>
      <c r="G87" s="86" t="s">
        <v>122</v>
      </c>
      <c r="H87" s="87" t="s">
        <v>143</v>
      </c>
      <c r="K87" s="21"/>
      <c r="L87" s="21"/>
      <c r="M87" s="21"/>
      <c r="N87" s="21"/>
      <c r="O87" s="21"/>
      <c r="Q87" s="21"/>
      <c r="S87" s="21"/>
    </row>
    <row r="88" spans="1:19" x14ac:dyDescent="0.25">
      <c r="A88" s="1"/>
      <c r="B88" s="15">
        <v>3</v>
      </c>
      <c r="C88" s="15" t="s">
        <v>38</v>
      </c>
      <c r="D88" s="15">
        <v>41</v>
      </c>
      <c r="E88" s="21" t="str">
        <f t="shared" si="2"/>
        <v>3.B.41</v>
      </c>
      <c r="F88" s="7" t="s">
        <v>87</v>
      </c>
      <c r="G88" s="86" t="s">
        <v>122</v>
      </c>
      <c r="H88" s="87" t="s">
        <v>143</v>
      </c>
      <c r="K88" s="21"/>
      <c r="L88" s="21"/>
      <c r="M88" s="21"/>
      <c r="N88" s="21"/>
      <c r="O88" s="21"/>
      <c r="Q88" s="21"/>
      <c r="S88" s="21"/>
    </row>
    <row r="89" spans="1:19" x14ac:dyDescent="0.25">
      <c r="A89" s="1"/>
      <c r="B89" s="15">
        <v>3</v>
      </c>
      <c r="C89" s="15" t="s">
        <v>38</v>
      </c>
      <c r="D89" s="15">
        <v>42</v>
      </c>
      <c r="E89" s="21" t="str">
        <f t="shared" si="2"/>
        <v>3.B.42</v>
      </c>
      <c r="F89" s="7" t="s">
        <v>88</v>
      </c>
      <c r="G89" s="86" t="s">
        <v>122</v>
      </c>
      <c r="H89" s="87" t="s">
        <v>143</v>
      </c>
      <c r="K89" s="21"/>
      <c r="L89" s="21"/>
      <c r="M89" s="21"/>
      <c r="N89" s="21"/>
      <c r="O89" s="21"/>
      <c r="Q89" s="21"/>
      <c r="S89" s="21"/>
    </row>
    <row r="90" spans="1:19" x14ac:dyDescent="0.25">
      <c r="A90" s="1"/>
      <c r="B90" s="15">
        <v>3</v>
      </c>
      <c r="C90" s="15" t="s">
        <v>38</v>
      </c>
      <c r="D90" s="15">
        <v>43</v>
      </c>
      <c r="E90" s="21" t="str">
        <f t="shared" si="2"/>
        <v>3.B.43</v>
      </c>
      <c r="F90" s="7" t="s">
        <v>276</v>
      </c>
      <c r="G90" s="86" t="s">
        <v>122</v>
      </c>
      <c r="H90" s="87" t="s">
        <v>143</v>
      </c>
      <c r="K90" s="21"/>
      <c r="L90" s="21"/>
      <c r="M90" s="21"/>
      <c r="N90" s="21"/>
      <c r="O90" s="21"/>
      <c r="Q90" s="21"/>
      <c r="S90" s="21"/>
    </row>
    <row r="91" spans="1:19" x14ac:dyDescent="0.25">
      <c r="A91" s="1"/>
      <c r="B91" s="15">
        <v>3</v>
      </c>
      <c r="C91" s="15" t="s">
        <v>38</v>
      </c>
      <c r="D91" s="15">
        <v>44</v>
      </c>
      <c r="E91" s="21" t="str">
        <f t="shared" si="2"/>
        <v>3.B.44</v>
      </c>
      <c r="F91" s="7" t="s">
        <v>277</v>
      </c>
      <c r="G91" s="86" t="s">
        <v>122</v>
      </c>
      <c r="H91" s="87" t="s">
        <v>143</v>
      </c>
      <c r="K91" s="21"/>
      <c r="L91" s="21"/>
      <c r="M91" s="21"/>
      <c r="N91" s="21"/>
      <c r="O91" s="21"/>
      <c r="Q91" s="21"/>
      <c r="S91" s="21"/>
    </row>
    <row r="92" spans="1:19" x14ac:dyDescent="0.25">
      <c r="A92" s="1"/>
      <c r="B92" s="15">
        <v>3</v>
      </c>
      <c r="C92" s="15" t="s">
        <v>38</v>
      </c>
      <c r="D92" s="15">
        <v>45</v>
      </c>
      <c r="E92" s="21" t="str">
        <f t="shared" si="2"/>
        <v>3.B.45</v>
      </c>
      <c r="F92" s="7" t="s">
        <v>278</v>
      </c>
      <c r="G92" s="86" t="s">
        <v>122</v>
      </c>
      <c r="H92" s="87" t="s">
        <v>143</v>
      </c>
      <c r="K92" s="21"/>
      <c r="L92" s="21"/>
      <c r="M92" s="21"/>
      <c r="N92" s="21"/>
      <c r="O92" s="21"/>
      <c r="Q92" s="21"/>
      <c r="S92" s="21"/>
    </row>
    <row r="93" spans="1:19" x14ac:dyDescent="0.25">
      <c r="A93" s="1"/>
      <c r="B93" s="15">
        <v>4</v>
      </c>
      <c r="C93" s="15" t="s">
        <v>36</v>
      </c>
      <c r="D93" s="15">
        <v>1</v>
      </c>
      <c r="E93" s="21" t="str">
        <f t="shared" si="2"/>
        <v>4.A.1</v>
      </c>
      <c r="F93" s="7" t="s">
        <v>294</v>
      </c>
      <c r="G93" s="86" t="s">
        <v>191</v>
      </c>
      <c r="H93" s="87" t="s">
        <v>209</v>
      </c>
      <c r="K93" s="21"/>
      <c r="L93" s="21"/>
      <c r="M93" s="21"/>
      <c r="N93" s="21"/>
      <c r="O93" s="21"/>
      <c r="Q93" s="21"/>
      <c r="S93" s="21"/>
    </row>
    <row r="94" spans="1:19" x14ac:dyDescent="0.25">
      <c r="A94" s="1"/>
      <c r="B94" s="15">
        <v>4</v>
      </c>
      <c r="C94" s="15" t="s">
        <v>36</v>
      </c>
      <c r="D94" s="15">
        <v>2</v>
      </c>
      <c r="E94" s="21" t="str">
        <f t="shared" si="2"/>
        <v>4.A.2</v>
      </c>
      <c r="F94" s="7" t="s">
        <v>295</v>
      </c>
      <c r="G94" s="86" t="s">
        <v>191</v>
      </c>
      <c r="H94" s="87" t="s">
        <v>198</v>
      </c>
      <c r="K94" s="21"/>
      <c r="L94" s="21"/>
      <c r="M94" s="21"/>
      <c r="N94" s="21"/>
      <c r="O94" s="21"/>
      <c r="Q94" s="21"/>
      <c r="S94" s="21"/>
    </row>
    <row r="95" spans="1:19" x14ac:dyDescent="0.25">
      <c r="A95" s="1"/>
      <c r="B95" s="15">
        <v>4</v>
      </c>
      <c r="C95" s="15" t="s">
        <v>36</v>
      </c>
      <c r="D95" s="15">
        <v>3</v>
      </c>
      <c r="E95" s="21" t="str">
        <f t="shared" si="2"/>
        <v>4.A.3</v>
      </c>
      <c r="F95" s="7" t="s">
        <v>297</v>
      </c>
      <c r="G95" s="86" t="s">
        <v>191</v>
      </c>
      <c r="H95" s="87" t="s">
        <v>342</v>
      </c>
      <c r="K95" s="21"/>
      <c r="L95" s="21"/>
      <c r="M95" s="21"/>
      <c r="N95" s="21"/>
      <c r="O95" s="21"/>
      <c r="Q95" s="21"/>
      <c r="S95" s="21"/>
    </row>
    <row r="96" spans="1:19" x14ac:dyDescent="0.25">
      <c r="A96" s="1"/>
      <c r="B96" s="15">
        <v>4</v>
      </c>
      <c r="C96" s="15" t="s">
        <v>36</v>
      </c>
      <c r="D96" s="15">
        <v>4</v>
      </c>
      <c r="E96" s="21" t="str">
        <f t="shared" si="2"/>
        <v>4.A.4</v>
      </c>
      <c r="F96" s="7" t="s">
        <v>296</v>
      </c>
      <c r="G96" s="86" t="s">
        <v>191</v>
      </c>
      <c r="H96" s="87" t="s">
        <v>192</v>
      </c>
      <c r="K96" s="21"/>
      <c r="L96" s="21"/>
      <c r="M96" s="21"/>
      <c r="N96" s="21"/>
      <c r="O96" s="21"/>
      <c r="Q96" s="21"/>
      <c r="S96" s="21"/>
    </row>
    <row r="97" spans="1:19" x14ac:dyDescent="0.25">
      <c r="A97" s="1"/>
      <c r="B97" s="15">
        <v>4</v>
      </c>
      <c r="C97" s="15" t="s">
        <v>36</v>
      </c>
      <c r="D97" s="15">
        <v>5</v>
      </c>
      <c r="E97" s="21" t="str">
        <f t="shared" si="2"/>
        <v>4.A.5</v>
      </c>
      <c r="F97" s="7" t="s">
        <v>298</v>
      </c>
      <c r="G97" s="86" t="s">
        <v>191</v>
      </c>
      <c r="H97" s="87" t="s">
        <v>193</v>
      </c>
      <c r="K97" s="21"/>
      <c r="L97" s="21"/>
      <c r="M97" s="21"/>
      <c r="N97" s="21"/>
      <c r="O97" s="21"/>
      <c r="Q97" s="21"/>
      <c r="S97" s="21"/>
    </row>
    <row r="98" spans="1:19" x14ac:dyDescent="0.25">
      <c r="A98" s="1"/>
      <c r="B98" s="15">
        <v>4</v>
      </c>
      <c r="C98" s="15" t="s">
        <v>36</v>
      </c>
      <c r="D98" s="15">
        <v>6</v>
      </c>
      <c r="E98" s="21" t="str">
        <f t="shared" si="2"/>
        <v>4.A.6</v>
      </c>
      <c r="F98" s="7" t="s">
        <v>299</v>
      </c>
      <c r="G98" s="86" t="s">
        <v>191</v>
      </c>
      <c r="H98" s="87" t="s">
        <v>194</v>
      </c>
      <c r="K98" s="21"/>
      <c r="L98" s="21"/>
      <c r="M98" s="21"/>
      <c r="N98" s="21"/>
      <c r="O98" s="21"/>
      <c r="Q98" s="21"/>
      <c r="S98" s="21"/>
    </row>
    <row r="99" spans="1:19" x14ac:dyDescent="0.25">
      <c r="A99" s="1"/>
      <c r="B99" s="15">
        <v>4</v>
      </c>
      <c r="C99" s="15" t="s">
        <v>36</v>
      </c>
      <c r="D99" s="15">
        <v>7</v>
      </c>
      <c r="E99" s="21" t="str">
        <f t="shared" ref="E99:E130" si="3">_xlfn.CONCAT(B99,".",C99,".",D99)</f>
        <v>4.A.7</v>
      </c>
      <c r="F99" s="7" t="s">
        <v>300</v>
      </c>
      <c r="G99" s="86" t="s">
        <v>191</v>
      </c>
      <c r="H99" s="87" t="s">
        <v>341</v>
      </c>
      <c r="K99" s="21"/>
      <c r="L99" s="21"/>
      <c r="M99" s="21"/>
      <c r="N99" s="21"/>
      <c r="O99" s="21"/>
      <c r="Q99" s="21"/>
      <c r="S99" s="21"/>
    </row>
    <row r="100" spans="1:19" x14ac:dyDescent="0.25">
      <c r="A100" s="1"/>
      <c r="B100" s="15">
        <v>4</v>
      </c>
      <c r="C100" s="15" t="s">
        <v>36</v>
      </c>
      <c r="D100" s="15">
        <v>8</v>
      </c>
      <c r="E100" s="21" t="str">
        <f t="shared" si="3"/>
        <v>4.A.8</v>
      </c>
      <c r="F100" s="7" t="s">
        <v>301</v>
      </c>
      <c r="G100" s="86" t="s">
        <v>191</v>
      </c>
      <c r="H100" s="87" t="s">
        <v>340</v>
      </c>
      <c r="K100" s="21"/>
      <c r="L100" s="21"/>
      <c r="M100" s="21"/>
      <c r="N100" s="21"/>
      <c r="O100" s="21"/>
      <c r="Q100" s="21"/>
      <c r="S100" s="21"/>
    </row>
    <row r="101" spans="1:19" x14ac:dyDescent="0.25">
      <c r="A101" s="1"/>
      <c r="B101" s="15">
        <v>4</v>
      </c>
      <c r="C101" s="15" t="s">
        <v>36</v>
      </c>
      <c r="D101" s="15">
        <v>9</v>
      </c>
      <c r="E101" s="21" t="str">
        <f t="shared" si="3"/>
        <v>4.A.9</v>
      </c>
      <c r="F101" s="7" t="s">
        <v>302</v>
      </c>
      <c r="G101" s="86" t="s">
        <v>191</v>
      </c>
      <c r="H101" s="87" t="s">
        <v>339</v>
      </c>
      <c r="K101" s="21"/>
      <c r="L101" s="21"/>
      <c r="M101" s="21"/>
      <c r="N101" s="21"/>
      <c r="O101" s="21"/>
      <c r="Q101" s="21"/>
      <c r="S101" s="21"/>
    </row>
    <row r="102" spans="1:19" x14ac:dyDescent="0.25">
      <c r="A102" s="1"/>
      <c r="B102" s="15">
        <v>4</v>
      </c>
      <c r="C102" s="15" t="s">
        <v>36</v>
      </c>
      <c r="D102" s="15">
        <v>10</v>
      </c>
      <c r="E102" s="21" t="str">
        <f t="shared" si="3"/>
        <v>4.A.10</v>
      </c>
      <c r="F102" s="7" t="s">
        <v>303</v>
      </c>
      <c r="G102" s="86" t="s">
        <v>191</v>
      </c>
      <c r="H102" s="87" t="s">
        <v>339</v>
      </c>
      <c r="K102" s="21"/>
      <c r="L102" s="21"/>
      <c r="M102" s="21"/>
      <c r="N102" s="21"/>
      <c r="O102" s="21"/>
      <c r="Q102" s="21"/>
      <c r="S102" s="21"/>
    </row>
    <row r="103" spans="1:19" x14ac:dyDescent="0.25">
      <c r="A103" s="1"/>
      <c r="B103" s="15">
        <v>4</v>
      </c>
      <c r="C103" s="15" t="s">
        <v>36</v>
      </c>
      <c r="D103" s="15">
        <v>11</v>
      </c>
      <c r="E103" s="21" t="str">
        <f t="shared" si="3"/>
        <v>4.A.11</v>
      </c>
      <c r="F103" s="7" t="s">
        <v>304</v>
      </c>
      <c r="G103" s="86" t="s">
        <v>191</v>
      </c>
      <c r="H103" s="87" t="s">
        <v>196</v>
      </c>
      <c r="K103" s="21"/>
      <c r="L103" s="21"/>
      <c r="M103" s="21"/>
      <c r="N103" s="21"/>
      <c r="O103" s="21"/>
      <c r="Q103" s="21"/>
      <c r="S103" s="21"/>
    </row>
    <row r="104" spans="1:19" x14ac:dyDescent="0.25">
      <c r="A104" s="1"/>
      <c r="B104" s="15">
        <v>4</v>
      </c>
      <c r="C104" s="15" t="s">
        <v>36</v>
      </c>
      <c r="D104" s="15">
        <v>12</v>
      </c>
      <c r="E104" s="21" t="str">
        <f t="shared" si="3"/>
        <v>4.A.12</v>
      </c>
      <c r="F104" s="7" t="s">
        <v>66</v>
      </c>
      <c r="G104" s="86" t="s">
        <v>191</v>
      </c>
      <c r="H104" s="87" t="s">
        <v>195</v>
      </c>
      <c r="K104" s="21"/>
      <c r="L104" s="21"/>
      <c r="M104" s="21"/>
      <c r="N104" s="21"/>
      <c r="O104" s="21"/>
      <c r="Q104" s="21"/>
      <c r="S104" s="21"/>
    </row>
    <row r="105" spans="1:19" x14ac:dyDescent="0.25">
      <c r="A105" s="1"/>
      <c r="B105" s="15">
        <v>4</v>
      </c>
      <c r="C105" s="15" t="s">
        <v>36</v>
      </c>
      <c r="D105" s="15">
        <v>13</v>
      </c>
      <c r="E105" s="21" t="str">
        <f t="shared" si="3"/>
        <v>4.A.13</v>
      </c>
      <c r="F105" s="7" t="s">
        <v>305</v>
      </c>
      <c r="G105" s="86" t="s">
        <v>191</v>
      </c>
      <c r="H105" s="87" t="s">
        <v>195</v>
      </c>
      <c r="K105" s="21"/>
      <c r="L105" s="21"/>
      <c r="M105" s="21"/>
      <c r="N105" s="21"/>
      <c r="O105" s="21"/>
      <c r="Q105" s="21"/>
      <c r="S105" s="21"/>
    </row>
    <row r="106" spans="1:19" x14ac:dyDescent="0.25">
      <c r="A106" s="1"/>
      <c r="B106" s="15">
        <v>4</v>
      </c>
      <c r="C106" s="15" t="s">
        <v>36</v>
      </c>
      <c r="D106" s="15">
        <v>14</v>
      </c>
      <c r="E106" s="21" t="str">
        <f t="shared" si="3"/>
        <v>4.A.14</v>
      </c>
      <c r="F106" s="7" t="s">
        <v>306</v>
      </c>
      <c r="G106" s="86" t="s">
        <v>191</v>
      </c>
      <c r="H106" s="87" t="s">
        <v>195</v>
      </c>
      <c r="K106" s="21"/>
      <c r="L106" s="21"/>
      <c r="M106" s="21"/>
      <c r="N106" s="21"/>
      <c r="O106" s="21"/>
      <c r="Q106" s="21"/>
      <c r="S106" s="21"/>
    </row>
    <row r="107" spans="1:19" x14ac:dyDescent="0.25">
      <c r="A107" s="1"/>
      <c r="B107" s="15">
        <v>4</v>
      </c>
      <c r="C107" s="15" t="s">
        <v>36</v>
      </c>
      <c r="D107" s="15">
        <v>15</v>
      </c>
      <c r="E107" s="21" t="str">
        <f t="shared" si="3"/>
        <v>4.A.15</v>
      </c>
      <c r="F107" s="7" t="s">
        <v>307</v>
      </c>
      <c r="G107" s="86" t="s">
        <v>191</v>
      </c>
      <c r="H107" s="87" t="s">
        <v>197</v>
      </c>
      <c r="K107" s="21"/>
      <c r="L107" s="21"/>
      <c r="M107" s="21"/>
      <c r="N107" s="21"/>
      <c r="O107" s="21"/>
      <c r="Q107" s="21"/>
      <c r="S107" s="21"/>
    </row>
    <row r="108" spans="1:19" x14ac:dyDescent="0.25">
      <c r="A108" s="1"/>
      <c r="B108" s="15">
        <v>4</v>
      </c>
      <c r="C108" s="15" t="s">
        <v>36</v>
      </c>
      <c r="D108" s="15">
        <v>16</v>
      </c>
      <c r="E108" s="21" t="str">
        <f t="shared" si="3"/>
        <v>4.A.16</v>
      </c>
      <c r="F108" s="7" t="s">
        <v>65</v>
      </c>
      <c r="G108" s="86" t="s">
        <v>191</v>
      </c>
      <c r="H108" s="87" t="s">
        <v>198</v>
      </c>
      <c r="K108" s="21"/>
      <c r="L108" s="21"/>
      <c r="M108" s="21"/>
      <c r="N108" s="21"/>
      <c r="O108" s="21"/>
      <c r="Q108" s="21"/>
      <c r="S108" s="21"/>
    </row>
    <row r="109" spans="1:19" x14ac:dyDescent="0.25">
      <c r="A109" s="1"/>
      <c r="B109" s="15">
        <v>4</v>
      </c>
      <c r="C109" s="15" t="s">
        <v>36</v>
      </c>
      <c r="D109" s="15">
        <v>17</v>
      </c>
      <c r="E109" s="21" t="str">
        <f t="shared" si="3"/>
        <v>4.A.17</v>
      </c>
      <c r="F109" s="7" t="s">
        <v>64</v>
      </c>
      <c r="G109" s="86" t="s">
        <v>191</v>
      </c>
      <c r="H109" s="87" t="s">
        <v>199</v>
      </c>
      <c r="K109" s="21"/>
      <c r="L109" s="21"/>
      <c r="M109" s="21"/>
      <c r="N109" s="21"/>
      <c r="O109" s="21"/>
      <c r="Q109" s="21"/>
      <c r="S109" s="21"/>
    </row>
    <row r="110" spans="1:19" x14ac:dyDescent="0.25">
      <c r="A110" s="1"/>
      <c r="B110" s="15">
        <v>4</v>
      </c>
      <c r="C110" s="15" t="s">
        <v>36</v>
      </c>
      <c r="D110" s="15">
        <v>18</v>
      </c>
      <c r="E110" s="21" t="str">
        <f t="shared" si="3"/>
        <v>4.A.18</v>
      </c>
      <c r="F110" s="7" t="s">
        <v>308</v>
      </c>
      <c r="G110" s="86" t="s">
        <v>191</v>
      </c>
      <c r="H110" s="87" t="s">
        <v>200</v>
      </c>
      <c r="K110" s="21"/>
      <c r="L110" s="21"/>
      <c r="M110" s="21"/>
      <c r="N110" s="21"/>
      <c r="O110" s="21"/>
      <c r="Q110" s="21"/>
      <c r="S110" s="21"/>
    </row>
    <row r="111" spans="1:19" x14ac:dyDescent="0.25">
      <c r="A111" s="1"/>
      <c r="B111" s="15">
        <v>4</v>
      </c>
      <c r="C111" s="15" t="s">
        <v>36</v>
      </c>
      <c r="D111" s="15">
        <v>19</v>
      </c>
      <c r="E111" s="21" t="str">
        <f t="shared" si="3"/>
        <v>4.A.19</v>
      </c>
      <c r="F111" s="7" t="s">
        <v>309</v>
      </c>
      <c r="G111" s="86" t="s">
        <v>191</v>
      </c>
      <c r="H111" s="87" t="s">
        <v>200</v>
      </c>
      <c r="K111" s="21"/>
      <c r="L111" s="21"/>
      <c r="M111" s="21"/>
      <c r="N111" s="21"/>
      <c r="O111" s="21"/>
      <c r="Q111" s="21"/>
      <c r="S111" s="21"/>
    </row>
    <row r="112" spans="1:19" x14ac:dyDescent="0.25">
      <c r="A112" s="1"/>
      <c r="B112" s="15">
        <v>4</v>
      </c>
      <c r="C112" s="15" t="s">
        <v>36</v>
      </c>
      <c r="D112" s="15">
        <v>20</v>
      </c>
      <c r="E112" s="21" t="str">
        <f t="shared" si="3"/>
        <v>4.A.20</v>
      </c>
      <c r="F112" s="7" t="s">
        <v>310</v>
      </c>
      <c r="G112" s="86" t="s">
        <v>191</v>
      </c>
      <c r="H112" s="87" t="s">
        <v>200</v>
      </c>
      <c r="K112" s="21"/>
      <c r="L112" s="21"/>
      <c r="M112" s="21"/>
      <c r="N112" s="21"/>
      <c r="O112" s="21"/>
      <c r="Q112" s="21"/>
      <c r="S112" s="21"/>
    </row>
    <row r="113" spans="1:19" x14ac:dyDescent="0.25">
      <c r="A113" s="1"/>
      <c r="B113" s="15">
        <v>4</v>
      </c>
      <c r="C113" s="15" t="s">
        <v>36</v>
      </c>
      <c r="D113" s="15">
        <v>21</v>
      </c>
      <c r="E113" s="21" t="str">
        <f t="shared" si="3"/>
        <v>4.A.21</v>
      </c>
      <c r="F113" s="67" t="s">
        <v>315</v>
      </c>
      <c r="G113" s="86" t="s">
        <v>191</v>
      </c>
      <c r="H113" s="87" t="s">
        <v>201</v>
      </c>
      <c r="K113" s="21"/>
      <c r="L113" s="21"/>
      <c r="M113" s="21"/>
      <c r="N113" s="21"/>
      <c r="O113" s="21"/>
      <c r="Q113" s="21"/>
      <c r="S113" s="21"/>
    </row>
    <row r="114" spans="1:19" x14ac:dyDescent="0.25">
      <c r="A114" s="1"/>
      <c r="B114" s="15">
        <v>4</v>
      </c>
      <c r="C114" s="15" t="s">
        <v>36</v>
      </c>
      <c r="D114" s="15">
        <v>22</v>
      </c>
      <c r="E114" s="21" t="str">
        <f t="shared" si="3"/>
        <v>4.A.22</v>
      </c>
      <c r="F114" s="7" t="s">
        <v>316</v>
      </c>
      <c r="G114" s="86" t="s">
        <v>191</v>
      </c>
      <c r="H114" s="87" t="s">
        <v>201</v>
      </c>
      <c r="K114" s="21"/>
      <c r="L114" s="21"/>
      <c r="M114" s="21"/>
      <c r="N114" s="21"/>
      <c r="O114" s="21"/>
      <c r="Q114" s="21"/>
      <c r="S114" s="21"/>
    </row>
    <row r="115" spans="1:19" x14ac:dyDescent="0.25">
      <c r="A115" s="1"/>
      <c r="B115" s="15">
        <v>4</v>
      </c>
      <c r="C115" s="15" t="s">
        <v>36</v>
      </c>
      <c r="D115" s="15">
        <v>23</v>
      </c>
      <c r="E115" s="21" t="str">
        <f t="shared" si="3"/>
        <v>4.A.23</v>
      </c>
      <c r="F115" s="7" t="s">
        <v>317</v>
      </c>
      <c r="G115" s="86" t="s">
        <v>191</v>
      </c>
      <c r="H115" s="87" t="s">
        <v>201</v>
      </c>
      <c r="K115" s="21"/>
      <c r="L115" s="21"/>
      <c r="M115" s="21"/>
      <c r="N115" s="21"/>
      <c r="O115" s="21"/>
      <c r="Q115" s="21"/>
      <c r="S115" s="21"/>
    </row>
    <row r="116" spans="1:19" x14ac:dyDescent="0.25">
      <c r="A116" s="1"/>
      <c r="B116" s="15">
        <v>4</v>
      </c>
      <c r="C116" s="15" t="s">
        <v>36</v>
      </c>
      <c r="D116" s="15">
        <v>24</v>
      </c>
      <c r="E116" s="21" t="str">
        <f t="shared" si="3"/>
        <v>4.A.24</v>
      </c>
      <c r="F116" s="7" t="s">
        <v>318</v>
      </c>
      <c r="G116" s="86" t="s">
        <v>191</v>
      </c>
      <c r="H116" s="87" t="s">
        <v>201</v>
      </c>
      <c r="K116" s="21"/>
      <c r="L116" s="21"/>
      <c r="M116" s="21"/>
      <c r="N116" s="21"/>
      <c r="O116" s="21"/>
      <c r="Q116" s="21"/>
      <c r="S116" s="21"/>
    </row>
    <row r="117" spans="1:19" x14ac:dyDescent="0.25">
      <c r="A117" s="1"/>
      <c r="B117" s="15">
        <v>4</v>
      </c>
      <c r="C117" s="15" t="s">
        <v>36</v>
      </c>
      <c r="D117" s="15">
        <v>25</v>
      </c>
      <c r="E117" s="21" t="str">
        <f t="shared" si="3"/>
        <v>4.A.25</v>
      </c>
      <c r="F117" s="7" t="s">
        <v>319</v>
      </c>
      <c r="G117" s="86" t="s">
        <v>191</v>
      </c>
      <c r="H117" s="87" t="s">
        <v>201</v>
      </c>
      <c r="K117" s="21"/>
      <c r="L117" s="21"/>
      <c r="M117" s="21"/>
      <c r="N117" s="21"/>
      <c r="O117" s="21"/>
      <c r="Q117" s="21"/>
      <c r="S117" s="21"/>
    </row>
    <row r="118" spans="1:19" x14ac:dyDescent="0.25">
      <c r="A118" s="1"/>
      <c r="B118" s="15">
        <v>4</v>
      </c>
      <c r="C118" s="15" t="s">
        <v>36</v>
      </c>
      <c r="D118" s="15">
        <v>26</v>
      </c>
      <c r="E118" s="21" t="str">
        <f t="shared" si="3"/>
        <v>4.A.26</v>
      </c>
      <c r="F118" s="7" t="s">
        <v>320</v>
      </c>
      <c r="G118" s="86" t="s">
        <v>191</v>
      </c>
      <c r="H118" s="87" t="s">
        <v>201</v>
      </c>
      <c r="K118" s="21"/>
      <c r="L118" s="21"/>
      <c r="M118" s="21"/>
      <c r="N118" s="21"/>
      <c r="O118" s="21"/>
      <c r="Q118" s="21"/>
      <c r="S118" s="21"/>
    </row>
    <row r="119" spans="1:19" x14ac:dyDescent="0.25">
      <c r="A119" s="1"/>
      <c r="B119" s="15">
        <v>4</v>
      </c>
      <c r="C119" s="15" t="s">
        <v>36</v>
      </c>
      <c r="D119" s="15">
        <v>27</v>
      </c>
      <c r="E119" s="21" t="str">
        <f t="shared" si="3"/>
        <v>4.A.27</v>
      </c>
      <c r="F119" s="7" t="s">
        <v>314</v>
      </c>
      <c r="G119" s="86" t="s">
        <v>191</v>
      </c>
      <c r="H119" s="87" t="s">
        <v>141</v>
      </c>
      <c r="K119" s="21"/>
      <c r="L119" s="21"/>
      <c r="M119" s="21"/>
      <c r="N119" s="21"/>
      <c r="O119" s="21"/>
      <c r="Q119" s="21"/>
      <c r="S119" s="21"/>
    </row>
    <row r="120" spans="1:19" x14ac:dyDescent="0.25">
      <c r="A120" s="1"/>
      <c r="B120" s="15">
        <v>4</v>
      </c>
      <c r="C120" s="15" t="s">
        <v>36</v>
      </c>
      <c r="D120" s="15">
        <v>28</v>
      </c>
      <c r="E120" s="21" t="str">
        <f t="shared" si="3"/>
        <v>4.A.28</v>
      </c>
      <c r="F120" s="7" t="s">
        <v>313</v>
      </c>
      <c r="G120" s="86" t="s">
        <v>191</v>
      </c>
      <c r="H120" s="87" t="s">
        <v>141</v>
      </c>
      <c r="K120" s="21"/>
      <c r="L120" s="21"/>
      <c r="M120" s="21"/>
      <c r="N120" s="21"/>
      <c r="O120" s="21"/>
      <c r="Q120" s="21"/>
      <c r="S120" s="21"/>
    </row>
    <row r="121" spans="1:19" x14ac:dyDescent="0.25">
      <c r="A121" s="1"/>
      <c r="B121" s="15">
        <v>4</v>
      </c>
      <c r="C121" s="15" t="s">
        <v>36</v>
      </c>
      <c r="D121" s="15">
        <v>29</v>
      </c>
      <c r="E121" s="21" t="str">
        <f t="shared" si="3"/>
        <v>4.A.29</v>
      </c>
      <c r="F121" s="7" t="s">
        <v>312</v>
      </c>
      <c r="G121" s="86" t="s">
        <v>191</v>
      </c>
      <c r="H121" s="87" t="s">
        <v>141</v>
      </c>
      <c r="K121" s="21"/>
      <c r="L121" s="21"/>
      <c r="M121" s="21"/>
      <c r="N121" s="21"/>
      <c r="O121" s="21"/>
      <c r="Q121" s="21"/>
      <c r="S121" s="21"/>
    </row>
    <row r="122" spans="1:19" x14ac:dyDescent="0.25">
      <c r="A122" s="1"/>
      <c r="B122" s="15">
        <v>4</v>
      </c>
      <c r="C122" s="15" t="s">
        <v>36</v>
      </c>
      <c r="D122" s="15">
        <v>30</v>
      </c>
      <c r="E122" s="21" t="str">
        <f t="shared" si="3"/>
        <v>4.A.30</v>
      </c>
      <c r="F122" s="7" t="s">
        <v>311</v>
      </c>
      <c r="G122" s="86" t="s">
        <v>191</v>
      </c>
      <c r="H122" s="87" t="s">
        <v>141</v>
      </c>
      <c r="K122" s="21"/>
      <c r="L122" s="21"/>
      <c r="M122" s="21"/>
      <c r="N122" s="21"/>
      <c r="O122" s="21"/>
      <c r="Q122" s="21"/>
      <c r="S122" s="21"/>
    </row>
    <row r="123" spans="1:19" x14ac:dyDescent="0.25">
      <c r="A123" s="1"/>
      <c r="B123" s="15">
        <v>4</v>
      </c>
      <c r="C123" s="15" t="s">
        <v>38</v>
      </c>
      <c r="D123" s="15">
        <v>1</v>
      </c>
      <c r="E123" s="21" t="str">
        <f t="shared" si="3"/>
        <v>4.B.1</v>
      </c>
      <c r="F123" s="7" t="s">
        <v>321</v>
      </c>
      <c r="G123" s="86" t="s">
        <v>210</v>
      </c>
      <c r="H123" s="87" t="s">
        <v>208</v>
      </c>
      <c r="K123" s="21"/>
      <c r="L123" s="21"/>
      <c r="M123" s="21"/>
      <c r="N123" s="21"/>
      <c r="O123" s="21"/>
      <c r="Q123" s="21"/>
      <c r="S123" s="21"/>
    </row>
    <row r="124" spans="1:19" x14ac:dyDescent="0.25">
      <c r="A124" s="1"/>
      <c r="B124" s="15">
        <v>4</v>
      </c>
      <c r="C124" s="15" t="s">
        <v>38</v>
      </c>
      <c r="D124" s="15">
        <v>2</v>
      </c>
      <c r="E124" s="21" t="str">
        <f t="shared" si="3"/>
        <v>4.B.2</v>
      </c>
      <c r="F124" s="7" t="s">
        <v>322</v>
      </c>
      <c r="G124" s="86" t="s">
        <v>210</v>
      </c>
      <c r="H124" s="87" t="s">
        <v>190</v>
      </c>
      <c r="K124" s="21"/>
      <c r="L124" s="21"/>
      <c r="M124" s="21"/>
      <c r="N124" s="21"/>
      <c r="O124" s="21"/>
      <c r="Q124" s="21"/>
      <c r="S124" s="21"/>
    </row>
    <row r="125" spans="1:19" x14ac:dyDescent="0.25">
      <c r="A125" s="1"/>
      <c r="B125" s="15">
        <v>4</v>
      </c>
      <c r="C125" s="15" t="s">
        <v>38</v>
      </c>
      <c r="D125" s="15">
        <v>3</v>
      </c>
      <c r="E125" s="21" t="str">
        <f t="shared" si="3"/>
        <v>4.B.3</v>
      </c>
      <c r="F125" s="7" t="s">
        <v>323</v>
      </c>
      <c r="G125" s="86" t="s">
        <v>210</v>
      </c>
      <c r="H125" s="87" t="s">
        <v>202</v>
      </c>
      <c r="K125" s="21"/>
      <c r="L125" s="21"/>
      <c r="M125" s="21"/>
      <c r="N125" s="21"/>
      <c r="O125" s="21"/>
      <c r="Q125" s="21"/>
      <c r="S125" s="21"/>
    </row>
    <row r="126" spans="1:19" x14ac:dyDescent="0.25">
      <c r="A126" s="1"/>
      <c r="B126" s="15">
        <v>4</v>
      </c>
      <c r="C126" s="15" t="s">
        <v>38</v>
      </c>
      <c r="D126" s="15">
        <v>4</v>
      </c>
      <c r="E126" s="21" t="str">
        <f t="shared" si="3"/>
        <v>4.B.4</v>
      </c>
      <c r="F126" s="7" t="s">
        <v>324</v>
      </c>
      <c r="G126" s="86" t="s">
        <v>210</v>
      </c>
      <c r="H126" s="87" t="s">
        <v>203</v>
      </c>
      <c r="K126" s="21"/>
      <c r="L126" s="21"/>
      <c r="M126" s="21"/>
      <c r="N126" s="21"/>
      <c r="O126" s="21"/>
      <c r="Q126" s="21"/>
      <c r="S126" s="21"/>
    </row>
    <row r="127" spans="1:19" x14ac:dyDescent="0.25">
      <c r="A127" s="1"/>
      <c r="B127" s="15">
        <v>4</v>
      </c>
      <c r="C127" s="15" t="s">
        <v>38</v>
      </c>
      <c r="D127" s="15">
        <v>5</v>
      </c>
      <c r="E127" s="21" t="str">
        <f t="shared" si="3"/>
        <v>4.B.5</v>
      </c>
      <c r="F127" s="7" t="s">
        <v>325</v>
      </c>
      <c r="G127" s="86" t="s">
        <v>210</v>
      </c>
      <c r="H127" s="87" t="s">
        <v>202</v>
      </c>
      <c r="K127" s="21"/>
      <c r="L127" s="21"/>
      <c r="M127" s="21"/>
      <c r="N127" s="21"/>
      <c r="O127" s="21"/>
      <c r="Q127" s="21"/>
      <c r="S127" s="21"/>
    </row>
    <row r="128" spans="1:19" x14ac:dyDescent="0.25">
      <c r="A128" s="1"/>
      <c r="B128" s="15">
        <v>4</v>
      </c>
      <c r="C128" s="15" t="s">
        <v>38</v>
      </c>
      <c r="D128" s="15">
        <v>6</v>
      </c>
      <c r="E128" s="21" t="str">
        <f t="shared" si="3"/>
        <v>4.B.6</v>
      </c>
      <c r="F128" s="7" t="s">
        <v>326</v>
      </c>
      <c r="G128" s="86" t="s">
        <v>210</v>
      </c>
      <c r="H128" s="87" t="s">
        <v>204</v>
      </c>
      <c r="K128" s="21"/>
      <c r="L128" s="21"/>
      <c r="M128" s="21"/>
      <c r="N128" s="21"/>
      <c r="O128" s="21"/>
      <c r="Q128" s="21"/>
      <c r="S128" s="21"/>
    </row>
    <row r="129" spans="1:19" x14ac:dyDescent="0.25">
      <c r="A129" s="1"/>
      <c r="B129" s="15">
        <v>4</v>
      </c>
      <c r="C129" s="15" t="s">
        <v>38</v>
      </c>
      <c r="D129" s="15">
        <v>7</v>
      </c>
      <c r="E129" s="21" t="str">
        <f t="shared" si="3"/>
        <v>4.B.7</v>
      </c>
      <c r="F129" s="7" t="s">
        <v>63</v>
      </c>
      <c r="G129" s="86" t="s">
        <v>210</v>
      </c>
      <c r="H129" s="87" t="s">
        <v>205</v>
      </c>
      <c r="K129" s="21"/>
      <c r="L129" s="21"/>
      <c r="M129" s="21"/>
      <c r="N129" s="21"/>
      <c r="O129" s="21"/>
      <c r="Q129" s="21"/>
      <c r="S129" s="21"/>
    </row>
    <row r="130" spans="1:19" x14ac:dyDescent="0.25">
      <c r="A130" s="1"/>
      <c r="B130" s="15">
        <v>4</v>
      </c>
      <c r="C130" s="15" t="s">
        <v>38</v>
      </c>
      <c r="D130" s="15">
        <v>8</v>
      </c>
      <c r="E130" s="21" t="str">
        <f t="shared" si="3"/>
        <v>4.B.8</v>
      </c>
      <c r="F130" s="7" t="s">
        <v>62</v>
      </c>
      <c r="G130" s="86" t="s">
        <v>210</v>
      </c>
      <c r="H130" s="87" t="s">
        <v>205</v>
      </c>
      <c r="K130" s="21"/>
      <c r="L130" s="21"/>
      <c r="M130" s="21"/>
      <c r="N130" s="21"/>
      <c r="O130" s="21"/>
      <c r="Q130" s="21"/>
      <c r="S130" s="21"/>
    </row>
    <row r="131" spans="1:19" x14ac:dyDescent="0.25">
      <c r="A131" s="1"/>
      <c r="B131" s="15">
        <v>4</v>
      </c>
      <c r="C131" s="15" t="s">
        <v>38</v>
      </c>
      <c r="D131" s="15">
        <v>9</v>
      </c>
      <c r="E131" s="21" t="str">
        <f t="shared" ref="E131:E160" si="4">_xlfn.CONCAT(B131,".",C131,".",D131)</f>
        <v>4.B.9</v>
      </c>
      <c r="F131" s="7" t="s">
        <v>327</v>
      </c>
      <c r="G131" s="86" t="s">
        <v>210</v>
      </c>
      <c r="H131" s="87" t="s">
        <v>205</v>
      </c>
      <c r="K131" s="21"/>
      <c r="L131" s="21"/>
      <c r="M131" s="21"/>
      <c r="N131" s="21"/>
      <c r="O131" s="21"/>
      <c r="Q131" s="21"/>
      <c r="S131" s="21"/>
    </row>
    <row r="132" spans="1:19" x14ac:dyDescent="0.25">
      <c r="A132" s="1"/>
      <c r="B132" s="15">
        <v>4</v>
      </c>
      <c r="C132" s="15" t="s">
        <v>38</v>
      </c>
      <c r="D132" s="15">
        <v>10</v>
      </c>
      <c r="E132" s="21" t="str">
        <f t="shared" si="4"/>
        <v>4.B.10</v>
      </c>
      <c r="F132" s="7" t="s">
        <v>61</v>
      </c>
      <c r="G132" s="86" t="s">
        <v>210</v>
      </c>
      <c r="H132" s="87" t="s">
        <v>205</v>
      </c>
      <c r="K132" s="21"/>
      <c r="L132" s="21"/>
      <c r="M132" s="21"/>
      <c r="N132" s="21"/>
      <c r="O132" s="21"/>
      <c r="Q132" s="21"/>
      <c r="S132" s="21"/>
    </row>
    <row r="133" spans="1:19" x14ac:dyDescent="0.25">
      <c r="A133" s="1"/>
      <c r="B133" s="15">
        <v>4</v>
      </c>
      <c r="C133" s="15" t="s">
        <v>38</v>
      </c>
      <c r="D133" s="15">
        <v>11</v>
      </c>
      <c r="E133" s="21" t="str">
        <f t="shared" si="4"/>
        <v>4.B.11</v>
      </c>
      <c r="F133" s="7" t="s">
        <v>328</v>
      </c>
      <c r="G133" s="86" t="s">
        <v>210</v>
      </c>
      <c r="H133" s="87" t="s">
        <v>205</v>
      </c>
      <c r="K133" s="21"/>
      <c r="L133" s="21"/>
      <c r="M133" s="21"/>
      <c r="N133" s="21"/>
      <c r="O133" s="21"/>
      <c r="Q133" s="21"/>
      <c r="S133" s="21"/>
    </row>
    <row r="134" spans="1:19" x14ac:dyDescent="0.25">
      <c r="A134" s="1"/>
      <c r="B134" s="15">
        <v>4</v>
      </c>
      <c r="C134" s="15" t="s">
        <v>38</v>
      </c>
      <c r="D134" s="15">
        <v>12</v>
      </c>
      <c r="E134" s="21" t="str">
        <f t="shared" si="4"/>
        <v>4.B.12</v>
      </c>
      <c r="F134" s="7" t="s">
        <v>60</v>
      </c>
      <c r="G134" s="86" t="s">
        <v>210</v>
      </c>
      <c r="H134" s="87" t="s">
        <v>205</v>
      </c>
      <c r="K134" s="21"/>
      <c r="L134" s="21"/>
      <c r="M134" s="21"/>
      <c r="N134" s="21"/>
      <c r="O134" s="21"/>
      <c r="Q134" s="21"/>
      <c r="S134" s="21"/>
    </row>
    <row r="135" spans="1:19" x14ac:dyDescent="0.25">
      <c r="A135" s="1"/>
      <c r="B135" s="15">
        <v>4</v>
      </c>
      <c r="C135" s="15" t="s">
        <v>38</v>
      </c>
      <c r="D135" s="15">
        <v>13</v>
      </c>
      <c r="E135" s="21" t="str">
        <f t="shared" si="4"/>
        <v>4.B.13</v>
      </c>
      <c r="F135" s="7" t="s">
        <v>59</v>
      </c>
      <c r="G135" s="86" t="s">
        <v>210</v>
      </c>
      <c r="H135" s="87" t="s">
        <v>205</v>
      </c>
      <c r="K135" s="21"/>
      <c r="L135" s="21"/>
      <c r="M135" s="21"/>
      <c r="N135" s="21"/>
      <c r="O135" s="21"/>
      <c r="Q135" s="21"/>
      <c r="S135" s="21"/>
    </row>
    <row r="136" spans="1:19" x14ac:dyDescent="0.25">
      <c r="A136" s="1"/>
      <c r="B136" s="15">
        <v>4</v>
      </c>
      <c r="C136" s="15" t="s">
        <v>38</v>
      </c>
      <c r="D136" s="15">
        <v>14</v>
      </c>
      <c r="E136" s="21" t="str">
        <f t="shared" si="4"/>
        <v>4.B.14</v>
      </c>
      <c r="F136" s="7" t="s">
        <v>329</v>
      </c>
      <c r="G136" s="86" t="s">
        <v>210</v>
      </c>
      <c r="H136" s="87" t="s">
        <v>206</v>
      </c>
      <c r="K136" s="21"/>
      <c r="L136" s="21"/>
      <c r="M136" s="21"/>
      <c r="N136" s="21"/>
      <c r="O136" s="21"/>
      <c r="Q136" s="21"/>
      <c r="S136" s="21"/>
    </row>
    <row r="137" spans="1:19" x14ac:dyDescent="0.25">
      <c r="A137" s="1"/>
      <c r="B137" s="15">
        <v>4</v>
      </c>
      <c r="C137" s="15" t="s">
        <v>38</v>
      </c>
      <c r="D137" s="15">
        <v>15</v>
      </c>
      <c r="E137" s="21" t="str">
        <f t="shared" si="4"/>
        <v>4.B.15</v>
      </c>
      <c r="F137" s="7" t="s">
        <v>58</v>
      </c>
      <c r="G137" s="86" t="s">
        <v>210</v>
      </c>
      <c r="H137" s="87" t="s">
        <v>207</v>
      </c>
      <c r="K137" s="21"/>
      <c r="L137" s="21"/>
      <c r="M137" s="21"/>
      <c r="N137" s="21"/>
      <c r="O137" s="21"/>
      <c r="Q137" s="21"/>
      <c r="S137" s="21"/>
    </row>
    <row r="138" spans="1:19" x14ac:dyDescent="0.25">
      <c r="A138" s="1"/>
      <c r="B138" s="15">
        <v>4</v>
      </c>
      <c r="C138" s="15" t="s">
        <v>38</v>
      </c>
      <c r="D138" s="15">
        <v>16</v>
      </c>
      <c r="E138" s="21" t="str">
        <f t="shared" si="4"/>
        <v>4.B.16</v>
      </c>
      <c r="F138" s="7" t="s">
        <v>330</v>
      </c>
      <c r="G138" s="86" t="s">
        <v>210</v>
      </c>
      <c r="H138" s="87" t="s">
        <v>205</v>
      </c>
      <c r="K138" s="21"/>
      <c r="L138" s="21"/>
      <c r="M138" s="21"/>
      <c r="N138" s="21"/>
      <c r="O138" s="21"/>
      <c r="Q138" s="21"/>
      <c r="S138" s="21"/>
    </row>
    <row r="139" spans="1:19" x14ac:dyDescent="0.25">
      <c r="A139" s="1"/>
      <c r="B139" s="15">
        <v>4</v>
      </c>
      <c r="C139" s="15" t="s">
        <v>38</v>
      </c>
      <c r="D139" s="15">
        <v>17</v>
      </c>
      <c r="E139" s="21" t="str">
        <f t="shared" si="4"/>
        <v>4.B.17</v>
      </c>
      <c r="F139" s="7" t="s">
        <v>331</v>
      </c>
      <c r="G139" s="86" t="s">
        <v>210</v>
      </c>
      <c r="H139" s="87" t="s">
        <v>205</v>
      </c>
      <c r="K139" s="21"/>
      <c r="L139" s="21"/>
      <c r="M139" s="21"/>
      <c r="N139" s="21"/>
      <c r="O139" s="21"/>
      <c r="Q139" s="21"/>
      <c r="S139" s="21"/>
    </row>
    <row r="140" spans="1:19" x14ac:dyDescent="0.25">
      <c r="A140" s="1"/>
      <c r="B140" s="15">
        <v>4</v>
      </c>
      <c r="C140" s="15" t="s">
        <v>38</v>
      </c>
      <c r="D140" s="15">
        <v>18</v>
      </c>
      <c r="E140" s="21" t="str">
        <f t="shared" si="4"/>
        <v>4.B.18</v>
      </c>
      <c r="F140" s="7" t="s">
        <v>332</v>
      </c>
      <c r="G140" s="86" t="s">
        <v>210</v>
      </c>
      <c r="H140" s="87" t="s">
        <v>205</v>
      </c>
      <c r="K140" s="21"/>
      <c r="L140" s="21"/>
      <c r="M140" s="21"/>
      <c r="N140" s="21"/>
      <c r="O140" s="21"/>
      <c r="Q140" s="21"/>
      <c r="S140" s="21"/>
    </row>
    <row r="141" spans="1:19" x14ac:dyDescent="0.25">
      <c r="A141" s="1"/>
      <c r="B141" s="15">
        <v>4</v>
      </c>
      <c r="C141" s="15" t="s">
        <v>38</v>
      </c>
      <c r="D141" s="15">
        <v>19</v>
      </c>
      <c r="E141" s="21" t="str">
        <f t="shared" si="4"/>
        <v>4.B.19</v>
      </c>
      <c r="F141" s="7" t="s">
        <v>57</v>
      </c>
      <c r="G141" s="86" t="s">
        <v>210</v>
      </c>
      <c r="H141" s="87" t="s">
        <v>205</v>
      </c>
      <c r="K141" s="21"/>
      <c r="L141" s="21"/>
      <c r="M141" s="21"/>
      <c r="N141" s="21"/>
      <c r="O141" s="21"/>
      <c r="Q141" s="21"/>
      <c r="S141" s="21"/>
    </row>
    <row r="142" spans="1:19" x14ac:dyDescent="0.25">
      <c r="A142" s="1"/>
      <c r="B142" s="15">
        <v>4</v>
      </c>
      <c r="C142" s="15" t="s">
        <v>38</v>
      </c>
      <c r="D142" s="15">
        <v>20</v>
      </c>
      <c r="E142" s="21" t="str">
        <f t="shared" si="4"/>
        <v>4.B.20</v>
      </c>
      <c r="F142" s="7" t="s">
        <v>56</v>
      </c>
      <c r="G142" s="86" t="s">
        <v>210</v>
      </c>
      <c r="H142" s="87" t="s">
        <v>205</v>
      </c>
      <c r="K142" s="21"/>
      <c r="L142" s="21"/>
      <c r="M142" s="21"/>
      <c r="N142" s="21"/>
      <c r="O142" s="21"/>
      <c r="Q142" s="21"/>
      <c r="S142" s="21"/>
    </row>
    <row r="143" spans="1:19" x14ac:dyDescent="0.25">
      <c r="A143" s="1"/>
      <c r="B143" s="15">
        <v>4</v>
      </c>
      <c r="C143" s="15" t="s">
        <v>38</v>
      </c>
      <c r="D143" s="15">
        <v>21</v>
      </c>
      <c r="E143" s="21" t="str">
        <f t="shared" si="4"/>
        <v>4.B.21</v>
      </c>
      <c r="F143" s="7" t="s">
        <v>338</v>
      </c>
      <c r="G143" s="86" t="s">
        <v>210</v>
      </c>
      <c r="H143" s="87" t="s">
        <v>202</v>
      </c>
      <c r="K143" s="21"/>
      <c r="L143" s="21"/>
      <c r="M143" s="21"/>
      <c r="N143" s="21"/>
      <c r="O143" s="21"/>
      <c r="Q143" s="21"/>
      <c r="S143" s="21"/>
    </row>
    <row r="144" spans="1:19" x14ac:dyDescent="0.25">
      <c r="A144" s="1"/>
      <c r="B144" s="15">
        <v>4</v>
      </c>
      <c r="C144" s="15" t="s">
        <v>38</v>
      </c>
      <c r="D144" s="15">
        <v>22</v>
      </c>
      <c r="E144" s="21" t="str">
        <f t="shared" si="4"/>
        <v>4.B.22</v>
      </c>
      <c r="F144" s="7" t="s">
        <v>337</v>
      </c>
      <c r="G144" s="86" t="s">
        <v>210</v>
      </c>
      <c r="H144" s="87" t="s">
        <v>202</v>
      </c>
      <c r="K144" s="21"/>
      <c r="L144" s="21"/>
      <c r="M144" s="21"/>
      <c r="N144" s="21"/>
      <c r="O144" s="21"/>
      <c r="Q144" s="21"/>
      <c r="S144" s="21"/>
    </row>
    <row r="145" spans="1:19" x14ac:dyDescent="0.25">
      <c r="A145" s="1"/>
      <c r="B145" s="15">
        <v>4</v>
      </c>
      <c r="C145" s="15" t="s">
        <v>38</v>
      </c>
      <c r="D145" s="15">
        <v>23</v>
      </c>
      <c r="E145" s="21" t="str">
        <f t="shared" si="4"/>
        <v>4.B.23</v>
      </c>
      <c r="F145" s="7" t="s">
        <v>336</v>
      </c>
      <c r="G145" s="86" t="s">
        <v>210</v>
      </c>
      <c r="H145" s="87" t="s">
        <v>202</v>
      </c>
      <c r="K145" s="21"/>
      <c r="L145" s="21"/>
      <c r="M145" s="21"/>
      <c r="N145" s="21"/>
      <c r="O145" s="21"/>
      <c r="Q145" s="21"/>
      <c r="S145" s="21"/>
    </row>
    <row r="146" spans="1:19" x14ac:dyDescent="0.25">
      <c r="A146" s="1"/>
      <c r="B146" s="15">
        <v>4</v>
      </c>
      <c r="C146" s="15" t="s">
        <v>38</v>
      </c>
      <c r="D146" s="15">
        <v>24</v>
      </c>
      <c r="E146" s="21" t="str">
        <f t="shared" si="4"/>
        <v>4.B.24</v>
      </c>
      <c r="F146" s="7" t="s">
        <v>335</v>
      </c>
      <c r="G146" s="86" t="s">
        <v>210</v>
      </c>
      <c r="H146" s="87" t="s">
        <v>202</v>
      </c>
      <c r="K146" s="21"/>
      <c r="L146" s="21"/>
      <c r="M146" s="21"/>
      <c r="N146" s="21"/>
      <c r="O146" s="21"/>
      <c r="Q146" s="21"/>
      <c r="S146" s="21"/>
    </row>
    <row r="147" spans="1:19" x14ac:dyDescent="0.25">
      <c r="A147" s="1"/>
      <c r="B147" s="15">
        <v>4</v>
      </c>
      <c r="C147" s="15" t="s">
        <v>38</v>
      </c>
      <c r="D147" s="15">
        <v>25</v>
      </c>
      <c r="E147" s="21" t="str">
        <f t="shared" si="4"/>
        <v>4.B.25</v>
      </c>
      <c r="F147" s="7" t="s">
        <v>334</v>
      </c>
      <c r="G147" s="86" t="s">
        <v>210</v>
      </c>
      <c r="H147" s="87" t="s">
        <v>206</v>
      </c>
      <c r="K147" s="21"/>
      <c r="L147" s="21"/>
      <c r="M147" s="21"/>
      <c r="N147" s="21"/>
      <c r="O147" s="21"/>
      <c r="Q147" s="21"/>
      <c r="S147" s="21"/>
    </row>
    <row r="148" spans="1:19" x14ac:dyDescent="0.25">
      <c r="A148" s="1"/>
      <c r="B148" s="15">
        <v>4</v>
      </c>
      <c r="C148" s="15" t="s">
        <v>38</v>
      </c>
      <c r="D148" s="15">
        <v>26</v>
      </c>
      <c r="E148" s="21" t="str">
        <f t="shared" si="4"/>
        <v>4.B.26</v>
      </c>
      <c r="F148" s="7" t="s">
        <v>333</v>
      </c>
      <c r="G148" s="86" t="s">
        <v>210</v>
      </c>
      <c r="H148" s="87" t="s">
        <v>202</v>
      </c>
      <c r="K148" s="21"/>
      <c r="L148" s="21"/>
      <c r="M148" s="21"/>
      <c r="N148" s="21"/>
      <c r="O148" s="21"/>
      <c r="Q148" s="21"/>
      <c r="S148" s="21"/>
    </row>
    <row r="149" spans="1:19" x14ac:dyDescent="0.25">
      <c r="A149" s="1"/>
      <c r="B149" s="15">
        <v>5</v>
      </c>
      <c r="C149" s="15" t="s">
        <v>36</v>
      </c>
      <c r="D149" s="15">
        <v>1</v>
      </c>
      <c r="E149" s="21" t="str">
        <f t="shared" si="4"/>
        <v>5.A.1</v>
      </c>
      <c r="F149" s="7" t="s">
        <v>40</v>
      </c>
      <c r="G149" s="86" t="s">
        <v>256</v>
      </c>
      <c r="H149" s="87"/>
      <c r="K149" s="21"/>
      <c r="L149" s="21"/>
      <c r="M149" s="21"/>
      <c r="N149" s="21"/>
      <c r="O149" s="21"/>
      <c r="Q149" s="21"/>
      <c r="S149" s="21"/>
    </row>
    <row r="150" spans="1:19" x14ac:dyDescent="0.25">
      <c r="A150" s="1"/>
      <c r="B150" s="15">
        <v>5</v>
      </c>
      <c r="C150" s="15" t="s">
        <v>36</v>
      </c>
      <c r="D150" s="15">
        <v>2</v>
      </c>
      <c r="E150" s="21" t="str">
        <f t="shared" si="4"/>
        <v>5.A.2</v>
      </c>
      <c r="F150" s="7" t="s">
        <v>41</v>
      </c>
      <c r="G150" s="86" t="s">
        <v>256</v>
      </c>
      <c r="H150" s="87"/>
      <c r="K150" s="21"/>
      <c r="L150" s="21"/>
      <c r="M150" s="21"/>
      <c r="N150" s="21"/>
      <c r="O150" s="21"/>
      <c r="Q150" s="21"/>
      <c r="S150" s="21"/>
    </row>
    <row r="151" spans="1:19" x14ac:dyDescent="0.25">
      <c r="A151" s="1"/>
      <c r="B151" s="15">
        <v>5</v>
      </c>
      <c r="C151" s="15" t="s">
        <v>36</v>
      </c>
      <c r="D151" s="15">
        <v>3</v>
      </c>
      <c r="E151" s="21" t="str">
        <f t="shared" si="4"/>
        <v>5.A.3</v>
      </c>
      <c r="F151" s="7" t="s">
        <v>293</v>
      </c>
      <c r="G151" s="86" t="s">
        <v>256</v>
      </c>
      <c r="H151" s="87"/>
      <c r="K151" s="21"/>
      <c r="L151" s="21"/>
      <c r="M151" s="21"/>
      <c r="N151" s="21"/>
      <c r="O151" s="21"/>
      <c r="Q151" s="21"/>
      <c r="S151" s="21"/>
    </row>
    <row r="152" spans="1:19" x14ac:dyDescent="0.25">
      <c r="A152" s="1"/>
      <c r="B152" s="15">
        <v>5</v>
      </c>
      <c r="C152" s="15" t="s">
        <v>36</v>
      </c>
      <c r="D152" s="15">
        <v>4</v>
      </c>
      <c r="E152" s="21" t="str">
        <f t="shared" si="4"/>
        <v>5.A.4</v>
      </c>
      <c r="F152" s="7" t="s">
        <v>292</v>
      </c>
      <c r="G152" s="86" t="s">
        <v>256</v>
      </c>
      <c r="H152" s="87"/>
      <c r="K152" s="21"/>
      <c r="L152" s="21"/>
      <c r="M152" s="21"/>
      <c r="N152" s="21"/>
      <c r="O152" s="21"/>
      <c r="Q152" s="21"/>
      <c r="S152" s="21"/>
    </row>
    <row r="153" spans="1:19" x14ac:dyDescent="0.25">
      <c r="A153" s="1"/>
      <c r="B153" s="15">
        <v>5</v>
      </c>
      <c r="C153" s="15" t="s">
        <v>36</v>
      </c>
      <c r="D153" s="15">
        <v>5</v>
      </c>
      <c r="E153" s="21" t="str">
        <f t="shared" si="4"/>
        <v>5.A.5</v>
      </c>
      <c r="F153" s="7" t="s">
        <v>42</v>
      </c>
      <c r="G153" s="86" t="s">
        <v>256</v>
      </c>
      <c r="H153" s="87"/>
      <c r="K153" s="21"/>
      <c r="L153" s="21"/>
      <c r="M153" s="21"/>
      <c r="N153" s="21"/>
      <c r="O153" s="21"/>
      <c r="Q153" s="21"/>
      <c r="S153" s="21"/>
    </row>
    <row r="154" spans="1:19" x14ac:dyDescent="0.25">
      <c r="A154" s="1"/>
      <c r="B154" s="15">
        <v>5</v>
      </c>
      <c r="C154" s="15" t="s">
        <v>36</v>
      </c>
      <c r="D154" s="15">
        <v>6</v>
      </c>
      <c r="E154" s="21" t="str">
        <f t="shared" si="4"/>
        <v>5.A.6</v>
      </c>
      <c r="F154" s="7" t="s">
        <v>43</v>
      </c>
      <c r="G154" s="86" t="s">
        <v>256</v>
      </c>
      <c r="H154" s="87"/>
      <c r="K154" s="21"/>
      <c r="L154" s="21"/>
      <c r="M154" s="21"/>
      <c r="N154" s="21"/>
      <c r="O154" s="21"/>
      <c r="Q154" s="21"/>
      <c r="S154" s="21"/>
    </row>
    <row r="155" spans="1:19" x14ac:dyDescent="0.25">
      <c r="A155" s="1"/>
      <c r="B155" s="15">
        <v>5</v>
      </c>
      <c r="C155" s="15" t="s">
        <v>36</v>
      </c>
      <c r="D155" s="15">
        <v>7</v>
      </c>
      <c r="E155" s="21" t="str">
        <f t="shared" si="4"/>
        <v>5.A.7</v>
      </c>
      <c r="F155" s="7" t="s">
        <v>47</v>
      </c>
      <c r="G155" s="86" t="s">
        <v>256</v>
      </c>
      <c r="H155" s="87"/>
      <c r="K155" s="21"/>
      <c r="L155" s="21"/>
      <c r="M155" s="21"/>
      <c r="N155" s="21"/>
      <c r="O155" s="21"/>
      <c r="Q155" s="21"/>
      <c r="S155" s="21"/>
    </row>
    <row r="156" spans="1:19" x14ac:dyDescent="0.25">
      <c r="A156" s="1"/>
      <c r="B156" s="15">
        <v>5</v>
      </c>
      <c r="C156" s="15" t="s">
        <v>36</v>
      </c>
      <c r="D156" s="15">
        <v>8</v>
      </c>
      <c r="E156" s="21" t="str">
        <f t="shared" si="4"/>
        <v>5.A.8</v>
      </c>
      <c r="F156" s="7" t="s">
        <v>46</v>
      </c>
      <c r="G156" s="86" t="s">
        <v>256</v>
      </c>
      <c r="H156" s="87"/>
      <c r="K156" s="21"/>
      <c r="L156" s="21"/>
      <c r="M156" s="21"/>
      <c r="N156" s="21"/>
      <c r="O156" s="21"/>
      <c r="Q156" s="21"/>
      <c r="S156" s="21"/>
    </row>
    <row r="157" spans="1:19" x14ac:dyDescent="0.25">
      <c r="A157" s="1"/>
      <c r="B157" s="15">
        <v>5</v>
      </c>
      <c r="C157" s="15" t="s">
        <v>36</v>
      </c>
      <c r="D157" s="15">
        <v>9</v>
      </c>
      <c r="E157" s="21" t="str">
        <f t="shared" si="4"/>
        <v>5.A.9</v>
      </c>
      <c r="F157" s="7" t="s">
        <v>45</v>
      </c>
      <c r="G157" s="86" t="s">
        <v>256</v>
      </c>
      <c r="H157" s="87"/>
      <c r="K157" s="21"/>
      <c r="L157" s="21"/>
      <c r="M157" s="21"/>
      <c r="N157" s="21"/>
      <c r="O157" s="21"/>
      <c r="Q157" s="21"/>
      <c r="S157" s="21"/>
    </row>
    <row r="158" spans="1:19" x14ac:dyDescent="0.25">
      <c r="A158" s="1"/>
      <c r="B158" s="15">
        <v>5</v>
      </c>
      <c r="C158" s="15" t="s">
        <v>36</v>
      </c>
      <c r="D158" s="15">
        <v>10</v>
      </c>
      <c r="E158" s="21" t="str">
        <f t="shared" si="4"/>
        <v>5.A.10</v>
      </c>
      <c r="F158" s="7" t="s">
        <v>44</v>
      </c>
      <c r="G158" s="86" t="s">
        <v>256</v>
      </c>
      <c r="H158" s="87"/>
      <c r="K158" s="21"/>
      <c r="L158" s="21"/>
      <c r="M158" s="21"/>
      <c r="N158" s="21"/>
      <c r="O158" s="21"/>
      <c r="Q158" s="21"/>
      <c r="S158" s="21"/>
    </row>
    <row r="159" spans="1:19" x14ac:dyDescent="0.25">
      <c r="A159" s="1"/>
      <c r="B159" s="15">
        <v>5</v>
      </c>
      <c r="C159" s="15" t="s">
        <v>38</v>
      </c>
      <c r="D159" s="15">
        <v>1</v>
      </c>
      <c r="E159" s="21" t="str">
        <f t="shared" si="4"/>
        <v>5.B.1</v>
      </c>
      <c r="F159" s="7" t="s">
        <v>286</v>
      </c>
      <c r="G159" s="86" t="s">
        <v>257</v>
      </c>
      <c r="H159" s="87"/>
      <c r="K159" s="21"/>
      <c r="L159" s="21"/>
      <c r="M159" s="21"/>
      <c r="N159" s="21"/>
      <c r="O159" s="21"/>
      <c r="Q159" s="21"/>
      <c r="S159" s="21"/>
    </row>
    <row r="160" spans="1:19" x14ac:dyDescent="0.25">
      <c r="A160" s="1"/>
      <c r="B160" s="15">
        <v>5</v>
      </c>
      <c r="C160" s="15" t="s">
        <v>38</v>
      </c>
      <c r="D160" s="15">
        <v>2</v>
      </c>
      <c r="E160" s="21" t="str">
        <f t="shared" si="4"/>
        <v>5.B.2</v>
      </c>
      <c r="F160" s="7" t="s">
        <v>287</v>
      </c>
      <c r="G160" s="86" t="s">
        <v>257</v>
      </c>
      <c r="H160" s="87"/>
      <c r="K160" s="21"/>
      <c r="L160" s="21"/>
      <c r="M160" s="21"/>
      <c r="N160" s="21"/>
      <c r="O160" s="21"/>
      <c r="Q160" s="21"/>
      <c r="S160" s="21"/>
    </row>
    <row r="161" spans="1:19" x14ac:dyDescent="0.25">
      <c r="A161" s="1"/>
      <c r="B161" s="15">
        <v>5</v>
      </c>
      <c r="C161" s="15" t="s">
        <v>38</v>
      </c>
      <c r="D161" s="15">
        <v>3</v>
      </c>
      <c r="E161" s="21" t="str">
        <f t="shared" ref="E161:E179" si="5">_xlfn.CONCAT(B161,".",C161,".",D161)</f>
        <v>5.B.3</v>
      </c>
      <c r="F161" s="7" t="s">
        <v>288</v>
      </c>
      <c r="G161" s="86" t="s">
        <v>257</v>
      </c>
      <c r="H161" s="87"/>
      <c r="K161" s="21"/>
      <c r="L161" s="21"/>
      <c r="M161" s="21"/>
      <c r="N161" s="21"/>
      <c r="O161" s="21"/>
      <c r="Q161" s="21"/>
      <c r="S161" s="21"/>
    </row>
    <row r="162" spans="1:19" x14ac:dyDescent="0.25">
      <c r="A162" s="1"/>
      <c r="B162" s="15">
        <v>5</v>
      </c>
      <c r="C162" s="15" t="s">
        <v>38</v>
      </c>
      <c r="D162" s="15">
        <v>4</v>
      </c>
      <c r="E162" s="21" t="str">
        <f t="shared" si="5"/>
        <v>5.B.4</v>
      </c>
      <c r="F162" s="7" t="s">
        <v>289</v>
      </c>
      <c r="G162" s="86" t="s">
        <v>257</v>
      </c>
      <c r="H162" s="87"/>
      <c r="K162" s="21"/>
      <c r="L162" s="21"/>
      <c r="M162" s="21"/>
      <c r="N162" s="21"/>
      <c r="O162" s="21"/>
      <c r="Q162" s="21"/>
      <c r="S162" s="21"/>
    </row>
    <row r="163" spans="1:19" x14ac:dyDescent="0.25">
      <c r="A163" s="1"/>
      <c r="B163" s="15">
        <v>5</v>
      </c>
      <c r="C163" s="15" t="s">
        <v>38</v>
      </c>
      <c r="D163" s="15">
        <v>5</v>
      </c>
      <c r="E163" s="21" t="str">
        <f t="shared" si="5"/>
        <v>5.B.5</v>
      </c>
      <c r="F163" s="7" t="s">
        <v>290</v>
      </c>
      <c r="G163" s="86" t="s">
        <v>257</v>
      </c>
      <c r="H163" s="87"/>
      <c r="K163" s="21"/>
      <c r="L163" s="21"/>
      <c r="M163" s="21"/>
      <c r="N163" s="21"/>
      <c r="O163" s="21"/>
      <c r="Q163" s="21"/>
      <c r="S163" s="21"/>
    </row>
    <row r="164" spans="1:19" x14ac:dyDescent="0.25">
      <c r="A164" s="1"/>
      <c r="B164" s="15">
        <v>5</v>
      </c>
      <c r="C164" s="15" t="s">
        <v>38</v>
      </c>
      <c r="D164" s="15">
        <v>6</v>
      </c>
      <c r="E164" s="21" t="str">
        <f t="shared" si="5"/>
        <v>5.B.6</v>
      </c>
      <c r="F164" s="7" t="s">
        <v>291</v>
      </c>
      <c r="G164" s="86" t="s">
        <v>257</v>
      </c>
      <c r="H164" s="87"/>
      <c r="K164" s="21"/>
      <c r="L164" s="21"/>
      <c r="M164" s="21"/>
      <c r="N164" s="21"/>
      <c r="O164" s="21"/>
      <c r="Q164" s="21"/>
      <c r="S164" s="21"/>
    </row>
    <row r="165" spans="1:19" x14ac:dyDescent="0.25">
      <c r="A165" s="1"/>
      <c r="B165" s="15">
        <v>5</v>
      </c>
      <c r="C165" s="15" t="s">
        <v>39</v>
      </c>
      <c r="D165" s="15">
        <v>1</v>
      </c>
      <c r="E165" s="21" t="str">
        <f t="shared" si="5"/>
        <v>5.C.1</v>
      </c>
      <c r="F165" s="7" t="s">
        <v>285</v>
      </c>
      <c r="G165" s="86" t="s">
        <v>258</v>
      </c>
      <c r="H165" s="87"/>
      <c r="K165" s="21"/>
      <c r="L165" s="21"/>
      <c r="M165" s="21"/>
      <c r="N165" s="21"/>
      <c r="O165" s="21"/>
      <c r="Q165" s="21"/>
      <c r="S165" s="21"/>
    </row>
    <row r="166" spans="1:19" x14ac:dyDescent="0.25">
      <c r="A166" s="1"/>
      <c r="B166" s="15">
        <v>5</v>
      </c>
      <c r="C166" s="15" t="s">
        <v>39</v>
      </c>
      <c r="D166" s="15">
        <v>2</v>
      </c>
      <c r="E166" s="21" t="str">
        <f t="shared" si="5"/>
        <v>5.C.2</v>
      </c>
      <c r="F166" s="7" t="s">
        <v>55</v>
      </c>
      <c r="G166" s="86" t="s">
        <v>258</v>
      </c>
      <c r="H166" s="87"/>
      <c r="K166" s="21"/>
      <c r="L166" s="21"/>
      <c r="M166" s="21"/>
      <c r="N166" s="21"/>
      <c r="O166" s="21"/>
      <c r="Q166" s="21"/>
      <c r="S166" s="21"/>
    </row>
    <row r="167" spans="1:19" x14ac:dyDescent="0.25">
      <c r="A167" s="1"/>
      <c r="B167" s="15">
        <v>5</v>
      </c>
      <c r="C167" s="15" t="s">
        <v>39</v>
      </c>
      <c r="D167" s="15">
        <v>3</v>
      </c>
      <c r="E167" s="21" t="str">
        <f t="shared" si="5"/>
        <v>5.C.3</v>
      </c>
      <c r="F167" s="7" t="s">
        <v>54</v>
      </c>
      <c r="G167" s="86" t="s">
        <v>258</v>
      </c>
      <c r="H167" s="87"/>
      <c r="K167" s="21"/>
      <c r="L167" s="21"/>
      <c r="M167" s="21"/>
      <c r="N167" s="21"/>
      <c r="O167" s="21"/>
      <c r="Q167" s="21"/>
      <c r="S167" s="21"/>
    </row>
    <row r="168" spans="1:19" x14ac:dyDescent="0.25">
      <c r="A168" s="1"/>
      <c r="B168" s="15">
        <v>5</v>
      </c>
      <c r="C168" s="15" t="s">
        <v>39</v>
      </c>
      <c r="D168" s="15">
        <v>4</v>
      </c>
      <c r="E168" s="21" t="str">
        <f t="shared" si="5"/>
        <v>5.C.4</v>
      </c>
      <c r="F168" s="7" t="s">
        <v>53</v>
      </c>
      <c r="G168" s="86" t="s">
        <v>258</v>
      </c>
      <c r="H168" s="87"/>
      <c r="K168" s="21"/>
      <c r="L168" s="21"/>
      <c r="M168" s="21"/>
      <c r="N168" s="21"/>
      <c r="O168" s="21"/>
      <c r="Q168" s="21"/>
      <c r="S168" s="21"/>
    </row>
    <row r="169" spans="1:19" x14ac:dyDescent="0.25">
      <c r="A169" s="1"/>
      <c r="B169" s="15">
        <v>5</v>
      </c>
      <c r="C169" s="15" t="s">
        <v>39</v>
      </c>
      <c r="D169" s="15">
        <v>5</v>
      </c>
      <c r="E169" s="21" t="str">
        <f t="shared" si="5"/>
        <v>5.C.5</v>
      </c>
      <c r="F169" s="7" t="s">
        <v>52</v>
      </c>
      <c r="G169" s="86" t="s">
        <v>258</v>
      </c>
      <c r="H169" s="87"/>
      <c r="K169" s="21"/>
      <c r="L169" s="21"/>
      <c r="M169" s="21"/>
      <c r="N169" s="21"/>
      <c r="O169" s="21"/>
      <c r="Q169" s="21"/>
      <c r="S169" s="21"/>
    </row>
    <row r="170" spans="1:19" x14ac:dyDescent="0.25">
      <c r="A170" s="1"/>
      <c r="B170" s="15">
        <v>5</v>
      </c>
      <c r="C170" s="15" t="s">
        <v>39</v>
      </c>
      <c r="D170" s="15">
        <v>6</v>
      </c>
      <c r="E170" s="21" t="str">
        <f t="shared" si="5"/>
        <v>5.C.6</v>
      </c>
      <c r="F170" s="7" t="s">
        <v>51</v>
      </c>
      <c r="G170" s="86" t="s">
        <v>258</v>
      </c>
      <c r="H170" s="87"/>
      <c r="K170" s="21"/>
      <c r="L170" s="21"/>
      <c r="M170" s="21"/>
      <c r="N170" s="21"/>
      <c r="O170" s="21"/>
      <c r="Q170" s="21"/>
      <c r="S170" s="21"/>
    </row>
    <row r="171" spans="1:19" x14ac:dyDescent="0.25">
      <c r="A171" s="1"/>
      <c r="B171" s="15">
        <v>5</v>
      </c>
      <c r="C171" s="15" t="s">
        <v>39</v>
      </c>
      <c r="D171" s="15">
        <v>7</v>
      </c>
      <c r="E171" s="21" t="str">
        <f t="shared" si="5"/>
        <v>5.C.7</v>
      </c>
      <c r="F171" s="7" t="s">
        <v>50</v>
      </c>
      <c r="G171" s="86" t="s">
        <v>258</v>
      </c>
      <c r="H171" s="87"/>
      <c r="K171" s="21"/>
      <c r="L171" s="21"/>
      <c r="M171" s="21"/>
      <c r="N171" s="21"/>
      <c r="O171" s="21"/>
      <c r="Q171" s="21"/>
      <c r="S171" s="21"/>
    </row>
    <row r="172" spans="1:19" x14ac:dyDescent="0.25">
      <c r="A172" s="1"/>
      <c r="B172" s="15">
        <v>5</v>
      </c>
      <c r="C172" s="15" t="s">
        <v>39</v>
      </c>
      <c r="D172" s="15">
        <v>8</v>
      </c>
      <c r="E172" s="21" t="str">
        <f t="shared" si="5"/>
        <v>5.C.8</v>
      </c>
      <c r="F172" s="7" t="s">
        <v>283</v>
      </c>
      <c r="G172" s="86" t="s">
        <v>258</v>
      </c>
      <c r="H172" s="87"/>
      <c r="K172" s="21"/>
      <c r="L172" s="21"/>
      <c r="M172" s="21"/>
      <c r="N172" s="21"/>
      <c r="O172" s="21"/>
      <c r="Q172" s="21"/>
      <c r="S172" s="21"/>
    </row>
    <row r="173" spans="1:19" x14ac:dyDescent="0.25">
      <c r="A173" s="1"/>
      <c r="B173" s="15">
        <v>5</v>
      </c>
      <c r="C173" s="15" t="s">
        <v>39</v>
      </c>
      <c r="D173" s="15">
        <v>9</v>
      </c>
      <c r="E173" s="21" t="str">
        <f t="shared" si="5"/>
        <v>5.C.9</v>
      </c>
      <c r="F173" s="7" t="s">
        <v>284</v>
      </c>
      <c r="G173" s="86" t="s">
        <v>258</v>
      </c>
      <c r="H173" s="87"/>
      <c r="K173" s="21"/>
      <c r="L173" s="21"/>
      <c r="M173" s="21"/>
      <c r="N173" s="21"/>
      <c r="O173" s="21"/>
      <c r="Q173" s="21"/>
      <c r="S173" s="21"/>
    </row>
    <row r="174" spans="1:19" x14ac:dyDescent="0.25">
      <c r="A174" s="1"/>
      <c r="B174" s="15">
        <v>5</v>
      </c>
      <c r="C174" s="15" t="s">
        <v>39</v>
      </c>
      <c r="D174" s="15">
        <v>10</v>
      </c>
      <c r="E174" s="21" t="str">
        <f t="shared" si="5"/>
        <v>5.C.10</v>
      </c>
      <c r="F174" s="7" t="s">
        <v>282</v>
      </c>
      <c r="G174" s="86" t="s">
        <v>258</v>
      </c>
      <c r="H174" s="87"/>
      <c r="K174" s="21"/>
      <c r="L174" s="21"/>
      <c r="M174" s="21"/>
      <c r="N174" s="21"/>
      <c r="O174" s="21"/>
      <c r="Q174" s="21"/>
      <c r="S174" s="21"/>
    </row>
    <row r="175" spans="1:19" x14ac:dyDescent="0.25">
      <c r="A175" s="1"/>
      <c r="B175" s="15">
        <v>5</v>
      </c>
      <c r="C175" s="15" t="s">
        <v>39</v>
      </c>
      <c r="D175" s="15">
        <v>11</v>
      </c>
      <c r="E175" s="21" t="str">
        <f t="shared" si="5"/>
        <v>5.C.11</v>
      </c>
      <c r="F175" s="7" t="s">
        <v>49</v>
      </c>
      <c r="G175" s="86" t="s">
        <v>258</v>
      </c>
      <c r="H175" s="87"/>
      <c r="K175" s="21"/>
      <c r="L175" s="21"/>
      <c r="M175" s="21"/>
      <c r="N175" s="21"/>
      <c r="O175" s="21"/>
      <c r="Q175" s="21"/>
      <c r="S175" s="21"/>
    </row>
    <row r="176" spans="1:19" x14ac:dyDescent="0.25">
      <c r="A176" s="1"/>
      <c r="B176" s="15">
        <v>5</v>
      </c>
      <c r="C176" s="15" t="s">
        <v>39</v>
      </c>
      <c r="D176" s="15">
        <v>12</v>
      </c>
      <c r="E176" s="21" t="str">
        <f t="shared" si="5"/>
        <v>5.C.12</v>
      </c>
      <c r="F176" s="7" t="s">
        <v>281</v>
      </c>
      <c r="G176" s="86" t="s">
        <v>258</v>
      </c>
      <c r="H176" s="87"/>
      <c r="K176" s="21"/>
      <c r="L176" s="21"/>
      <c r="M176" s="21"/>
      <c r="N176" s="21"/>
      <c r="O176" s="21"/>
      <c r="Q176" s="21"/>
      <c r="S176" s="21"/>
    </row>
    <row r="177" spans="1:19" x14ac:dyDescent="0.25">
      <c r="A177" s="1"/>
      <c r="B177" s="15">
        <v>5</v>
      </c>
      <c r="C177" s="15" t="s">
        <v>39</v>
      </c>
      <c r="D177" s="15">
        <v>13</v>
      </c>
      <c r="E177" s="21" t="str">
        <f t="shared" si="5"/>
        <v>5.C.13</v>
      </c>
      <c r="F177" s="7" t="s">
        <v>48</v>
      </c>
      <c r="G177" s="86" t="s">
        <v>258</v>
      </c>
      <c r="H177" s="87"/>
      <c r="K177" s="21"/>
      <c r="L177" s="21"/>
      <c r="M177" s="21"/>
      <c r="N177" s="21"/>
      <c r="O177" s="21"/>
      <c r="Q177" s="21"/>
      <c r="S177" s="21"/>
    </row>
    <row r="178" spans="1:19" x14ac:dyDescent="0.25">
      <c r="A178" s="1"/>
      <c r="B178" s="15">
        <v>5</v>
      </c>
      <c r="C178" s="15" t="s">
        <v>39</v>
      </c>
      <c r="D178" s="15">
        <v>14</v>
      </c>
      <c r="E178" s="21" t="str">
        <f t="shared" si="5"/>
        <v>5.C.14</v>
      </c>
      <c r="F178" s="7" t="s">
        <v>280</v>
      </c>
      <c r="G178" s="86" t="s">
        <v>258</v>
      </c>
      <c r="H178" s="87"/>
      <c r="K178" s="21"/>
      <c r="L178" s="21"/>
      <c r="M178" s="21"/>
      <c r="N178" s="21"/>
      <c r="O178" s="21"/>
      <c r="Q178" s="21"/>
      <c r="S178" s="21"/>
    </row>
    <row r="179" spans="1:19" x14ac:dyDescent="0.25">
      <c r="A179" s="1"/>
      <c r="B179" s="15">
        <v>5</v>
      </c>
      <c r="C179" s="15" t="s">
        <v>39</v>
      </c>
      <c r="D179" s="15">
        <v>15</v>
      </c>
      <c r="E179" s="21" t="str">
        <f t="shared" si="5"/>
        <v>5.C.15</v>
      </c>
      <c r="F179" s="7" t="s">
        <v>279</v>
      </c>
      <c r="G179" s="86" t="s">
        <v>258</v>
      </c>
      <c r="H179" s="87"/>
      <c r="K179" s="21"/>
      <c r="L179" s="21"/>
      <c r="M179" s="21"/>
      <c r="N179" s="21"/>
      <c r="O179" s="21"/>
      <c r="Q179" s="21"/>
      <c r="S179" s="21"/>
    </row>
    <row r="180" spans="1:19" x14ac:dyDescent="0.25">
      <c r="F180" s="25"/>
      <c r="G180" s="42"/>
      <c r="H180" s="41"/>
      <c r="K180" s="21"/>
      <c r="L180" s="21"/>
      <c r="M180" s="21"/>
      <c r="N180" s="21"/>
      <c r="O180" s="21"/>
      <c r="Q180" s="21"/>
      <c r="S180" s="21"/>
    </row>
    <row r="181" spans="1:19" x14ac:dyDescent="0.25">
      <c r="F181" s="25"/>
      <c r="G181" s="42"/>
      <c r="H181" s="41"/>
      <c r="K181" s="21"/>
      <c r="L181" s="21"/>
      <c r="M181" s="21"/>
      <c r="N181" s="21"/>
      <c r="O181" s="21"/>
      <c r="Q181" s="21"/>
      <c r="S181" s="21"/>
    </row>
    <row r="182" spans="1:19" x14ac:dyDescent="0.25">
      <c r="F182" s="25"/>
      <c r="G182" s="42"/>
      <c r="H182" s="41"/>
      <c r="K182" s="21"/>
      <c r="L182" s="21"/>
      <c r="M182" s="21"/>
      <c r="N182" s="21"/>
      <c r="O182" s="21"/>
      <c r="Q182" s="21"/>
      <c r="S182" s="21"/>
    </row>
    <row r="183" spans="1:19" x14ac:dyDescent="0.25">
      <c r="F183" s="25"/>
      <c r="G183" s="42"/>
      <c r="H183" s="41"/>
      <c r="K183" s="21"/>
      <c r="L183" s="21"/>
      <c r="M183" s="21"/>
      <c r="N183" s="21"/>
      <c r="O183" s="21"/>
      <c r="Q183" s="21"/>
      <c r="S183" s="21"/>
    </row>
    <row r="184" spans="1:19" x14ac:dyDescent="0.25">
      <c r="F184" s="25"/>
      <c r="G184" s="42"/>
      <c r="H184" s="41"/>
      <c r="K184" s="21"/>
      <c r="L184" s="21"/>
      <c r="M184" s="21"/>
      <c r="N184" s="21"/>
      <c r="O184" s="21"/>
      <c r="Q184" s="21"/>
      <c r="S184" s="21"/>
    </row>
    <row r="185" spans="1:19" x14ac:dyDescent="0.25">
      <c r="F185" s="25"/>
      <c r="G185" s="42"/>
      <c r="H185" s="41"/>
      <c r="K185" s="21"/>
      <c r="L185" s="21"/>
      <c r="M185" s="21"/>
      <c r="N185" s="21"/>
      <c r="O185" s="21"/>
      <c r="Q185" s="21"/>
      <c r="S185" s="21"/>
    </row>
    <row r="186" spans="1:19" x14ac:dyDescent="0.25">
      <c r="F186" s="25"/>
      <c r="G186" s="42"/>
      <c r="H186" s="41"/>
      <c r="K186" s="21"/>
      <c r="L186" s="21"/>
      <c r="M186" s="21"/>
      <c r="N186" s="21"/>
      <c r="O186" s="21"/>
      <c r="Q186" s="21"/>
      <c r="S186" s="21"/>
    </row>
    <row r="187" spans="1:19" x14ac:dyDescent="0.25">
      <c r="F187" s="25"/>
      <c r="G187" s="42"/>
      <c r="H187" s="41"/>
      <c r="K187" s="21"/>
      <c r="L187" s="21"/>
      <c r="M187" s="21"/>
      <c r="N187" s="21"/>
      <c r="O187" s="21"/>
      <c r="Q187" s="21"/>
      <c r="S187" s="21"/>
    </row>
    <row r="188" spans="1:19" x14ac:dyDescent="0.25">
      <c r="F188" s="25"/>
      <c r="G188" s="42"/>
      <c r="H188" s="41"/>
      <c r="K188" s="21"/>
      <c r="L188" s="21"/>
      <c r="M188" s="21"/>
      <c r="N188" s="21"/>
      <c r="O188" s="21"/>
      <c r="Q188" s="21"/>
      <c r="S188" s="21"/>
    </row>
    <row r="189" spans="1:19" x14ac:dyDescent="0.25">
      <c r="F189" s="25"/>
      <c r="G189" s="42"/>
      <c r="H189" s="41"/>
      <c r="K189" s="21"/>
      <c r="L189" s="21"/>
      <c r="M189" s="21"/>
      <c r="N189" s="21"/>
      <c r="O189" s="21"/>
      <c r="Q189" s="21"/>
      <c r="S189" s="21"/>
    </row>
    <row r="190" spans="1:19" x14ac:dyDescent="0.25">
      <c r="F190" s="25"/>
      <c r="G190" s="42"/>
      <c r="H190" s="41"/>
      <c r="K190" s="21"/>
      <c r="L190" s="21"/>
      <c r="M190" s="21"/>
      <c r="N190" s="21"/>
      <c r="O190" s="21"/>
      <c r="Q190" s="21"/>
      <c r="S190" s="21"/>
    </row>
    <row r="191" spans="1:19" x14ac:dyDescent="0.25">
      <c r="F191" s="25"/>
      <c r="G191" s="42"/>
      <c r="H191" s="41"/>
      <c r="K191" s="21"/>
      <c r="L191" s="21"/>
      <c r="M191" s="21"/>
      <c r="N191" s="21"/>
      <c r="O191" s="21"/>
      <c r="Q191" s="21"/>
      <c r="S191" s="21"/>
    </row>
    <row r="192" spans="1:19" x14ac:dyDescent="0.25">
      <c r="F192" s="25"/>
      <c r="G192" s="42"/>
      <c r="H192" s="41"/>
      <c r="K192" s="21"/>
      <c r="L192" s="21"/>
      <c r="M192" s="21"/>
      <c r="N192" s="21"/>
      <c r="O192" s="21"/>
      <c r="Q192" s="21"/>
      <c r="S192" s="21"/>
    </row>
    <row r="193" spans="6:19" x14ac:dyDescent="0.25">
      <c r="F193" s="25"/>
      <c r="G193" s="42"/>
      <c r="H193" s="41"/>
      <c r="K193" s="21"/>
      <c r="L193" s="21"/>
      <c r="M193" s="21"/>
      <c r="N193" s="21"/>
      <c r="O193" s="21"/>
      <c r="Q193" s="21"/>
      <c r="S193" s="21"/>
    </row>
    <row r="194" spans="6:19" x14ac:dyDescent="0.25">
      <c r="F194" s="25"/>
      <c r="G194" s="42"/>
      <c r="H194" s="41"/>
      <c r="K194" s="21"/>
      <c r="L194" s="21"/>
      <c r="M194" s="21"/>
      <c r="N194" s="21"/>
      <c r="O194" s="21"/>
      <c r="Q194" s="21"/>
      <c r="S194" s="21"/>
    </row>
    <row r="195" spans="6:19" x14ac:dyDescent="0.25">
      <c r="F195" s="25"/>
      <c r="G195" s="42"/>
      <c r="H195" s="41"/>
      <c r="I195" s="41"/>
      <c r="K195" s="21"/>
      <c r="L195" s="21"/>
      <c r="M195" s="21"/>
      <c r="N195" s="21"/>
      <c r="O195" s="21"/>
      <c r="Q195" s="21"/>
      <c r="S195" s="21"/>
    </row>
    <row r="196" spans="6:19" x14ac:dyDescent="0.25">
      <c r="F196" s="25"/>
      <c r="G196" s="42"/>
      <c r="H196" s="41"/>
      <c r="I196" s="41"/>
      <c r="K196" s="21"/>
      <c r="L196" s="21"/>
      <c r="M196" s="21"/>
      <c r="N196" s="21"/>
      <c r="O196" s="21"/>
      <c r="Q196" s="21"/>
      <c r="S196" s="21"/>
    </row>
    <row r="197" spans="6:19" x14ac:dyDescent="0.25">
      <c r="F197" s="25"/>
      <c r="G197" s="42"/>
      <c r="H197" s="41"/>
      <c r="I197" s="41"/>
      <c r="K197" s="21"/>
      <c r="L197" s="21"/>
      <c r="M197" s="21"/>
      <c r="N197" s="21"/>
      <c r="O197" s="21"/>
      <c r="Q197" s="21"/>
      <c r="S197" s="21"/>
    </row>
    <row r="198" spans="6:19" x14ac:dyDescent="0.25">
      <c r="F198" s="25"/>
      <c r="G198" s="42"/>
      <c r="H198" s="41"/>
      <c r="I198" s="41"/>
      <c r="K198" s="21"/>
      <c r="L198" s="21"/>
      <c r="M198" s="21"/>
      <c r="N198" s="21"/>
      <c r="O198" s="21"/>
      <c r="Q198" s="21"/>
      <c r="S198" s="21"/>
    </row>
    <row r="199" spans="6:19" x14ac:dyDescent="0.25">
      <c r="F199" s="25"/>
      <c r="G199" s="42"/>
      <c r="H199" s="41"/>
      <c r="I199" s="41"/>
      <c r="K199" s="21"/>
      <c r="L199" s="21"/>
      <c r="M199" s="21"/>
      <c r="N199" s="21"/>
      <c r="O199" s="21"/>
      <c r="Q199" s="21"/>
      <c r="S199" s="21"/>
    </row>
    <row r="200" spans="6:19" x14ac:dyDescent="0.25">
      <c r="F200" s="25"/>
      <c r="G200" s="42"/>
      <c r="H200" s="41"/>
      <c r="I200" s="41"/>
      <c r="K200" s="21"/>
      <c r="L200" s="21"/>
      <c r="M200" s="21"/>
      <c r="N200" s="21"/>
      <c r="O200" s="21"/>
      <c r="Q200" s="21"/>
      <c r="S200" s="21"/>
    </row>
    <row r="201" spans="6:19" x14ac:dyDescent="0.25">
      <c r="F201" s="25"/>
      <c r="G201" s="42"/>
      <c r="H201" s="41"/>
      <c r="I201" s="41"/>
      <c r="K201" s="21"/>
      <c r="L201" s="21"/>
      <c r="M201" s="21"/>
      <c r="N201" s="21"/>
      <c r="O201" s="21"/>
      <c r="Q201" s="21"/>
      <c r="S201" s="21"/>
    </row>
    <row r="202" spans="6:19" x14ac:dyDescent="0.25">
      <c r="F202" s="25"/>
      <c r="G202" s="42"/>
      <c r="H202" s="41"/>
      <c r="I202" s="41"/>
      <c r="K202" s="21"/>
      <c r="L202" s="21"/>
      <c r="M202" s="21"/>
      <c r="N202" s="21"/>
      <c r="O202" s="21"/>
      <c r="Q202" s="21"/>
      <c r="S202" s="21"/>
    </row>
    <row r="203" spans="6:19" x14ac:dyDescent="0.25">
      <c r="F203" s="25"/>
      <c r="G203" s="42"/>
      <c r="H203" s="41"/>
      <c r="I203" s="41"/>
      <c r="K203" s="21"/>
      <c r="L203" s="21"/>
      <c r="M203" s="21"/>
      <c r="N203" s="21"/>
      <c r="O203" s="21"/>
      <c r="Q203" s="21"/>
      <c r="S203" s="21"/>
    </row>
    <row r="204" spans="6:19" x14ac:dyDescent="0.25">
      <c r="F204" s="25"/>
      <c r="G204" s="42"/>
      <c r="H204" s="41"/>
      <c r="I204" s="41"/>
      <c r="K204" s="21"/>
      <c r="L204" s="21"/>
      <c r="M204" s="21"/>
      <c r="N204" s="21"/>
      <c r="O204" s="21"/>
      <c r="Q204" s="21"/>
      <c r="S204" s="21"/>
    </row>
    <row r="205" spans="6:19" x14ac:dyDescent="0.25">
      <c r="F205" s="25"/>
      <c r="G205" s="42"/>
      <c r="H205" s="41"/>
      <c r="I205" s="41"/>
      <c r="K205" s="21"/>
      <c r="L205" s="21"/>
      <c r="M205" s="21"/>
      <c r="N205" s="21"/>
      <c r="O205" s="21"/>
      <c r="Q205" s="21"/>
      <c r="S205" s="21"/>
    </row>
    <row r="206" spans="6:19" x14ac:dyDescent="0.25">
      <c r="F206" s="25"/>
      <c r="G206" s="42"/>
      <c r="H206" s="41"/>
      <c r="I206" s="41"/>
      <c r="K206" s="21"/>
      <c r="L206" s="21"/>
      <c r="M206" s="21"/>
      <c r="N206" s="21"/>
      <c r="O206" s="21"/>
      <c r="Q206" s="21"/>
      <c r="S206" s="21"/>
    </row>
    <row r="207" spans="6:19" x14ac:dyDescent="0.25">
      <c r="F207" s="25"/>
      <c r="G207" s="42"/>
      <c r="H207" s="41"/>
      <c r="I207" s="41"/>
      <c r="K207" s="21"/>
      <c r="L207" s="21"/>
      <c r="M207" s="21"/>
      <c r="N207" s="21"/>
      <c r="O207" s="21"/>
      <c r="Q207" s="21"/>
      <c r="S207" s="21"/>
    </row>
    <row r="208" spans="6:19" x14ac:dyDescent="0.25">
      <c r="F208" s="25"/>
      <c r="G208" s="42"/>
      <c r="H208" s="41"/>
      <c r="I208" s="41"/>
      <c r="K208" s="21"/>
      <c r="L208" s="21"/>
      <c r="M208" s="21"/>
      <c r="N208" s="21"/>
      <c r="O208" s="21"/>
      <c r="Q208" s="21"/>
      <c r="S208" s="21"/>
    </row>
    <row r="209" spans="6:19" x14ac:dyDescent="0.25">
      <c r="F209" s="25"/>
      <c r="G209" s="42"/>
      <c r="H209" s="41"/>
      <c r="I209" s="41"/>
      <c r="K209" s="21"/>
      <c r="L209" s="21"/>
      <c r="M209" s="21"/>
      <c r="N209" s="21"/>
      <c r="O209" s="21"/>
      <c r="Q209" s="21"/>
      <c r="S209" s="21"/>
    </row>
    <row r="210" spans="6:19" x14ac:dyDescent="0.25">
      <c r="F210" s="25"/>
      <c r="G210" s="42"/>
      <c r="H210" s="41"/>
      <c r="I210" s="41"/>
      <c r="K210" s="21"/>
      <c r="L210" s="21"/>
      <c r="M210" s="21"/>
      <c r="N210" s="21"/>
      <c r="O210" s="21"/>
      <c r="Q210" s="21"/>
      <c r="S210" s="21"/>
    </row>
    <row r="211" spans="6:19" x14ac:dyDescent="0.25">
      <c r="F211" s="25"/>
      <c r="G211" s="42"/>
      <c r="H211" s="41"/>
      <c r="I211" s="41"/>
      <c r="K211" s="21"/>
      <c r="L211" s="21"/>
      <c r="M211" s="21"/>
      <c r="N211" s="21"/>
      <c r="O211" s="21"/>
      <c r="Q211" s="21"/>
      <c r="S211" s="21"/>
    </row>
    <row r="212" spans="6:19" x14ac:dyDescent="0.25">
      <c r="F212" s="25"/>
      <c r="G212" s="42"/>
      <c r="H212" s="41"/>
      <c r="I212" s="41"/>
      <c r="K212" s="21"/>
      <c r="L212" s="21"/>
      <c r="M212" s="21"/>
      <c r="N212" s="21"/>
      <c r="O212" s="21"/>
      <c r="Q212" s="21"/>
      <c r="S212" s="21"/>
    </row>
    <row r="213" spans="6:19" x14ac:dyDescent="0.25">
      <c r="F213" s="25"/>
      <c r="G213" s="42"/>
      <c r="H213" s="41"/>
      <c r="I213" s="41"/>
      <c r="K213" s="21"/>
      <c r="L213" s="21"/>
      <c r="M213" s="21"/>
      <c r="N213" s="21"/>
      <c r="O213" s="21"/>
      <c r="Q213" s="21"/>
      <c r="S213" s="21"/>
    </row>
    <row r="214" spans="6:19" x14ac:dyDescent="0.25">
      <c r="F214" s="25"/>
      <c r="G214" s="42"/>
      <c r="H214" s="41"/>
      <c r="I214" s="41"/>
      <c r="K214" s="21"/>
      <c r="L214" s="21"/>
      <c r="M214" s="21"/>
      <c r="N214" s="21"/>
      <c r="O214" s="21"/>
      <c r="Q214" s="21"/>
      <c r="S214" s="21"/>
    </row>
    <row r="215" spans="6:19" x14ac:dyDescent="0.25">
      <c r="F215" s="25"/>
      <c r="G215" s="42"/>
      <c r="H215" s="41"/>
      <c r="I215" s="41"/>
      <c r="K215" s="21"/>
      <c r="L215" s="21"/>
      <c r="M215" s="21"/>
      <c r="N215" s="21"/>
      <c r="O215" s="21"/>
      <c r="Q215" s="21"/>
      <c r="S215" s="21"/>
    </row>
    <row r="216" spans="6:19" x14ac:dyDescent="0.25">
      <c r="F216" s="25"/>
      <c r="G216" s="42"/>
      <c r="H216" s="41"/>
      <c r="I216" s="41"/>
      <c r="K216" s="21"/>
      <c r="L216" s="21"/>
      <c r="M216" s="21"/>
      <c r="N216" s="21"/>
      <c r="O216" s="21"/>
      <c r="Q216" s="21"/>
      <c r="S216" s="21"/>
    </row>
    <row r="217" spans="6:19" x14ac:dyDescent="0.25">
      <c r="F217" s="25"/>
      <c r="G217" s="42"/>
      <c r="H217" s="41"/>
      <c r="I217" s="41"/>
      <c r="K217" s="21"/>
      <c r="L217" s="21"/>
      <c r="M217" s="21"/>
      <c r="N217" s="21"/>
      <c r="O217" s="21"/>
      <c r="Q217" s="21"/>
      <c r="S217" s="21"/>
    </row>
    <row r="218" spans="6:19" x14ac:dyDescent="0.25">
      <c r="F218" s="25"/>
      <c r="G218" s="42"/>
      <c r="H218" s="41"/>
      <c r="I218" s="41"/>
      <c r="K218" s="21"/>
      <c r="L218" s="21"/>
      <c r="M218" s="21"/>
      <c r="N218" s="21"/>
      <c r="O218" s="21"/>
      <c r="Q218" s="21"/>
      <c r="S218" s="21"/>
    </row>
    <row r="219" spans="6:19" x14ac:dyDescent="0.25">
      <c r="F219" s="25"/>
      <c r="G219" s="42"/>
      <c r="H219" s="41"/>
      <c r="I219" s="41"/>
      <c r="K219" s="21"/>
      <c r="L219" s="21"/>
      <c r="M219" s="21"/>
      <c r="N219" s="21"/>
      <c r="O219" s="21"/>
      <c r="Q219" s="21"/>
      <c r="S219" s="21"/>
    </row>
    <row r="220" spans="6:19" x14ac:dyDescent="0.25">
      <c r="F220" s="25"/>
      <c r="G220" s="42"/>
      <c r="H220" s="41"/>
      <c r="I220" s="41"/>
      <c r="K220" s="21"/>
      <c r="L220" s="21"/>
      <c r="M220" s="21"/>
      <c r="N220" s="21"/>
      <c r="O220" s="21"/>
      <c r="Q220" s="21"/>
      <c r="S220" s="21"/>
    </row>
    <row r="221" spans="6:19" x14ac:dyDescent="0.25">
      <c r="F221" s="25"/>
      <c r="G221" s="42"/>
      <c r="H221" s="41"/>
      <c r="I221" s="41"/>
      <c r="K221" s="21"/>
      <c r="L221" s="21"/>
      <c r="M221" s="21"/>
      <c r="N221" s="21"/>
      <c r="O221" s="21"/>
      <c r="Q221" s="21"/>
      <c r="S221" s="21"/>
    </row>
    <row r="222" spans="6:19" x14ac:dyDescent="0.25">
      <c r="F222" s="25"/>
      <c r="G222" s="42"/>
      <c r="H222" s="41"/>
      <c r="I222" s="41"/>
      <c r="K222" s="21"/>
      <c r="L222" s="21"/>
      <c r="M222" s="21"/>
      <c r="N222" s="21"/>
      <c r="O222" s="21"/>
      <c r="Q222" s="21"/>
      <c r="S222" s="21"/>
    </row>
    <row r="223" spans="6:19" x14ac:dyDescent="0.25">
      <c r="F223" s="25"/>
      <c r="G223" s="42"/>
      <c r="H223" s="41"/>
      <c r="I223" s="41"/>
      <c r="K223" s="21"/>
      <c r="L223" s="21"/>
      <c r="M223" s="21"/>
      <c r="N223" s="21"/>
      <c r="O223" s="21"/>
      <c r="Q223" s="21"/>
      <c r="S223" s="21"/>
    </row>
    <row r="224" spans="6:19" x14ac:dyDescent="0.25">
      <c r="F224" s="25"/>
      <c r="G224" s="42"/>
      <c r="H224" s="41"/>
      <c r="I224" s="41"/>
      <c r="K224" s="21"/>
      <c r="L224" s="21"/>
      <c r="M224" s="21"/>
      <c r="N224" s="21"/>
      <c r="O224" s="21"/>
      <c r="Q224" s="21"/>
      <c r="S224" s="21"/>
    </row>
    <row r="225" spans="6:19" x14ac:dyDescent="0.25">
      <c r="F225" s="25"/>
      <c r="G225" s="42"/>
      <c r="H225" s="41"/>
      <c r="I225" s="41"/>
      <c r="K225" s="21"/>
      <c r="L225" s="21"/>
      <c r="M225" s="21"/>
      <c r="N225" s="21"/>
      <c r="O225" s="21"/>
      <c r="Q225" s="21"/>
      <c r="S225" s="21"/>
    </row>
    <row r="226" spans="6:19" x14ac:dyDescent="0.25">
      <c r="F226" s="25"/>
      <c r="G226" s="42"/>
      <c r="H226" s="41"/>
      <c r="I226" s="41"/>
      <c r="K226" s="21"/>
      <c r="L226" s="21"/>
      <c r="M226" s="21"/>
      <c r="N226" s="21"/>
      <c r="O226" s="21"/>
      <c r="Q226" s="21"/>
      <c r="S226" s="21"/>
    </row>
    <row r="227" spans="6:19" x14ac:dyDescent="0.25">
      <c r="F227" s="25"/>
      <c r="G227" s="42"/>
      <c r="H227" s="41"/>
      <c r="I227" s="41"/>
      <c r="K227" s="21"/>
      <c r="L227" s="21"/>
      <c r="M227" s="21"/>
      <c r="N227" s="21"/>
      <c r="O227" s="21"/>
      <c r="Q227" s="21"/>
      <c r="S227" s="21"/>
    </row>
    <row r="228" spans="6:19" x14ac:dyDescent="0.25">
      <c r="F228" s="25"/>
      <c r="G228" s="42"/>
      <c r="H228" s="41"/>
      <c r="I228" s="41"/>
      <c r="K228" s="21"/>
      <c r="L228" s="21"/>
      <c r="M228" s="21"/>
      <c r="N228" s="21"/>
      <c r="O228" s="21"/>
      <c r="Q228" s="21"/>
      <c r="S228" s="21"/>
    </row>
    <row r="229" spans="6:19" x14ac:dyDescent="0.25">
      <c r="F229" s="25"/>
      <c r="G229" s="42"/>
      <c r="H229" s="41"/>
      <c r="I229" s="41"/>
      <c r="K229" s="21"/>
      <c r="L229" s="21"/>
      <c r="M229" s="21"/>
      <c r="N229" s="21"/>
      <c r="O229" s="21"/>
      <c r="Q229" s="21"/>
      <c r="S229" s="21"/>
    </row>
    <row r="230" spans="6:19" x14ac:dyDescent="0.25">
      <c r="F230" s="25"/>
      <c r="G230" s="42"/>
      <c r="H230" s="41"/>
      <c r="I230" s="41"/>
      <c r="K230" s="21"/>
      <c r="L230" s="21"/>
      <c r="M230" s="21"/>
      <c r="N230" s="21"/>
      <c r="O230" s="21"/>
      <c r="Q230" s="21"/>
      <c r="S230" s="21"/>
    </row>
    <row r="231" spans="6:19" x14ac:dyDescent="0.25">
      <c r="F231" s="25"/>
      <c r="G231" s="42"/>
      <c r="H231" s="41"/>
      <c r="I231" s="41"/>
      <c r="K231" s="21"/>
      <c r="L231" s="21"/>
      <c r="M231" s="21"/>
      <c r="N231" s="21"/>
      <c r="O231" s="21"/>
      <c r="Q231" s="21"/>
      <c r="S231" s="21"/>
    </row>
    <row r="232" spans="6:19" x14ac:dyDescent="0.25">
      <c r="F232" s="25"/>
      <c r="G232" s="42"/>
      <c r="H232" s="41"/>
      <c r="I232" s="41"/>
      <c r="K232" s="21"/>
      <c r="L232" s="21"/>
      <c r="M232" s="21"/>
      <c r="N232" s="21"/>
      <c r="O232" s="21"/>
      <c r="Q232" s="21"/>
      <c r="S232" s="21"/>
    </row>
    <row r="233" spans="6:19" x14ac:dyDescent="0.25">
      <c r="F233" s="25"/>
      <c r="G233" s="42"/>
      <c r="H233" s="41"/>
      <c r="I233" s="41"/>
      <c r="K233" s="21"/>
      <c r="L233" s="21"/>
      <c r="M233" s="21"/>
      <c r="N233" s="21"/>
      <c r="O233" s="21"/>
      <c r="Q233" s="21"/>
      <c r="S233" s="21"/>
    </row>
    <row r="234" spans="6:19" x14ac:dyDescent="0.25">
      <c r="F234" s="25"/>
      <c r="G234" s="42"/>
      <c r="H234" s="41"/>
      <c r="I234" s="41"/>
      <c r="K234" s="21"/>
      <c r="L234" s="21"/>
      <c r="M234" s="21"/>
      <c r="N234" s="21"/>
      <c r="O234" s="21"/>
      <c r="Q234" s="21"/>
      <c r="S234" s="21"/>
    </row>
    <row r="235" spans="6:19" x14ac:dyDescent="0.25">
      <c r="F235" s="25"/>
      <c r="G235" s="42"/>
      <c r="H235" s="41"/>
      <c r="I235" s="41"/>
      <c r="K235" s="21"/>
      <c r="L235" s="21"/>
      <c r="M235" s="21"/>
      <c r="N235" s="21"/>
      <c r="O235" s="21"/>
      <c r="Q235" s="21"/>
      <c r="S235" s="21"/>
    </row>
    <row r="236" spans="6:19" x14ac:dyDescent="0.25">
      <c r="F236" s="25"/>
      <c r="G236" s="42"/>
      <c r="H236" s="41"/>
      <c r="I236" s="41"/>
      <c r="K236" s="21"/>
      <c r="L236" s="21"/>
      <c r="M236" s="21"/>
      <c r="N236" s="21"/>
      <c r="O236" s="21"/>
      <c r="Q236" s="21"/>
      <c r="S236" s="21"/>
    </row>
    <row r="237" spans="6:19" x14ac:dyDescent="0.25">
      <c r="F237" s="25"/>
      <c r="G237" s="42"/>
      <c r="H237" s="41"/>
      <c r="I237" s="41"/>
      <c r="K237" s="21"/>
      <c r="L237" s="21"/>
      <c r="M237" s="21"/>
      <c r="N237" s="21"/>
      <c r="O237" s="21"/>
      <c r="Q237" s="21"/>
      <c r="S237" s="21"/>
    </row>
    <row r="238" spans="6:19" x14ac:dyDescent="0.25">
      <c r="F238" s="25"/>
      <c r="G238" s="42"/>
      <c r="H238" s="41"/>
      <c r="I238" s="41"/>
      <c r="K238" s="21"/>
      <c r="L238" s="21"/>
      <c r="M238" s="21"/>
      <c r="N238" s="21"/>
      <c r="O238" s="21"/>
      <c r="Q238" s="21"/>
      <c r="S238" s="21"/>
    </row>
    <row r="239" spans="6:19" x14ac:dyDescent="0.25">
      <c r="F239" s="25"/>
      <c r="G239" s="42"/>
      <c r="H239" s="41"/>
      <c r="I239" s="41"/>
      <c r="K239" s="21"/>
      <c r="L239" s="21"/>
      <c r="M239" s="21"/>
      <c r="N239" s="21"/>
      <c r="O239" s="21"/>
      <c r="Q239" s="21"/>
      <c r="S239" s="21"/>
    </row>
    <row r="240" spans="6:19" x14ac:dyDescent="0.25">
      <c r="F240" s="25"/>
      <c r="G240" s="42"/>
      <c r="H240" s="41"/>
      <c r="I240" s="41"/>
      <c r="K240" s="21"/>
      <c r="L240" s="21"/>
      <c r="M240" s="21"/>
      <c r="N240" s="21"/>
      <c r="O240" s="21"/>
      <c r="Q240" s="21"/>
      <c r="S240" s="21"/>
    </row>
    <row r="241" spans="6:19" x14ac:dyDescent="0.25">
      <c r="F241" s="25"/>
      <c r="G241" s="42"/>
      <c r="H241" s="41"/>
      <c r="I241" s="41"/>
      <c r="K241" s="21"/>
      <c r="L241" s="21"/>
      <c r="M241" s="21"/>
      <c r="N241" s="21"/>
      <c r="O241" s="21"/>
      <c r="Q241" s="21"/>
      <c r="S241" s="21"/>
    </row>
    <row r="242" spans="6:19" x14ac:dyDescent="0.25">
      <c r="F242" s="25"/>
      <c r="G242" s="42"/>
      <c r="H242" s="41"/>
      <c r="I242" s="41"/>
      <c r="K242" s="21"/>
      <c r="L242" s="21"/>
      <c r="M242" s="21"/>
      <c r="N242" s="21"/>
      <c r="O242" s="21"/>
      <c r="Q242" s="21"/>
      <c r="S242" s="21"/>
    </row>
    <row r="243" spans="6:19" x14ac:dyDescent="0.25">
      <c r="F243" s="25"/>
      <c r="G243" s="42"/>
      <c r="H243" s="41"/>
      <c r="I243" s="41"/>
      <c r="K243" s="21"/>
      <c r="L243" s="21"/>
      <c r="M243" s="21"/>
      <c r="N243" s="21"/>
      <c r="O243" s="21"/>
      <c r="Q243" s="21"/>
      <c r="S243" s="21"/>
    </row>
    <row r="244" spans="6:19" x14ac:dyDescent="0.25">
      <c r="F244" s="25"/>
      <c r="G244" s="42"/>
      <c r="H244" s="41"/>
      <c r="I244" s="41"/>
      <c r="K244" s="21"/>
      <c r="L244" s="21"/>
      <c r="M244" s="21"/>
      <c r="N244" s="21"/>
      <c r="O244" s="21"/>
      <c r="Q244" s="21"/>
      <c r="S244" s="21"/>
    </row>
    <row r="245" spans="6:19" x14ac:dyDescent="0.25">
      <c r="F245" s="25"/>
      <c r="G245" s="42"/>
      <c r="H245" s="41"/>
      <c r="I245" s="41"/>
      <c r="K245" s="21"/>
      <c r="L245" s="21"/>
      <c r="M245" s="21"/>
      <c r="N245" s="21"/>
      <c r="O245" s="21"/>
      <c r="Q245" s="21"/>
      <c r="S245" s="21"/>
    </row>
    <row r="246" spans="6:19" x14ac:dyDescent="0.25">
      <c r="F246" s="25"/>
      <c r="G246" s="42"/>
      <c r="H246" s="41"/>
      <c r="I246" s="41"/>
      <c r="K246" s="21"/>
      <c r="L246" s="21"/>
      <c r="M246" s="21"/>
      <c r="N246" s="21"/>
      <c r="O246" s="21"/>
      <c r="Q246" s="21"/>
      <c r="S246" s="21"/>
    </row>
    <row r="247" spans="6:19" x14ac:dyDescent="0.25">
      <c r="F247" s="25"/>
      <c r="G247" s="42"/>
      <c r="H247" s="41"/>
      <c r="I247" s="41"/>
      <c r="K247" s="21"/>
      <c r="L247" s="21"/>
      <c r="M247" s="21"/>
      <c r="N247" s="21"/>
      <c r="O247" s="21"/>
      <c r="Q247" s="21"/>
      <c r="S247" s="21"/>
    </row>
    <row r="248" spans="6:19" x14ac:dyDescent="0.25">
      <c r="F248" s="25"/>
      <c r="G248" s="42"/>
      <c r="H248" s="41"/>
      <c r="I248" s="41"/>
      <c r="K248" s="21"/>
      <c r="L248" s="21"/>
      <c r="M248" s="21"/>
      <c r="N248" s="21"/>
      <c r="O248" s="21"/>
      <c r="Q248" s="21"/>
      <c r="S248" s="21"/>
    </row>
    <row r="249" spans="6:19" x14ac:dyDescent="0.25">
      <c r="F249" s="25"/>
      <c r="G249" s="42"/>
      <c r="H249" s="41"/>
      <c r="I249" s="41"/>
      <c r="K249" s="21"/>
      <c r="L249" s="21"/>
      <c r="M249" s="21"/>
      <c r="N249" s="21"/>
      <c r="O249" s="21"/>
      <c r="Q249" s="21"/>
      <c r="S249" s="21"/>
    </row>
    <row r="250" spans="6:19" x14ac:dyDescent="0.25">
      <c r="F250" s="25"/>
      <c r="G250" s="42"/>
      <c r="H250" s="41"/>
      <c r="I250" s="41"/>
      <c r="K250" s="21"/>
      <c r="L250" s="21"/>
      <c r="M250" s="21"/>
      <c r="N250" s="21"/>
      <c r="O250" s="21"/>
      <c r="Q250" s="21"/>
      <c r="S250" s="21"/>
    </row>
    <row r="251" spans="6:19" x14ac:dyDescent="0.25">
      <c r="F251" s="25"/>
      <c r="G251" s="42"/>
      <c r="H251" s="41"/>
      <c r="I251" s="41"/>
      <c r="K251" s="21"/>
      <c r="L251" s="21"/>
      <c r="M251" s="21"/>
      <c r="N251" s="21"/>
      <c r="O251" s="21"/>
      <c r="Q251" s="21"/>
      <c r="S251" s="21"/>
    </row>
    <row r="252" spans="6:19" x14ac:dyDescent="0.25">
      <c r="F252" s="25"/>
      <c r="G252" s="42"/>
      <c r="H252" s="41"/>
      <c r="I252" s="41"/>
      <c r="K252" s="21"/>
      <c r="L252" s="21"/>
      <c r="M252" s="21"/>
      <c r="N252" s="21"/>
      <c r="O252" s="21"/>
      <c r="Q252" s="21"/>
      <c r="S252" s="21"/>
    </row>
    <row r="253" spans="6:19" x14ac:dyDescent="0.25">
      <c r="F253" s="25"/>
      <c r="G253" s="42"/>
      <c r="H253" s="41"/>
      <c r="I253" s="41"/>
      <c r="K253" s="21"/>
      <c r="L253" s="21"/>
      <c r="M253" s="21"/>
      <c r="N253" s="21"/>
      <c r="O253" s="21"/>
      <c r="Q253" s="21"/>
      <c r="S253" s="21"/>
    </row>
    <row r="254" spans="6:19" x14ac:dyDescent="0.25">
      <c r="F254" s="25"/>
      <c r="G254" s="42"/>
      <c r="H254" s="41"/>
      <c r="I254" s="41"/>
      <c r="K254" s="21"/>
      <c r="L254" s="21"/>
      <c r="M254" s="21"/>
      <c r="N254" s="21"/>
      <c r="O254" s="21"/>
      <c r="Q254" s="21"/>
      <c r="S254" s="21"/>
    </row>
    <row r="255" spans="6:19" x14ac:dyDescent="0.25">
      <c r="F255" s="25"/>
      <c r="G255" s="42"/>
      <c r="H255" s="41"/>
      <c r="I255" s="41"/>
      <c r="K255" s="21"/>
      <c r="L255" s="21"/>
      <c r="M255" s="21"/>
      <c r="N255" s="21"/>
      <c r="O255" s="21"/>
      <c r="Q255" s="21"/>
      <c r="S255" s="21"/>
    </row>
    <row r="256" spans="6:19" x14ac:dyDescent="0.25">
      <c r="F256" s="25"/>
      <c r="G256" s="42"/>
      <c r="H256" s="41"/>
      <c r="I256" s="41"/>
      <c r="K256" s="21"/>
      <c r="L256" s="21"/>
      <c r="M256" s="21"/>
      <c r="N256" s="21"/>
      <c r="O256" s="21"/>
      <c r="Q256" s="21"/>
      <c r="S256" s="21"/>
    </row>
    <row r="257" spans="6:19" x14ac:dyDescent="0.25">
      <c r="F257" s="25"/>
      <c r="G257" s="42"/>
      <c r="H257" s="41"/>
      <c r="I257" s="41"/>
      <c r="K257" s="21"/>
      <c r="L257" s="21"/>
      <c r="M257" s="21"/>
      <c r="N257" s="21"/>
      <c r="O257" s="21"/>
      <c r="Q257" s="21"/>
      <c r="S257" s="21"/>
    </row>
    <row r="258" spans="6:19" x14ac:dyDescent="0.25">
      <c r="F258" s="25"/>
      <c r="G258" s="42"/>
      <c r="H258" s="41"/>
      <c r="I258" s="41"/>
      <c r="K258" s="21"/>
      <c r="L258" s="21"/>
      <c r="M258" s="21"/>
      <c r="N258" s="21"/>
      <c r="O258" s="21"/>
      <c r="Q258" s="21"/>
      <c r="S258" s="21"/>
    </row>
    <row r="259" spans="6:19" x14ac:dyDescent="0.25">
      <c r="F259" s="25"/>
      <c r="G259" s="42"/>
      <c r="H259" s="41"/>
      <c r="I259" s="41"/>
      <c r="K259" s="21"/>
      <c r="L259" s="21"/>
      <c r="M259" s="21"/>
      <c r="N259" s="21"/>
      <c r="O259" s="21"/>
      <c r="Q259" s="21"/>
      <c r="S259" s="21"/>
    </row>
    <row r="260" spans="6:19" x14ac:dyDescent="0.25">
      <c r="F260" s="25"/>
      <c r="G260" s="42"/>
      <c r="H260" s="41"/>
      <c r="I260" s="41"/>
      <c r="K260" s="21"/>
      <c r="L260" s="21"/>
      <c r="M260" s="21"/>
      <c r="N260" s="21"/>
      <c r="O260" s="21"/>
      <c r="Q260" s="21"/>
      <c r="S260" s="21"/>
    </row>
    <row r="261" spans="6:19" x14ac:dyDescent="0.25">
      <c r="F261" s="25"/>
      <c r="G261" s="42"/>
      <c r="H261" s="41"/>
      <c r="I261" s="41"/>
      <c r="K261" s="21"/>
      <c r="L261" s="21"/>
      <c r="M261" s="21"/>
      <c r="N261" s="21"/>
      <c r="O261" s="21"/>
      <c r="Q261" s="21"/>
      <c r="S261" s="21"/>
    </row>
    <row r="262" spans="6:19" x14ac:dyDescent="0.25">
      <c r="F262" s="25"/>
      <c r="G262" s="42"/>
      <c r="H262" s="41"/>
      <c r="I262" s="41"/>
      <c r="K262" s="21"/>
      <c r="L262" s="21"/>
      <c r="M262" s="21"/>
      <c r="N262" s="21"/>
      <c r="O262" s="21"/>
      <c r="Q262" s="21"/>
      <c r="S262" s="21"/>
    </row>
    <row r="263" spans="6:19" x14ac:dyDescent="0.25">
      <c r="F263" s="25"/>
      <c r="G263" s="42"/>
      <c r="H263" s="41"/>
      <c r="I263" s="41"/>
      <c r="K263" s="21"/>
      <c r="L263" s="21"/>
      <c r="M263" s="21"/>
      <c r="N263" s="21"/>
      <c r="O263" s="21"/>
      <c r="Q263" s="21"/>
      <c r="S263" s="21"/>
    </row>
    <row r="264" spans="6:19" x14ac:dyDescent="0.25">
      <c r="F264" s="25"/>
      <c r="G264" s="42"/>
      <c r="H264" s="41"/>
      <c r="I264" s="41"/>
      <c r="K264" s="21"/>
      <c r="L264" s="21"/>
      <c r="M264" s="21"/>
      <c r="N264" s="21"/>
      <c r="O264" s="21"/>
      <c r="Q264" s="21"/>
      <c r="S264" s="21"/>
    </row>
    <row r="265" spans="6:19" x14ac:dyDescent="0.25">
      <c r="F265" s="25"/>
      <c r="G265" s="42"/>
      <c r="H265" s="41"/>
      <c r="I265" s="41"/>
      <c r="K265" s="21"/>
      <c r="L265" s="21"/>
      <c r="M265" s="21"/>
      <c r="N265" s="21"/>
      <c r="O265" s="21"/>
      <c r="Q265" s="21"/>
      <c r="S265" s="21"/>
    </row>
    <row r="266" spans="6:19" x14ac:dyDescent="0.25">
      <c r="F266" s="25"/>
      <c r="G266" s="42"/>
      <c r="H266" s="41"/>
      <c r="I266" s="41"/>
      <c r="K266" s="21"/>
      <c r="L266" s="21"/>
      <c r="M266" s="21"/>
      <c r="N266" s="21"/>
      <c r="O266" s="21"/>
      <c r="Q266" s="21"/>
      <c r="S266" s="21"/>
    </row>
    <row r="267" spans="6:19" x14ac:dyDescent="0.25">
      <c r="F267" s="25"/>
      <c r="G267" s="42"/>
      <c r="H267" s="41"/>
      <c r="I267" s="41"/>
      <c r="K267" s="21"/>
      <c r="L267" s="21"/>
      <c r="M267" s="21"/>
      <c r="N267" s="21"/>
      <c r="O267" s="21"/>
      <c r="Q267" s="21"/>
      <c r="S267" s="21"/>
    </row>
    <row r="268" spans="6:19" x14ac:dyDescent="0.25">
      <c r="F268" s="25"/>
      <c r="G268" s="42"/>
      <c r="H268" s="41"/>
      <c r="I268" s="41"/>
      <c r="K268" s="21"/>
      <c r="L268" s="21"/>
      <c r="M268" s="21"/>
      <c r="N268" s="21"/>
      <c r="O268" s="21"/>
      <c r="Q268" s="21"/>
      <c r="S268" s="21"/>
    </row>
    <row r="269" spans="6:19" x14ac:dyDescent="0.25">
      <c r="F269" s="25"/>
      <c r="G269" s="42"/>
      <c r="H269" s="41"/>
      <c r="I269" s="41"/>
      <c r="K269" s="21"/>
      <c r="L269" s="21"/>
      <c r="M269" s="21"/>
      <c r="N269" s="21"/>
      <c r="O269" s="21"/>
      <c r="Q269" s="21"/>
      <c r="S269" s="21"/>
    </row>
    <row r="270" spans="6:19" x14ac:dyDescent="0.25">
      <c r="F270" s="25"/>
      <c r="G270" s="42"/>
      <c r="H270" s="41"/>
      <c r="I270" s="41"/>
      <c r="K270" s="21"/>
      <c r="L270" s="21"/>
      <c r="M270" s="21"/>
      <c r="N270" s="21"/>
      <c r="O270" s="21"/>
      <c r="Q270" s="21"/>
      <c r="S270" s="21"/>
    </row>
    <row r="271" spans="6:19" x14ac:dyDescent="0.25">
      <c r="F271" s="25"/>
      <c r="G271" s="42"/>
      <c r="H271" s="41"/>
      <c r="I271" s="41"/>
      <c r="K271" s="21"/>
      <c r="L271" s="21"/>
      <c r="M271" s="21"/>
      <c r="N271" s="21"/>
      <c r="O271" s="21"/>
      <c r="Q271" s="21"/>
      <c r="S271" s="21"/>
    </row>
    <row r="272" spans="6:19" x14ac:dyDescent="0.25">
      <c r="F272" s="25"/>
      <c r="G272" s="42"/>
      <c r="H272" s="41"/>
      <c r="I272" s="41"/>
      <c r="K272" s="21"/>
      <c r="L272" s="21"/>
      <c r="M272" s="21"/>
      <c r="N272" s="21"/>
      <c r="O272" s="21"/>
      <c r="Q272" s="21"/>
      <c r="S272" s="21"/>
    </row>
    <row r="273" spans="6:19" x14ac:dyDescent="0.25">
      <c r="F273" s="25"/>
      <c r="G273" s="42"/>
      <c r="H273" s="41"/>
      <c r="I273" s="41"/>
      <c r="K273" s="21"/>
      <c r="L273" s="21"/>
      <c r="M273" s="21"/>
      <c r="N273" s="21"/>
      <c r="O273" s="21"/>
      <c r="Q273" s="21"/>
      <c r="S273" s="21"/>
    </row>
    <row r="274" spans="6:19" x14ac:dyDescent="0.25">
      <c r="F274" s="25"/>
      <c r="G274" s="42"/>
      <c r="H274" s="41"/>
      <c r="I274" s="41"/>
      <c r="K274" s="21"/>
      <c r="L274" s="21"/>
      <c r="M274" s="21"/>
      <c r="N274" s="21"/>
      <c r="O274" s="21"/>
      <c r="Q274" s="21"/>
      <c r="S274" s="21"/>
    </row>
    <row r="275" spans="6:19" x14ac:dyDescent="0.25">
      <c r="F275" s="25"/>
      <c r="G275" s="42"/>
      <c r="H275" s="41"/>
      <c r="I275" s="41"/>
      <c r="K275" s="21"/>
      <c r="L275" s="21"/>
      <c r="M275" s="21"/>
      <c r="N275" s="21"/>
      <c r="O275" s="21"/>
      <c r="Q275" s="21"/>
      <c r="S275" s="21"/>
    </row>
    <row r="276" spans="6:19" x14ac:dyDescent="0.25">
      <c r="F276" s="25"/>
      <c r="G276" s="42"/>
      <c r="H276" s="41"/>
      <c r="I276" s="41"/>
      <c r="K276" s="21"/>
      <c r="L276" s="21"/>
      <c r="M276" s="21"/>
      <c r="N276" s="21"/>
      <c r="O276" s="21"/>
      <c r="Q276" s="21"/>
      <c r="S276" s="21"/>
    </row>
    <row r="277" spans="6:19" x14ac:dyDescent="0.25">
      <c r="F277" s="25"/>
      <c r="G277" s="42"/>
      <c r="H277" s="41"/>
      <c r="I277" s="41"/>
      <c r="K277" s="21"/>
      <c r="L277" s="21"/>
      <c r="M277" s="21"/>
      <c r="N277" s="21"/>
      <c r="O277" s="21"/>
      <c r="Q277" s="21"/>
      <c r="S277" s="21"/>
    </row>
    <row r="278" spans="6:19" x14ac:dyDescent="0.25">
      <c r="F278" s="25"/>
      <c r="G278" s="42"/>
      <c r="H278" s="41"/>
      <c r="I278" s="41"/>
      <c r="K278" s="21"/>
      <c r="L278" s="21"/>
      <c r="M278" s="21"/>
      <c r="N278" s="21"/>
      <c r="O278" s="21"/>
      <c r="Q278" s="21"/>
      <c r="S278" s="21"/>
    </row>
    <row r="279" spans="6:19" x14ac:dyDescent="0.25">
      <c r="F279" s="25"/>
      <c r="G279" s="42"/>
      <c r="H279" s="41"/>
      <c r="I279" s="41"/>
      <c r="K279" s="21"/>
      <c r="L279" s="21"/>
      <c r="M279" s="21"/>
      <c r="N279" s="21"/>
      <c r="O279" s="21"/>
      <c r="Q279" s="21"/>
      <c r="S279" s="21"/>
    </row>
    <row r="280" spans="6:19" x14ac:dyDescent="0.25">
      <c r="F280" s="25"/>
      <c r="G280" s="42"/>
      <c r="H280" s="41"/>
      <c r="I280" s="41"/>
      <c r="K280" s="21"/>
      <c r="L280" s="21"/>
      <c r="M280" s="21"/>
      <c r="N280" s="21"/>
      <c r="O280" s="21"/>
      <c r="Q280" s="21"/>
      <c r="S280" s="21"/>
    </row>
    <row r="281" spans="6:19" x14ac:dyDescent="0.25">
      <c r="F281" s="25"/>
      <c r="G281" s="42"/>
      <c r="H281" s="41"/>
      <c r="I281" s="41"/>
      <c r="K281" s="21"/>
      <c r="L281" s="21"/>
      <c r="M281" s="21"/>
      <c r="N281" s="21"/>
      <c r="O281" s="21"/>
      <c r="Q281" s="21"/>
      <c r="S281" s="21"/>
    </row>
    <row r="282" spans="6:19" x14ac:dyDescent="0.25">
      <c r="F282" s="25"/>
      <c r="G282" s="42"/>
      <c r="H282" s="41"/>
      <c r="I282" s="41"/>
      <c r="K282" s="21"/>
      <c r="L282" s="21"/>
      <c r="M282" s="21"/>
      <c r="N282" s="21"/>
      <c r="O282" s="21"/>
      <c r="Q282" s="21"/>
      <c r="S282" s="21"/>
    </row>
    <row r="283" spans="6:19" x14ac:dyDescent="0.25">
      <c r="F283" s="25"/>
      <c r="G283" s="42"/>
      <c r="H283" s="41"/>
      <c r="I283" s="41"/>
      <c r="K283" s="21"/>
      <c r="L283" s="21"/>
      <c r="M283" s="21"/>
      <c r="N283" s="21"/>
      <c r="O283" s="21"/>
      <c r="Q283" s="21"/>
      <c r="S283" s="21"/>
    </row>
    <row r="284" spans="6:19" x14ac:dyDescent="0.25">
      <c r="F284" s="25"/>
      <c r="G284" s="42"/>
      <c r="H284" s="41"/>
      <c r="I284" s="41"/>
      <c r="K284" s="21"/>
      <c r="L284" s="21"/>
      <c r="M284" s="21"/>
      <c r="N284" s="21"/>
      <c r="O284" s="21"/>
      <c r="Q284" s="21"/>
      <c r="S284" s="21"/>
    </row>
    <row r="285" spans="6:19" x14ac:dyDescent="0.25">
      <c r="F285" s="25"/>
      <c r="G285" s="42"/>
      <c r="H285" s="41"/>
      <c r="I285" s="41"/>
      <c r="K285" s="21"/>
      <c r="L285" s="21"/>
      <c r="M285" s="21"/>
      <c r="N285" s="21"/>
      <c r="O285" s="21"/>
      <c r="Q285" s="21"/>
      <c r="S285" s="21"/>
    </row>
    <row r="286" spans="6:19" x14ac:dyDescent="0.25">
      <c r="F286" s="25"/>
      <c r="G286" s="42"/>
      <c r="H286" s="41"/>
      <c r="I286" s="41"/>
      <c r="K286" s="21"/>
      <c r="L286" s="21"/>
      <c r="M286" s="21"/>
      <c r="N286" s="21"/>
      <c r="O286" s="21"/>
      <c r="Q286" s="21"/>
      <c r="S286" s="21"/>
    </row>
    <row r="287" spans="6:19" x14ac:dyDescent="0.25">
      <c r="F287" s="25"/>
      <c r="G287" s="42"/>
      <c r="H287" s="41"/>
      <c r="I287" s="41"/>
      <c r="K287" s="21"/>
      <c r="L287" s="21"/>
      <c r="M287" s="21"/>
      <c r="N287" s="21"/>
      <c r="O287" s="21"/>
      <c r="Q287" s="21"/>
      <c r="S287" s="21"/>
    </row>
    <row r="288" spans="6:19" x14ac:dyDescent="0.25">
      <c r="F288" s="25"/>
      <c r="G288" s="42"/>
      <c r="H288" s="41"/>
      <c r="I288" s="41"/>
      <c r="K288" s="21"/>
      <c r="L288" s="21"/>
      <c r="M288" s="21"/>
      <c r="N288" s="21"/>
      <c r="O288" s="21"/>
      <c r="Q288" s="21"/>
      <c r="S288" s="21"/>
    </row>
    <row r="289" spans="6:19" x14ac:dyDescent="0.25">
      <c r="F289" s="25"/>
      <c r="G289" s="42"/>
      <c r="H289" s="41"/>
      <c r="I289" s="41"/>
      <c r="K289" s="21"/>
      <c r="L289" s="21"/>
      <c r="M289" s="21"/>
      <c r="N289" s="21"/>
      <c r="O289" s="21"/>
      <c r="Q289" s="21"/>
      <c r="S289" s="21"/>
    </row>
    <row r="290" spans="6:19" x14ac:dyDescent="0.25">
      <c r="F290" s="25"/>
      <c r="G290" s="42"/>
      <c r="H290" s="41"/>
      <c r="I290" s="41"/>
      <c r="K290" s="21"/>
      <c r="L290" s="21"/>
      <c r="M290" s="21"/>
      <c r="N290" s="21"/>
      <c r="O290" s="21"/>
      <c r="Q290" s="21"/>
      <c r="S290" s="21"/>
    </row>
    <row r="291" spans="6:19" x14ac:dyDescent="0.25">
      <c r="F291" s="25"/>
      <c r="G291" s="42"/>
      <c r="H291" s="41"/>
      <c r="I291" s="41"/>
      <c r="K291" s="21"/>
      <c r="L291" s="21"/>
      <c r="M291" s="21"/>
      <c r="N291" s="21"/>
      <c r="O291" s="21"/>
      <c r="Q291" s="21"/>
      <c r="S291" s="21"/>
    </row>
    <row r="292" spans="6:19" x14ac:dyDescent="0.25">
      <c r="F292" s="25"/>
      <c r="G292" s="42"/>
      <c r="H292" s="41"/>
      <c r="I292" s="41"/>
      <c r="K292" s="21"/>
      <c r="L292" s="21"/>
      <c r="M292" s="21"/>
      <c r="N292" s="21"/>
      <c r="O292" s="21"/>
      <c r="Q292" s="21"/>
      <c r="S292" s="21"/>
    </row>
    <row r="293" spans="6:19" x14ac:dyDescent="0.25">
      <c r="F293" s="25"/>
      <c r="G293" s="42"/>
      <c r="H293" s="41"/>
      <c r="I293" s="41"/>
      <c r="K293" s="21"/>
      <c r="L293" s="21"/>
      <c r="M293" s="21"/>
      <c r="N293" s="21"/>
      <c r="O293" s="21"/>
      <c r="Q293" s="21"/>
      <c r="S293" s="21"/>
    </row>
    <row r="294" spans="6:19" x14ac:dyDescent="0.25">
      <c r="F294" s="25"/>
      <c r="G294" s="42"/>
      <c r="H294" s="41"/>
      <c r="I294" s="41"/>
      <c r="K294" s="21"/>
      <c r="L294" s="21"/>
      <c r="M294" s="21"/>
      <c r="N294" s="21"/>
      <c r="O294" s="21"/>
      <c r="Q294" s="21"/>
      <c r="S294" s="21"/>
    </row>
    <row r="295" spans="6:19" x14ac:dyDescent="0.25">
      <c r="F295" s="25"/>
      <c r="G295" s="42"/>
      <c r="H295" s="41"/>
      <c r="I295" s="41"/>
      <c r="K295" s="21"/>
      <c r="L295" s="21"/>
      <c r="M295" s="21"/>
      <c r="N295" s="21"/>
      <c r="O295" s="21"/>
      <c r="Q295" s="21"/>
      <c r="S295" s="21"/>
    </row>
    <row r="296" spans="6:19" x14ac:dyDescent="0.25">
      <c r="F296" s="25"/>
      <c r="G296" s="42"/>
      <c r="H296" s="41"/>
      <c r="I296" s="41"/>
      <c r="K296" s="21"/>
      <c r="L296" s="21"/>
      <c r="M296" s="21"/>
      <c r="N296" s="21"/>
      <c r="O296" s="21"/>
      <c r="Q296" s="21"/>
      <c r="S296" s="21"/>
    </row>
    <row r="297" spans="6:19" x14ac:dyDescent="0.25">
      <c r="F297" s="25"/>
      <c r="G297" s="42"/>
      <c r="H297" s="41"/>
      <c r="I297" s="41"/>
      <c r="K297" s="21"/>
      <c r="L297" s="21"/>
      <c r="M297" s="21"/>
      <c r="N297" s="21"/>
      <c r="O297" s="21"/>
      <c r="Q297" s="21"/>
      <c r="S297" s="21"/>
    </row>
    <row r="298" spans="6:19" x14ac:dyDescent="0.25">
      <c r="F298" s="25"/>
      <c r="G298" s="42"/>
      <c r="H298" s="41"/>
      <c r="I298" s="41"/>
      <c r="K298" s="21"/>
      <c r="L298" s="21"/>
      <c r="M298" s="21"/>
      <c r="N298" s="21"/>
      <c r="O298" s="21"/>
      <c r="Q298" s="21"/>
      <c r="S298" s="21"/>
    </row>
    <row r="299" spans="6:19" x14ac:dyDescent="0.25">
      <c r="F299" s="25"/>
      <c r="G299" s="42"/>
      <c r="H299" s="41"/>
      <c r="I299" s="41"/>
      <c r="K299" s="21"/>
      <c r="L299" s="21"/>
      <c r="M299" s="21"/>
      <c r="N299" s="21"/>
      <c r="O299" s="21"/>
      <c r="Q299" s="21"/>
      <c r="S299" s="21"/>
    </row>
    <row r="300" spans="6:19" x14ac:dyDescent="0.25">
      <c r="F300" s="25"/>
      <c r="G300" s="42"/>
      <c r="H300" s="41"/>
      <c r="I300" s="41"/>
      <c r="K300" s="21"/>
      <c r="L300" s="21"/>
      <c r="M300" s="21"/>
      <c r="N300" s="21"/>
      <c r="O300" s="21"/>
      <c r="Q300" s="21"/>
      <c r="S300" s="21"/>
    </row>
    <row r="301" spans="6:19" x14ac:dyDescent="0.25">
      <c r="F301" s="25"/>
      <c r="G301" s="42"/>
      <c r="H301" s="41"/>
      <c r="I301" s="41"/>
      <c r="K301" s="21"/>
      <c r="L301" s="21"/>
      <c r="M301" s="21"/>
      <c r="N301" s="21"/>
      <c r="O301" s="21"/>
      <c r="Q301" s="21"/>
      <c r="S301" s="21"/>
    </row>
    <row r="302" spans="6:19" x14ac:dyDescent="0.25">
      <c r="F302" s="25"/>
      <c r="G302" s="42"/>
      <c r="H302" s="41"/>
      <c r="I302" s="41"/>
      <c r="K302" s="21"/>
      <c r="L302" s="21"/>
      <c r="M302" s="21"/>
      <c r="N302" s="21"/>
      <c r="O302" s="21"/>
      <c r="Q302" s="21"/>
      <c r="S302" s="21"/>
    </row>
    <row r="303" spans="6:19" x14ac:dyDescent="0.25">
      <c r="F303" s="25"/>
      <c r="G303" s="42"/>
      <c r="H303" s="41"/>
      <c r="I303" s="41"/>
      <c r="K303" s="21"/>
      <c r="L303" s="21"/>
      <c r="M303" s="21"/>
      <c r="N303" s="21"/>
      <c r="O303" s="21"/>
      <c r="Q303" s="21"/>
      <c r="S303" s="21"/>
    </row>
    <row r="304" spans="6:19" x14ac:dyDescent="0.25">
      <c r="F304" s="25"/>
      <c r="G304" s="42"/>
      <c r="H304" s="41"/>
      <c r="I304" s="41"/>
      <c r="K304" s="21"/>
      <c r="L304" s="21"/>
      <c r="M304" s="21"/>
      <c r="N304" s="21"/>
      <c r="O304" s="21"/>
      <c r="Q304" s="21"/>
      <c r="S304" s="21"/>
    </row>
    <row r="305" spans="6:19" x14ac:dyDescent="0.25">
      <c r="F305" s="25"/>
      <c r="G305" s="42"/>
      <c r="H305" s="41"/>
      <c r="I305" s="41"/>
      <c r="K305" s="21"/>
      <c r="L305" s="21"/>
      <c r="M305" s="21"/>
      <c r="N305" s="21"/>
      <c r="O305" s="21"/>
      <c r="Q305" s="21"/>
      <c r="S305" s="21"/>
    </row>
    <row r="306" spans="6:19" x14ac:dyDescent="0.25">
      <c r="F306" s="25"/>
      <c r="G306" s="42"/>
      <c r="H306" s="41"/>
      <c r="I306" s="41"/>
      <c r="K306" s="21"/>
      <c r="L306" s="21"/>
      <c r="M306" s="21"/>
      <c r="N306" s="21"/>
      <c r="O306" s="21"/>
      <c r="Q306" s="21"/>
      <c r="S306" s="21"/>
    </row>
    <row r="307" spans="6:19" x14ac:dyDescent="0.25">
      <c r="F307" s="25"/>
      <c r="G307" s="42"/>
      <c r="H307" s="41"/>
      <c r="I307" s="41"/>
      <c r="K307" s="21"/>
      <c r="L307" s="21"/>
      <c r="M307" s="21"/>
      <c r="N307" s="21"/>
      <c r="O307" s="21"/>
      <c r="Q307" s="21"/>
      <c r="S307" s="21"/>
    </row>
    <row r="308" spans="6:19" x14ac:dyDescent="0.25">
      <c r="F308" s="25"/>
      <c r="G308" s="42"/>
      <c r="H308" s="41"/>
      <c r="I308" s="41"/>
      <c r="K308" s="21"/>
      <c r="L308" s="21"/>
      <c r="M308" s="21"/>
      <c r="N308" s="21"/>
      <c r="O308" s="21"/>
      <c r="Q308" s="21"/>
      <c r="S308" s="21"/>
    </row>
    <row r="309" spans="6:19" x14ac:dyDescent="0.25">
      <c r="F309" s="25"/>
      <c r="G309" s="42"/>
      <c r="H309" s="41"/>
      <c r="I309" s="41"/>
      <c r="K309" s="21"/>
      <c r="L309" s="21"/>
      <c r="M309" s="21"/>
      <c r="N309" s="21"/>
      <c r="O309" s="21"/>
      <c r="Q309" s="21"/>
      <c r="S309" s="21"/>
    </row>
    <row r="310" spans="6:19" x14ac:dyDescent="0.25">
      <c r="F310" s="25"/>
      <c r="G310" s="42"/>
      <c r="H310" s="41"/>
      <c r="I310" s="41"/>
      <c r="K310" s="21"/>
      <c r="L310" s="21"/>
      <c r="M310" s="21"/>
      <c r="N310" s="21"/>
      <c r="O310" s="21"/>
      <c r="Q310" s="21"/>
      <c r="S310" s="21"/>
    </row>
    <row r="311" spans="6:19" x14ac:dyDescent="0.25">
      <c r="F311" s="25"/>
      <c r="G311" s="42"/>
      <c r="H311" s="41"/>
      <c r="I311" s="41"/>
      <c r="K311" s="21"/>
      <c r="L311" s="21"/>
      <c r="M311" s="21"/>
      <c r="N311" s="21"/>
      <c r="O311" s="21"/>
      <c r="Q311" s="21"/>
      <c r="S311" s="21"/>
    </row>
    <row r="312" spans="6:19" x14ac:dyDescent="0.25">
      <c r="F312" s="25"/>
      <c r="G312" s="42"/>
      <c r="H312" s="41"/>
      <c r="I312" s="41"/>
      <c r="K312" s="21"/>
      <c r="L312" s="21"/>
      <c r="M312" s="21"/>
      <c r="N312" s="21"/>
      <c r="O312" s="21"/>
      <c r="Q312" s="21"/>
      <c r="S312" s="21"/>
    </row>
    <row r="313" spans="6:19" x14ac:dyDescent="0.25">
      <c r="F313" s="25"/>
      <c r="G313" s="42"/>
      <c r="H313" s="41"/>
      <c r="I313" s="41"/>
      <c r="K313" s="21"/>
      <c r="L313" s="21"/>
      <c r="M313" s="21"/>
      <c r="N313" s="21"/>
      <c r="O313" s="21"/>
      <c r="Q313" s="21"/>
      <c r="S313" s="21"/>
    </row>
    <row r="314" spans="6:19" x14ac:dyDescent="0.25">
      <c r="F314" s="25"/>
      <c r="G314" s="42"/>
      <c r="H314" s="41"/>
      <c r="I314" s="41"/>
      <c r="K314" s="21"/>
      <c r="L314" s="21"/>
      <c r="M314" s="21"/>
      <c r="N314" s="21"/>
      <c r="O314" s="21"/>
      <c r="Q314" s="21"/>
      <c r="S314" s="21"/>
    </row>
    <row r="315" spans="6:19" x14ac:dyDescent="0.25">
      <c r="F315" s="25"/>
      <c r="G315" s="42"/>
      <c r="H315" s="41"/>
      <c r="I315" s="41"/>
      <c r="K315" s="21"/>
      <c r="L315" s="21"/>
      <c r="M315" s="21"/>
      <c r="N315" s="21"/>
      <c r="O315" s="21"/>
      <c r="Q315" s="21"/>
      <c r="S315" s="21"/>
    </row>
    <row r="316" spans="6:19" x14ac:dyDescent="0.25">
      <c r="F316" s="25"/>
      <c r="G316" s="42"/>
      <c r="H316" s="41"/>
      <c r="I316" s="41"/>
      <c r="K316" s="21"/>
      <c r="L316" s="21"/>
      <c r="M316" s="21"/>
      <c r="N316" s="21"/>
      <c r="O316" s="21"/>
      <c r="Q316" s="21"/>
      <c r="S316" s="21"/>
    </row>
    <row r="317" spans="6:19" x14ac:dyDescent="0.25">
      <c r="F317" s="25"/>
      <c r="G317" s="42"/>
      <c r="H317" s="41"/>
      <c r="I317" s="41"/>
      <c r="K317" s="21"/>
      <c r="L317" s="21"/>
      <c r="M317" s="21"/>
      <c r="N317" s="21"/>
      <c r="O317" s="21"/>
      <c r="Q317" s="21"/>
      <c r="S317" s="21"/>
    </row>
    <row r="318" spans="6:19" x14ac:dyDescent="0.25">
      <c r="F318" s="25"/>
      <c r="G318" s="42"/>
      <c r="H318" s="41"/>
      <c r="I318" s="41"/>
      <c r="K318" s="21"/>
      <c r="L318" s="21"/>
      <c r="M318" s="21"/>
      <c r="N318" s="21"/>
      <c r="O318" s="21"/>
      <c r="Q318" s="21"/>
      <c r="S318" s="21"/>
    </row>
    <row r="319" spans="6:19" x14ac:dyDescent="0.25">
      <c r="F319" s="25"/>
      <c r="G319" s="42"/>
      <c r="H319" s="41"/>
      <c r="I319" s="41"/>
      <c r="K319" s="21"/>
      <c r="L319" s="21"/>
      <c r="M319" s="21"/>
      <c r="N319" s="21"/>
      <c r="O319" s="21"/>
      <c r="Q319" s="21"/>
      <c r="S319" s="21"/>
    </row>
    <row r="320" spans="6:19" x14ac:dyDescent="0.25">
      <c r="F320" s="25"/>
      <c r="G320" s="42"/>
      <c r="H320" s="41"/>
      <c r="I320" s="41"/>
      <c r="K320" s="21"/>
      <c r="L320" s="21"/>
      <c r="M320" s="21"/>
      <c r="N320" s="21"/>
      <c r="O320" s="21"/>
      <c r="Q320" s="21"/>
      <c r="S320" s="21"/>
    </row>
    <row r="321" spans="6:19" x14ac:dyDescent="0.25">
      <c r="F321" s="25"/>
      <c r="G321" s="42"/>
      <c r="H321" s="41"/>
      <c r="I321" s="41"/>
      <c r="K321" s="21"/>
      <c r="L321" s="21"/>
      <c r="M321" s="21"/>
      <c r="N321" s="21"/>
      <c r="O321" s="21"/>
      <c r="Q321" s="21"/>
      <c r="S321" s="21"/>
    </row>
    <row r="322" spans="6:19" x14ac:dyDescent="0.25">
      <c r="F322" s="25"/>
      <c r="G322" s="42"/>
      <c r="H322" s="41"/>
      <c r="I322" s="41"/>
      <c r="K322" s="21"/>
      <c r="L322" s="21"/>
      <c r="M322" s="21"/>
      <c r="N322" s="21"/>
      <c r="O322" s="21"/>
      <c r="Q322" s="21"/>
      <c r="S322" s="21"/>
    </row>
    <row r="323" spans="6:19" x14ac:dyDescent="0.25">
      <c r="F323" s="25"/>
      <c r="G323" s="42"/>
      <c r="H323" s="41"/>
      <c r="I323" s="41"/>
      <c r="K323" s="21"/>
      <c r="L323" s="21"/>
      <c r="M323" s="21"/>
      <c r="N323" s="21"/>
      <c r="O323" s="21"/>
      <c r="Q323" s="21"/>
      <c r="S323" s="21"/>
    </row>
    <row r="324" spans="6:19" x14ac:dyDescent="0.25">
      <c r="F324" s="25"/>
      <c r="G324" s="42"/>
      <c r="H324" s="41"/>
      <c r="I324" s="41"/>
      <c r="K324" s="21"/>
      <c r="L324" s="21"/>
      <c r="M324" s="21"/>
      <c r="N324" s="21"/>
      <c r="O324" s="21"/>
      <c r="Q324" s="21"/>
      <c r="S324" s="21"/>
    </row>
    <row r="325" spans="6:19" x14ac:dyDescent="0.25">
      <c r="F325" s="25"/>
      <c r="G325" s="42"/>
      <c r="H325" s="41"/>
      <c r="I325" s="41"/>
      <c r="K325" s="21"/>
      <c r="L325" s="21"/>
      <c r="M325" s="21"/>
      <c r="N325" s="21"/>
      <c r="O325" s="21"/>
      <c r="Q325" s="21"/>
      <c r="S325" s="21"/>
    </row>
    <row r="326" spans="6:19" x14ac:dyDescent="0.25">
      <c r="F326" s="25"/>
      <c r="G326" s="42"/>
      <c r="H326" s="41"/>
      <c r="I326" s="41"/>
      <c r="K326" s="21"/>
      <c r="L326" s="21"/>
      <c r="M326" s="21"/>
      <c r="N326" s="21"/>
      <c r="O326" s="21"/>
      <c r="Q326" s="21"/>
      <c r="S326" s="21"/>
    </row>
    <row r="327" spans="6:19" x14ac:dyDescent="0.25">
      <c r="F327" s="25"/>
      <c r="G327" s="42"/>
      <c r="H327" s="41"/>
      <c r="I327" s="41"/>
      <c r="K327" s="21"/>
      <c r="L327" s="21"/>
      <c r="M327" s="21"/>
      <c r="N327" s="21"/>
      <c r="O327" s="21"/>
      <c r="Q327" s="21"/>
      <c r="S327" s="21"/>
    </row>
    <row r="328" spans="6:19" x14ac:dyDescent="0.25">
      <c r="F328" s="25"/>
      <c r="G328" s="42"/>
      <c r="H328" s="41"/>
      <c r="I328" s="41"/>
      <c r="K328" s="21"/>
      <c r="L328" s="21"/>
      <c r="M328" s="21"/>
      <c r="N328" s="21"/>
      <c r="O328" s="21"/>
      <c r="Q328" s="21"/>
      <c r="S328" s="21"/>
    </row>
    <row r="329" spans="6:19" x14ac:dyDescent="0.25">
      <c r="F329" s="25"/>
      <c r="G329" s="42"/>
      <c r="H329" s="41"/>
      <c r="I329" s="41"/>
      <c r="K329" s="21"/>
      <c r="L329" s="21"/>
      <c r="M329" s="21"/>
      <c r="N329" s="21"/>
      <c r="O329" s="21"/>
      <c r="Q329" s="21"/>
      <c r="S329" s="21"/>
    </row>
    <row r="330" spans="6:19" x14ac:dyDescent="0.25">
      <c r="F330" s="25"/>
      <c r="G330" s="42"/>
      <c r="H330" s="41"/>
      <c r="I330" s="41"/>
      <c r="K330" s="21"/>
      <c r="L330" s="21"/>
      <c r="M330" s="21"/>
      <c r="N330" s="21"/>
      <c r="O330" s="21"/>
      <c r="Q330" s="21"/>
      <c r="S330" s="21"/>
    </row>
    <row r="331" spans="6:19" x14ac:dyDescent="0.25">
      <c r="F331" s="25"/>
      <c r="G331" s="42"/>
      <c r="H331" s="41"/>
      <c r="I331" s="41"/>
      <c r="K331" s="21"/>
      <c r="L331" s="21"/>
      <c r="M331" s="21"/>
      <c r="N331" s="21"/>
      <c r="O331" s="21"/>
      <c r="Q331" s="21"/>
      <c r="S331" s="21"/>
    </row>
    <row r="332" spans="6:19" x14ac:dyDescent="0.25">
      <c r="F332" s="25"/>
      <c r="G332" s="42"/>
      <c r="H332" s="41"/>
      <c r="I332" s="41"/>
      <c r="K332" s="21"/>
      <c r="L332" s="21"/>
      <c r="M332" s="21"/>
      <c r="N332" s="21"/>
      <c r="O332" s="21"/>
      <c r="Q332" s="21"/>
      <c r="S332" s="21"/>
    </row>
    <row r="333" spans="6:19" x14ac:dyDescent="0.25">
      <c r="F333" s="25"/>
      <c r="G333" s="42"/>
      <c r="H333" s="41"/>
      <c r="I333" s="41"/>
      <c r="K333" s="21"/>
      <c r="L333" s="21"/>
      <c r="M333" s="21"/>
      <c r="N333" s="21"/>
      <c r="O333" s="21"/>
      <c r="Q333" s="21"/>
      <c r="S333" s="21"/>
    </row>
    <row r="334" spans="6:19" x14ac:dyDescent="0.25">
      <c r="F334" s="25"/>
      <c r="G334" s="42"/>
      <c r="H334" s="41"/>
      <c r="I334" s="41"/>
      <c r="K334" s="21"/>
      <c r="L334" s="21"/>
      <c r="M334" s="21"/>
      <c r="N334" s="21"/>
      <c r="O334" s="21"/>
      <c r="Q334" s="21"/>
      <c r="S334" s="21"/>
    </row>
    <row r="335" spans="6:19" x14ac:dyDescent="0.25">
      <c r="F335" s="25"/>
      <c r="G335" s="42"/>
      <c r="H335" s="41"/>
      <c r="I335" s="41"/>
      <c r="K335" s="21"/>
      <c r="L335" s="21"/>
      <c r="M335" s="21"/>
      <c r="N335" s="21"/>
      <c r="O335" s="21"/>
      <c r="Q335" s="21"/>
      <c r="S335" s="21"/>
    </row>
    <row r="336" spans="6:19" x14ac:dyDescent="0.25">
      <c r="F336" s="25"/>
      <c r="G336" s="42"/>
      <c r="H336" s="41"/>
      <c r="I336" s="41"/>
      <c r="K336" s="21"/>
      <c r="L336" s="21"/>
      <c r="M336" s="21"/>
      <c r="N336" s="21"/>
      <c r="O336" s="21"/>
      <c r="Q336" s="21"/>
      <c r="S336" s="21"/>
    </row>
    <row r="337" spans="6:19" x14ac:dyDescent="0.25">
      <c r="F337" s="25"/>
      <c r="G337" s="42"/>
      <c r="H337" s="41"/>
      <c r="I337" s="41"/>
      <c r="K337" s="21"/>
      <c r="L337" s="21"/>
      <c r="M337" s="21"/>
      <c r="N337" s="21"/>
      <c r="O337" s="21"/>
      <c r="Q337" s="21"/>
      <c r="S337" s="21"/>
    </row>
    <row r="338" spans="6:19" x14ac:dyDescent="0.25">
      <c r="F338" s="25"/>
      <c r="G338" s="42"/>
      <c r="H338" s="41"/>
      <c r="I338" s="41"/>
      <c r="K338" s="21"/>
      <c r="L338" s="21"/>
      <c r="M338" s="21"/>
      <c r="N338" s="21"/>
      <c r="O338" s="21"/>
      <c r="Q338" s="21"/>
      <c r="S338" s="21"/>
    </row>
    <row r="339" spans="6:19" x14ac:dyDescent="0.25">
      <c r="F339" s="25"/>
      <c r="G339" s="42"/>
      <c r="H339" s="41"/>
      <c r="I339" s="41"/>
      <c r="K339" s="21"/>
      <c r="L339" s="21"/>
      <c r="M339" s="21"/>
      <c r="N339" s="21"/>
      <c r="O339" s="21"/>
      <c r="Q339" s="21"/>
      <c r="S339" s="21"/>
    </row>
    <row r="340" spans="6:19" x14ac:dyDescent="0.25">
      <c r="F340" s="25"/>
      <c r="G340" s="42"/>
      <c r="H340" s="41"/>
      <c r="I340" s="41"/>
      <c r="K340" s="21"/>
      <c r="L340" s="21"/>
      <c r="M340" s="21"/>
      <c r="N340" s="21"/>
      <c r="O340" s="21"/>
      <c r="Q340" s="21"/>
      <c r="S340" s="21"/>
    </row>
    <row r="341" spans="6:19" x14ac:dyDescent="0.25">
      <c r="F341" s="25"/>
      <c r="G341" s="42"/>
      <c r="H341" s="41"/>
      <c r="I341" s="41"/>
      <c r="K341" s="21"/>
      <c r="L341" s="21"/>
      <c r="M341" s="21"/>
      <c r="N341" s="21"/>
      <c r="O341" s="21"/>
      <c r="Q341" s="21"/>
      <c r="S341" s="21"/>
    </row>
    <row r="342" spans="6:19" x14ac:dyDescent="0.25">
      <c r="F342" s="25"/>
      <c r="G342" s="42"/>
      <c r="H342" s="41"/>
      <c r="I342" s="41"/>
      <c r="K342" s="21"/>
      <c r="L342" s="21"/>
      <c r="M342" s="21"/>
      <c r="N342" s="21"/>
      <c r="O342" s="21"/>
      <c r="Q342" s="21"/>
      <c r="S342" s="21"/>
    </row>
    <row r="343" spans="6:19" x14ac:dyDescent="0.25">
      <c r="F343" s="25"/>
      <c r="G343" s="42"/>
      <c r="H343" s="41"/>
      <c r="I343" s="41"/>
      <c r="K343" s="21"/>
      <c r="L343" s="21"/>
      <c r="M343" s="21"/>
      <c r="N343" s="21"/>
      <c r="O343" s="21"/>
      <c r="Q343" s="21"/>
      <c r="S343" s="21"/>
    </row>
    <row r="344" spans="6:19" x14ac:dyDescent="0.25">
      <c r="F344" s="25"/>
      <c r="G344" s="42"/>
      <c r="H344" s="41"/>
      <c r="I344" s="41"/>
      <c r="K344" s="21"/>
      <c r="L344" s="21"/>
      <c r="M344" s="21"/>
      <c r="N344" s="21"/>
      <c r="O344" s="21"/>
      <c r="Q344" s="21"/>
      <c r="S344" s="21"/>
    </row>
    <row r="345" spans="6:19" x14ac:dyDescent="0.25">
      <c r="F345" s="25"/>
      <c r="G345" s="42"/>
      <c r="H345" s="41"/>
      <c r="I345" s="41"/>
      <c r="K345" s="21"/>
      <c r="L345" s="21"/>
      <c r="M345" s="21"/>
      <c r="N345" s="21"/>
      <c r="O345" s="21"/>
      <c r="Q345" s="21"/>
      <c r="S345" s="21"/>
    </row>
    <row r="346" spans="6:19" x14ac:dyDescent="0.25">
      <c r="F346" s="25"/>
      <c r="G346" s="42"/>
      <c r="H346" s="41"/>
      <c r="I346" s="41"/>
      <c r="K346" s="21"/>
      <c r="L346" s="21"/>
      <c r="M346" s="21"/>
      <c r="N346" s="21"/>
      <c r="O346" s="21"/>
      <c r="Q346" s="21"/>
      <c r="S346" s="21"/>
    </row>
    <row r="347" spans="6:19" x14ac:dyDescent="0.25">
      <c r="F347" s="25"/>
      <c r="G347" s="42"/>
      <c r="H347" s="41"/>
      <c r="I347" s="41"/>
      <c r="K347" s="21"/>
      <c r="L347" s="21"/>
      <c r="M347" s="21"/>
      <c r="N347" s="21"/>
      <c r="O347" s="21"/>
      <c r="Q347" s="21"/>
      <c r="S347" s="21"/>
    </row>
    <row r="348" spans="6:19" x14ac:dyDescent="0.25">
      <c r="F348" s="25"/>
      <c r="G348" s="42"/>
      <c r="H348" s="41"/>
      <c r="I348" s="41"/>
      <c r="K348" s="21"/>
      <c r="L348" s="21"/>
      <c r="M348" s="21"/>
      <c r="N348" s="21"/>
      <c r="O348" s="21"/>
      <c r="Q348" s="21"/>
      <c r="S348" s="21"/>
    </row>
    <row r="349" spans="6:19" x14ac:dyDescent="0.25">
      <c r="F349" s="25"/>
      <c r="G349" s="42"/>
      <c r="H349" s="41"/>
      <c r="I349" s="41"/>
      <c r="K349" s="21"/>
      <c r="L349" s="21"/>
      <c r="M349" s="21"/>
      <c r="N349" s="21"/>
      <c r="O349" s="21"/>
      <c r="Q349" s="21"/>
      <c r="S349" s="21"/>
    </row>
    <row r="350" spans="6:19" x14ac:dyDescent="0.25">
      <c r="F350" s="25"/>
      <c r="G350" s="42"/>
      <c r="H350" s="41"/>
      <c r="I350" s="41"/>
      <c r="K350" s="21"/>
      <c r="L350" s="21"/>
      <c r="M350" s="21"/>
      <c r="N350" s="21"/>
      <c r="O350" s="21"/>
      <c r="Q350" s="21"/>
      <c r="S350" s="21"/>
    </row>
    <row r="351" spans="6:19" x14ac:dyDescent="0.25">
      <c r="F351" s="25"/>
      <c r="G351" s="42"/>
      <c r="H351" s="41"/>
      <c r="I351" s="41"/>
      <c r="K351" s="21"/>
      <c r="L351" s="21"/>
      <c r="M351" s="21"/>
      <c r="N351" s="21"/>
      <c r="O351" s="21"/>
      <c r="Q351" s="21"/>
      <c r="S351" s="21"/>
    </row>
    <row r="352" spans="6:19" x14ac:dyDescent="0.25">
      <c r="F352" s="25"/>
      <c r="G352" s="42"/>
      <c r="H352" s="41"/>
      <c r="I352" s="41"/>
      <c r="K352" s="21"/>
      <c r="L352" s="21"/>
      <c r="M352" s="21"/>
      <c r="N352" s="21"/>
      <c r="O352" s="21"/>
      <c r="Q352" s="21"/>
      <c r="S352" s="21"/>
    </row>
    <row r="353" spans="6:19" x14ac:dyDescent="0.25">
      <c r="F353" s="25"/>
      <c r="G353" s="42"/>
      <c r="H353" s="41"/>
      <c r="I353" s="41"/>
      <c r="K353" s="21"/>
      <c r="L353" s="21"/>
      <c r="M353" s="21"/>
      <c r="N353" s="21"/>
      <c r="O353" s="21"/>
      <c r="Q353" s="21"/>
      <c r="S353" s="21"/>
    </row>
    <row r="354" spans="6:19" x14ac:dyDescent="0.25">
      <c r="F354" s="25"/>
      <c r="G354" s="42"/>
      <c r="H354" s="41"/>
      <c r="I354" s="41"/>
      <c r="K354" s="21"/>
      <c r="L354" s="21"/>
      <c r="M354" s="21"/>
      <c r="N354" s="21"/>
      <c r="O354" s="21"/>
      <c r="Q354" s="21"/>
      <c r="S354" s="21"/>
    </row>
    <row r="355" spans="6:19" x14ac:dyDescent="0.25">
      <c r="F355" s="25"/>
      <c r="G355" s="42"/>
      <c r="H355" s="41"/>
      <c r="I355" s="41"/>
      <c r="K355" s="21"/>
      <c r="L355" s="21"/>
      <c r="M355" s="21"/>
      <c r="N355" s="21"/>
      <c r="O355" s="21"/>
      <c r="Q355" s="21"/>
      <c r="S355" s="21"/>
    </row>
    <row r="356" spans="6:19" x14ac:dyDescent="0.25">
      <c r="F356" s="25"/>
      <c r="G356" s="42"/>
      <c r="H356" s="41"/>
      <c r="I356" s="41"/>
      <c r="K356" s="21"/>
      <c r="L356" s="21"/>
      <c r="M356" s="21"/>
      <c r="N356" s="21"/>
      <c r="O356" s="21"/>
      <c r="Q356" s="21"/>
      <c r="S356" s="21"/>
    </row>
    <row r="357" spans="6:19" x14ac:dyDescent="0.25">
      <c r="F357" s="25"/>
      <c r="G357" s="42"/>
      <c r="H357" s="41"/>
      <c r="I357" s="41"/>
      <c r="K357" s="21"/>
      <c r="L357" s="21"/>
      <c r="M357" s="21"/>
      <c r="N357" s="21"/>
      <c r="O357" s="21"/>
      <c r="Q357" s="21"/>
      <c r="S357" s="21"/>
    </row>
    <row r="358" spans="6:19" x14ac:dyDescent="0.25">
      <c r="F358" s="25"/>
      <c r="G358" s="42"/>
      <c r="H358" s="41"/>
      <c r="I358" s="41"/>
      <c r="K358" s="21"/>
      <c r="L358" s="21"/>
      <c r="M358" s="21"/>
      <c r="N358" s="21"/>
      <c r="O358" s="21"/>
      <c r="Q358" s="21"/>
      <c r="S358" s="21"/>
    </row>
    <row r="359" spans="6:19" x14ac:dyDescent="0.25">
      <c r="F359" s="25"/>
      <c r="G359" s="42"/>
      <c r="H359" s="41"/>
      <c r="I359" s="41"/>
      <c r="K359" s="21"/>
      <c r="L359" s="21"/>
      <c r="M359" s="21"/>
      <c r="N359" s="21"/>
      <c r="O359" s="21"/>
      <c r="Q359" s="21"/>
      <c r="S359" s="21"/>
    </row>
    <row r="360" spans="6:19" x14ac:dyDescent="0.25">
      <c r="F360" s="25"/>
      <c r="G360" s="42"/>
      <c r="H360" s="41"/>
      <c r="I360" s="41"/>
      <c r="K360" s="21"/>
      <c r="L360" s="21"/>
      <c r="M360" s="21"/>
      <c r="N360" s="21"/>
      <c r="O360" s="21"/>
      <c r="Q360" s="21"/>
      <c r="S360" s="21"/>
    </row>
    <row r="361" spans="6:19" x14ac:dyDescent="0.25">
      <c r="F361" s="25"/>
      <c r="G361" s="42"/>
      <c r="H361" s="41"/>
      <c r="I361" s="41"/>
      <c r="K361" s="21"/>
      <c r="L361" s="21"/>
      <c r="M361" s="21"/>
      <c r="N361" s="21"/>
      <c r="O361" s="21"/>
      <c r="Q361" s="21"/>
      <c r="S361" s="21"/>
    </row>
    <row r="362" spans="6:19" x14ac:dyDescent="0.25">
      <c r="F362" s="25"/>
      <c r="G362" s="42"/>
      <c r="H362" s="41"/>
      <c r="I362" s="41"/>
      <c r="K362" s="21"/>
      <c r="L362" s="21"/>
      <c r="M362" s="21"/>
      <c r="N362" s="21"/>
      <c r="O362" s="21"/>
      <c r="Q362" s="21"/>
      <c r="S362" s="21"/>
    </row>
    <row r="363" spans="6:19" x14ac:dyDescent="0.25">
      <c r="F363" s="25"/>
      <c r="G363" s="42"/>
      <c r="H363" s="41"/>
      <c r="I363" s="41"/>
      <c r="K363" s="21"/>
      <c r="L363" s="21"/>
      <c r="M363" s="21"/>
      <c r="N363" s="21"/>
      <c r="O363" s="21"/>
      <c r="Q363" s="21"/>
      <c r="S363" s="21"/>
    </row>
    <row r="364" spans="6:19" x14ac:dyDescent="0.25">
      <c r="F364" s="25"/>
      <c r="G364" s="42"/>
      <c r="H364" s="41"/>
      <c r="I364" s="41"/>
      <c r="K364" s="21"/>
      <c r="L364" s="21"/>
      <c r="M364" s="21"/>
      <c r="N364" s="21"/>
      <c r="O364" s="21"/>
      <c r="Q364" s="21"/>
      <c r="S364" s="21"/>
    </row>
    <row r="365" spans="6:19" x14ac:dyDescent="0.25">
      <c r="F365" s="25"/>
      <c r="G365" s="42"/>
      <c r="H365" s="41"/>
      <c r="I365" s="41"/>
      <c r="K365" s="21"/>
      <c r="L365" s="21"/>
      <c r="M365" s="21"/>
      <c r="N365" s="21"/>
      <c r="O365" s="21"/>
      <c r="Q365" s="21"/>
      <c r="S365" s="21"/>
    </row>
    <row r="366" spans="6:19" x14ac:dyDescent="0.25">
      <c r="F366" s="25"/>
      <c r="G366" s="42"/>
      <c r="H366" s="41"/>
      <c r="I366" s="41"/>
      <c r="K366" s="21"/>
      <c r="L366" s="21"/>
      <c r="M366" s="21"/>
      <c r="N366" s="21"/>
      <c r="O366" s="21"/>
      <c r="Q366" s="21"/>
      <c r="S366" s="21"/>
    </row>
    <row r="367" spans="6:19" x14ac:dyDescent="0.25">
      <c r="F367" s="25"/>
      <c r="G367" s="42"/>
      <c r="H367" s="41"/>
      <c r="I367" s="41"/>
      <c r="K367" s="21"/>
      <c r="L367" s="21"/>
      <c r="M367" s="21"/>
      <c r="N367" s="21"/>
      <c r="O367" s="21"/>
      <c r="Q367" s="21"/>
      <c r="S367" s="21"/>
    </row>
    <row r="368" spans="6:19" x14ac:dyDescent="0.25">
      <c r="F368" s="25"/>
      <c r="G368" s="42"/>
      <c r="H368" s="41"/>
      <c r="I368" s="41"/>
      <c r="K368" s="21"/>
      <c r="L368" s="21"/>
      <c r="M368" s="21"/>
      <c r="N368" s="21"/>
      <c r="O368" s="21"/>
      <c r="Q368" s="21"/>
      <c r="S368" s="21"/>
    </row>
    <row r="369" spans="6:19" x14ac:dyDescent="0.25">
      <c r="F369" s="25"/>
      <c r="G369" s="42"/>
      <c r="H369" s="41"/>
      <c r="I369" s="41"/>
      <c r="K369" s="21"/>
      <c r="L369" s="21"/>
      <c r="M369" s="21"/>
      <c r="N369" s="21"/>
      <c r="O369" s="21"/>
      <c r="Q369" s="21"/>
      <c r="S369" s="21"/>
    </row>
    <row r="370" spans="6:19" x14ac:dyDescent="0.25">
      <c r="F370" s="25"/>
      <c r="G370" s="42"/>
      <c r="H370" s="41"/>
      <c r="I370" s="41"/>
      <c r="K370" s="21"/>
      <c r="L370" s="21"/>
      <c r="M370" s="21"/>
      <c r="N370" s="21"/>
      <c r="O370" s="21"/>
      <c r="Q370" s="21"/>
      <c r="S370" s="21"/>
    </row>
    <row r="371" spans="6:19" x14ac:dyDescent="0.25">
      <c r="F371" s="25"/>
      <c r="G371" s="42"/>
      <c r="H371" s="41"/>
      <c r="I371" s="41"/>
      <c r="K371" s="21"/>
      <c r="L371" s="21"/>
      <c r="M371" s="21"/>
      <c r="N371" s="21"/>
      <c r="O371" s="21"/>
      <c r="Q371" s="21"/>
      <c r="S371" s="21"/>
    </row>
    <row r="372" spans="6:19" x14ac:dyDescent="0.25">
      <c r="F372" s="25"/>
      <c r="G372" s="42"/>
      <c r="H372" s="41"/>
      <c r="I372" s="41"/>
      <c r="K372" s="21"/>
      <c r="L372" s="21"/>
      <c r="M372" s="21"/>
      <c r="N372" s="21"/>
      <c r="O372" s="21"/>
      <c r="Q372" s="21"/>
      <c r="S372" s="21"/>
    </row>
    <row r="373" spans="6:19" x14ac:dyDescent="0.25">
      <c r="F373" s="25"/>
      <c r="G373" s="42"/>
      <c r="H373" s="41"/>
      <c r="I373" s="41"/>
      <c r="K373" s="21"/>
      <c r="L373" s="21"/>
      <c r="M373" s="21"/>
      <c r="N373" s="21"/>
      <c r="O373" s="21"/>
      <c r="Q373" s="21"/>
      <c r="S373" s="21"/>
    </row>
    <row r="374" spans="6:19" x14ac:dyDescent="0.25">
      <c r="F374" s="25"/>
      <c r="G374" s="42"/>
      <c r="H374" s="41"/>
      <c r="I374" s="41"/>
      <c r="K374" s="21"/>
      <c r="L374" s="21"/>
      <c r="M374" s="21"/>
      <c r="N374" s="21"/>
      <c r="O374" s="21"/>
      <c r="Q374" s="21"/>
      <c r="S374" s="21"/>
    </row>
    <row r="375" spans="6:19" x14ac:dyDescent="0.25">
      <c r="F375" s="25"/>
      <c r="G375" s="42"/>
      <c r="H375" s="41"/>
      <c r="I375" s="41"/>
      <c r="K375" s="21"/>
      <c r="L375" s="21"/>
      <c r="M375" s="21"/>
      <c r="N375" s="21"/>
      <c r="O375" s="21"/>
      <c r="Q375" s="21"/>
      <c r="S375" s="21"/>
    </row>
    <row r="376" spans="6:19" x14ac:dyDescent="0.25">
      <c r="F376" s="25"/>
      <c r="G376" s="42"/>
      <c r="H376" s="41"/>
      <c r="I376" s="41"/>
      <c r="K376" s="21"/>
      <c r="L376" s="21"/>
      <c r="M376" s="21"/>
      <c r="N376" s="21"/>
      <c r="O376" s="21"/>
      <c r="Q376" s="21"/>
      <c r="S376" s="21"/>
    </row>
    <row r="377" spans="6:19" x14ac:dyDescent="0.25">
      <c r="F377" s="25"/>
      <c r="G377" s="42"/>
      <c r="H377" s="41"/>
      <c r="I377" s="41"/>
      <c r="K377" s="21"/>
      <c r="L377" s="21"/>
      <c r="M377" s="21"/>
      <c r="N377" s="21"/>
      <c r="O377" s="21"/>
      <c r="Q377" s="21"/>
      <c r="S377" s="21"/>
    </row>
    <row r="378" spans="6:19" x14ac:dyDescent="0.25">
      <c r="F378" s="25"/>
      <c r="G378" s="42"/>
      <c r="H378" s="41"/>
      <c r="I378" s="41"/>
      <c r="K378" s="21"/>
      <c r="L378" s="21"/>
      <c r="M378" s="21"/>
      <c r="N378" s="21"/>
      <c r="O378" s="21"/>
      <c r="Q378" s="21"/>
      <c r="S378" s="21"/>
    </row>
    <row r="379" spans="6:19" x14ac:dyDescent="0.25">
      <c r="F379" s="25"/>
      <c r="G379" s="42"/>
      <c r="H379" s="41"/>
      <c r="I379" s="41"/>
      <c r="K379" s="21"/>
      <c r="L379" s="21"/>
      <c r="M379" s="21"/>
      <c r="N379" s="21"/>
      <c r="O379" s="21"/>
      <c r="Q379" s="21"/>
      <c r="S379" s="21"/>
    </row>
    <row r="380" spans="6:19" x14ac:dyDescent="0.25">
      <c r="F380" s="25"/>
      <c r="G380" s="42"/>
      <c r="H380" s="41"/>
      <c r="I380" s="41"/>
      <c r="K380" s="21"/>
      <c r="L380" s="21"/>
      <c r="M380" s="21"/>
      <c r="N380" s="21"/>
      <c r="O380" s="21"/>
      <c r="Q380" s="21"/>
      <c r="S380" s="21"/>
    </row>
    <row r="381" spans="6:19" x14ac:dyDescent="0.25">
      <c r="F381" s="25"/>
      <c r="G381" s="42"/>
      <c r="H381" s="41"/>
      <c r="I381" s="41"/>
      <c r="K381" s="21"/>
      <c r="L381" s="21"/>
      <c r="M381" s="21"/>
      <c r="N381" s="21"/>
      <c r="O381" s="21"/>
      <c r="Q381" s="21"/>
      <c r="S381" s="21"/>
    </row>
    <row r="382" spans="6:19" x14ac:dyDescent="0.25">
      <c r="F382" s="25"/>
      <c r="G382" s="42"/>
      <c r="H382" s="41"/>
      <c r="I382" s="41"/>
      <c r="K382" s="21"/>
      <c r="L382" s="21"/>
      <c r="M382" s="21"/>
      <c r="N382" s="21"/>
      <c r="O382" s="21"/>
      <c r="Q382" s="21"/>
      <c r="S382" s="21"/>
    </row>
    <row r="383" spans="6:19" x14ac:dyDescent="0.25">
      <c r="F383" s="25"/>
      <c r="G383" s="42"/>
      <c r="H383" s="41"/>
      <c r="I383" s="41"/>
      <c r="K383" s="21"/>
      <c r="L383" s="21"/>
      <c r="M383" s="21"/>
      <c r="N383" s="21"/>
      <c r="O383" s="21"/>
      <c r="Q383" s="21"/>
      <c r="S383" s="21"/>
    </row>
    <row r="384" spans="6:19" x14ac:dyDescent="0.25">
      <c r="F384" s="25"/>
      <c r="G384" s="42"/>
      <c r="H384" s="41"/>
      <c r="I384" s="41"/>
      <c r="K384" s="21"/>
      <c r="L384" s="21"/>
      <c r="M384" s="21"/>
      <c r="N384" s="21"/>
      <c r="O384" s="21"/>
      <c r="Q384" s="21"/>
      <c r="S384" s="21"/>
    </row>
    <row r="385" spans="6:19" x14ac:dyDescent="0.25">
      <c r="F385" s="25"/>
      <c r="G385" s="42"/>
      <c r="H385" s="41"/>
      <c r="I385" s="41"/>
      <c r="K385" s="21"/>
      <c r="L385" s="21"/>
      <c r="M385" s="21"/>
      <c r="N385" s="21"/>
      <c r="O385" s="21"/>
      <c r="Q385" s="21"/>
      <c r="S385" s="21"/>
    </row>
    <row r="386" spans="6:19" x14ac:dyDescent="0.25">
      <c r="F386" s="25"/>
      <c r="G386" s="42"/>
      <c r="H386" s="41"/>
      <c r="I386" s="41"/>
      <c r="K386" s="21"/>
      <c r="L386" s="21"/>
      <c r="M386" s="21"/>
      <c r="N386" s="21"/>
      <c r="O386" s="21"/>
      <c r="Q386" s="21"/>
      <c r="S386" s="21"/>
    </row>
    <row r="387" spans="6:19" x14ac:dyDescent="0.25">
      <c r="F387" s="25"/>
      <c r="G387" s="42"/>
      <c r="H387" s="41"/>
      <c r="I387" s="41"/>
      <c r="K387" s="21"/>
      <c r="L387" s="21"/>
      <c r="M387" s="21"/>
      <c r="N387" s="21"/>
      <c r="O387" s="21"/>
      <c r="Q387" s="21"/>
      <c r="S387" s="21"/>
    </row>
    <row r="388" spans="6:19" x14ac:dyDescent="0.25">
      <c r="F388" s="25"/>
      <c r="G388" s="42"/>
      <c r="H388" s="41"/>
      <c r="I388" s="41"/>
      <c r="K388" s="21"/>
      <c r="L388" s="21"/>
      <c r="M388" s="21"/>
      <c r="N388" s="21"/>
      <c r="O388" s="21"/>
      <c r="Q388" s="21"/>
      <c r="S388" s="21"/>
    </row>
    <row r="389" spans="6:19" x14ac:dyDescent="0.25">
      <c r="F389" s="25"/>
      <c r="G389" s="42"/>
      <c r="H389" s="41"/>
      <c r="I389" s="41"/>
      <c r="K389" s="21"/>
      <c r="L389" s="21"/>
      <c r="M389" s="21"/>
      <c r="N389" s="21"/>
      <c r="O389" s="21"/>
      <c r="Q389" s="21"/>
      <c r="S389" s="21"/>
    </row>
    <row r="390" spans="6:19" x14ac:dyDescent="0.25">
      <c r="F390" s="25"/>
      <c r="G390" s="42"/>
      <c r="H390" s="41"/>
      <c r="I390" s="41"/>
      <c r="K390" s="21"/>
      <c r="L390" s="21"/>
      <c r="M390" s="21"/>
      <c r="N390" s="21"/>
      <c r="O390" s="21"/>
      <c r="Q390" s="21"/>
      <c r="S390" s="21"/>
    </row>
    <row r="391" spans="6:19" x14ac:dyDescent="0.25">
      <c r="F391" s="25"/>
      <c r="G391" s="42"/>
      <c r="H391" s="41"/>
      <c r="I391" s="41"/>
      <c r="K391" s="21"/>
      <c r="L391" s="21"/>
      <c r="M391" s="21"/>
      <c r="N391" s="21"/>
      <c r="O391" s="21"/>
      <c r="Q391" s="21"/>
      <c r="S391" s="21"/>
    </row>
    <row r="392" spans="6:19" x14ac:dyDescent="0.25">
      <c r="F392" s="25"/>
      <c r="G392" s="42"/>
      <c r="H392" s="41"/>
      <c r="I392" s="41"/>
      <c r="K392" s="21"/>
      <c r="L392" s="21"/>
      <c r="M392" s="21"/>
      <c r="N392" s="21"/>
      <c r="O392" s="21"/>
      <c r="Q392" s="21"/>
      <c r="S392" s="21"/>
    </row>
    <row r="393" spans="6:19" x14ac:dyDescent="0.25">
      <c r="F393" s="25"/>
      <c r="G393" s="42"/>
      <c r="H393" s="41"/>
      <c r="I393" s="41"/>
      <c r="K393" s="21"/>
      <c r="L393" s="21"/>
      <c r="M393" s="21"/>
      <c r="N393" s="21"/>
      <c r="O393" s="21"/>
      <c r="Q393" s="21"/>
      <c r="S393" s="21"/>
    </row>
    <row r="394" spans="6:19" x14ac:dyDescent="0.25">
      <c r="F394" s="25"/>
      <c r="G394" s="42"/>
      <c r="H394" s="41"/>
      <c r="I394" s="41"/>
      <c r="K394" s="21"/>
      <c r="L394" s="21"/>
      <c r="M394" s="21"/>
      <c r="N394" s="21"/>
      <c r="O394" s="21"/>
      <c r="Q394" s="21"/>
      <c r="S394" s="21"/>
    </row>
    <row r="395" spans="6:19" x14ac:dyDescent="0.25">
      <c r="F395" s="25"/>
      <c r="G395" s="42"/>
      <c r="H395" s="41"/>
      <c r="I395" s="41"/>
      <c r="K395" s="21"/>
      <c r="L395" s="21"/>
      <c r="M395" s="21"/>
      <c r="N395" s="21"/>
      <c r="O395" s="21"/>
      <c r="Q395" s="21"/>
      <c r="S395" s="21"/>
    </row>
    <row r="396" spans="6:19" x14ac:dyDescent="0.25">
      <c r="F396" s="25"/>
      <c r="G396" s="42"/>
      <c r="H396" s="41"/>
      <c r="I396" s="41"/>
      <c r="K396" s="21"/>
      <c r="L396" s="21"/>
      <c r="M396" s="21"/>
      <c r="N396" s="21"/>
      <c r="O396" s="21"/>
      <c r="Q396" s="21"/>
      <c r="S396" s="21"/>
    </row>
    <row r="397" spans="6:19" x14ac:dyDescent="0.25">
      <c r="F397" s="25"/>
      <c r="G397" s="42"/>
      <c r="H397" s="41"/>
      <c r="I397" s="41"/>
      <c r="K397" s="21"/>
      <c r="L397" s="21"/>
      <c r="M397" s="21"/>
      <c r="N397" s="21"/>
      <c r="O397" s="21"/>
      <c r="Q397" s="21"/>
      <c r="S397" s="21"/>
    </row>
    <row r="398" spans="6:19" x14ac:dyDescent="0.25">
      <c r="F398" s="25"/>
      <c r="G398" s="42"/>
      <c r="H398" s="41"/>
      <c r="I398" s="41"/>
      <c r="K398" s="21"/>
      <c r="L398" s="21"/>
      <c r="M398" s="21"/>
      <c r="N398" s="21"/>
      <c r="O398" s="21"/>
      <c r="Q398" s="21"/>
      <c r="S398" s="21"/>
    </row>
    <row r="399" spans="6:19" x14ac:dyDescent="0.25">
      <c r="F399" s="25"/>
      <c r="G399" s="42"/>
      <c r="H399" s="41"/>
      <c r="I399" s="41"/>
      <c r="K399" s="21"/>
      <c r="L399" s="21"/>
      <c r="M399" s="21"/>
      <c r="N399" s="21"/>
      <c r="O399" s="21"/>
      <c r="Q399" s="21"/>
      <c r="S399" s="21"/>
    </row>
    <row r="400" spans="6:19" x14ac:dyDescent="0.25">
      <c r="F400" s="25"/>
      <c r="G400" s="42"/>
      <c r="H400" s="41"/>
      <c r="I400" s="41"/>
      <c r="K400" s="21"/>
      <c r="L400" s="21"/>
      <c r="M400" s="21"/>
      <c r="N400" s="21"/>
      <c r="O400" s="21"/>
      <c r="Q400" s="21"/>
      <c r="S400" s="21"/>
    </row>
    <row r="401" spans="6:19" x14ac:dyDescent="0.25">
      <c r="F401" s="25"/>
      <c r="G401" s="42"/>
      <c r="H401" s="41"/>
      <c r="I401" s="41"/>
      <c r="K401" s="21"/>
      <c r="L401" s="21"/>
      <c r="M401" s="21"/>
      <c r="N401" s="21"/>
      <c r="O401" s="21"/>
      <c r="Q401" s="21"/>
      <c r="S401" s="21"/>
    </row>
    <row r="402" spans="6:19" x14ac:dyDescent="0.25">
      <c r="F402" s="25"/>
      <c r="G402" s="42"/>
      <c r="H402" s="41"/>
      <c r="I402" s="41"/>
      <c r="K402" s="21"/>
      <c r="L402" s="21"/>
      <c r="M402" s="21"/>
      <c r="N402" s="21"/>
      <c r="O402" s="21"/>
      <c r="Q402" s="21"/>
      <c r="S402" s="21"/>
    </row>
    <row r="403" spans="6:19" x14ac:dyDescent="0.25">
      <c r="F403" s="25"/>
      <c r="G403" s="42"/>
      <c r="H403" s="41"/>
      <c r="I403" s="41"/>
      <c r="K403" s="21"/>
      <c r="L403" s="21"/>
      <c r="M403" s="21"/>
      <c r="N403" s="21"/>
      <c r="O403" s="21"/>
      <c r="Q403" s="21"/>
      <c r="S403" s="21"/>
    </row>
    <row r="404" spans="6:19" x14ac:dyDescent="0.25">
      <c r="F404" s="25"/>
      <c r="G404" s="42"/>
      <c r="H404" s="41"/>
      <c r="I404" s="41"/>
      <c r="K404" s="21"/>
      <c r="L404" s="21"/>
      <c r="M404" s="21"/>
      <c r="N404" s="21"/>
      <c r="O404" s="21"/>
      <c r="Q404" s="21"/>
      <c r="S404" s="21"/>
    </row>
    <row r="405" spans="6:19" x14ac:dyDescent="0.25">
      <c r="F405" s="25"/>
      <c r="G405" s="42"/>
      <c r="H405" s="41"/>
      <c r="I405" s="41"/>
      <c r="K405" s="21"/>
      <c r="L405" s="21"/>
      <c r="M405" s="21"/>
      <c r="N405" s="21"/>
      <c r="O405" s="21"/>
      <c r="Q405" s="21"/>
      <c r="S405" s="21"/>
    </row>
    <row r="406" spans="6:19" x14ac:dyDescent="0.25">
      <c r="F406" s="25"/>
      <c r="G406" s="42"/>
      <c r="H406" s="41"/>
      <c r="I406" s="41"/>
      <c r="K406" s="21"/>
      <c r="L406" s="21"/>
      <c r="M406" s="21"/>
      <c r="N406" s="21"/>
      <c r="O406" s="21"/>
      <c r="Q406" s="21"/>
      <c r="S406" s="21"/>
    </row>
    <row r="407" spans="6:19" x14ac:dyDescent="0.25">
      <c r="F407" s="25"/>
      <c r="G407" s="42"/>
      <c r="H407" s="41"/>
      <c r="I407" s="41"/>
      <c r="K407" s="21"/>
      <c r="L407" s="21"/>
      <c r="M407" s="21"/>
      <c r="N407" s="21"/>
      <c r="O407" s="21"/>
      <c r="Q407" s="21"/>
      <c r="S407" s="21"/>
    </row>
    <row r="408" spans="6:19" x14ac:dyDescent="0.25">
      <c r="F408" s="25"/>
      <c r="G408" s="42"/>
      <c r="H408" s="41"/>
      <c r="I408" s="41"/>
      <c r="K408" s="21"/>
      <c r="L408" s="21"/>
      <c r="M408" s="21"/>
      <c r="N408" s="21"/>
      <c r="O408" s="21"/>
      <c r="Q408" s="21"/>
      <c r="S408" s="21"/>
    </row>
    <row r="409" spans="6:19" x14ac:dyDescent="0.25">
      <c r="F409" s="25"/>
      <c r="G409" s="42"/>
      <c r="H409" s="41"/>
      <c r="I409" s="41"/>
      <c r="K409" s="21"/>
      <c r="L409" s="21"/>
      <c r="M409" s="21"/>
      <c r="N409" s="21"/>
      <c r="O409" s="21"/>
      <c r="Q409" s="21"/>
      <c r="S409" s="21"/>
    </row>
    <row r="410" spans="6:19" x14ac:dyDescent="0.25">
      <c r="F410" s="25"/>
      <c r="G410" s="42"/>
      <c r="H410" s="41"/>
      <c r="I410" s="41"/>
      <c r="K410" s="21"/>
      <c r="L410" s="21"/>
      <c r="M410" s="21"/>
      <c r="N410" s="21"/>
      <c r="O410" s="21"/>
      <c r="Q410" s="21"/>
      <c r="S410" s="21"/>
    </row>
    <row r="411" spans="6:19" x14ac:dyDescent="0.25">
      <c r="F411" s="25"/>
      <c r="G411" s="42"/>
      <c r="H411" s="41"/>
      <c r="I411" s="41"/>
      <c r="K411" s="21"/>
      <c r="L411" s="21"/>
      <c r="M411" s="21"/>
      <c r="N411" s="21"/>
      <c r="O411" s="21"/>
      <c r="Q411" s="21"/>
      <c r="S411" s="21"/>
    </row>
    <row r="412" spans="6:19" x14ac:dyDescent="0.25">
      <c r="F412" s="25"/>
      <c r="G412" s="42"/>
      <c r="H412" s="41"/>
      <c r="I412" s="41"/>
      <c r="K412" s="21"/>
      <c r="L412" s="21"/>
      <c r="M412" s="21"/>
      <c r="N412" s="21"/>
      <c r="O412" s="21"/>
      <c r="Q412" s="21"/>
      <c r="S412" s="21"/>
    </row>
    <row r="413" spans="6:19" x14ac:dyDescent="0.25">
      <c r="F413" s="25"/>
      <c r="G413" s="42"/>
      <c r="H413" s="41"/>
      <c r="I413" s="41"/>
      <c r="K413" s="21"/>
      <c r="L413" s="21"/>
      <c r="M413" s="21"/>
      <c r="N413" s="21"/>
      <c r="O413" s="21"/>
      <c r="Q413" s="21"/>
      <c r="S413" s="21"/>
    </row>
    <row r="414" spans="6:19" x14ac:dyDescent="0.25">
      <c r="F414" s="25"/>
      <c r="G414" s="42"/>
      <c r="H414" s="41"/>
      <c r="I414" s="41"/>
      <c r="K414" s="21"/>
      <c r="L414" s="21"/>
      <c r="M414" s="21"/>
      <c r="N414" s="21"/>
      <c r="O414" s="21"/>
      <c r="Q414" s="21"/>
      <c r="S414" s="21"/>
    </row>
    <row r="415" spans="6:19" x14ac:dyDescent="0.25">
      <c r="F415" s="25"/>
      <c r="G415" s="42"/>
      <c r="H415" s="41"/>
      <c r="I415" s="41"/>
      <c r="K415" s="21"/>
      <c r="L415" s="21"/>
      <c r="M415" s="21"/>
      <c r="N415" s="21"/>
      <c r="O415" s="21"/>
      <c r="Q415" s="21"/>
      <c r="S415" s="21"/>
    </row>
    <row r="416" spans="6:19" x14ac:dyDescent="0.25">
      <c r="F416" s="25"/>
      <c r="G416" s="42"/>
      <c r="H416" s="41"/>
      <c r="I416" s="41"/>
      <c r="K416" s="21"/>
      <c r="L416" s="21"/>
      <c r="M416" s="21"/>
      <c r="N416" s="21"/>
      <c r="O416" s="21"/>
      <c r="Q416" s="21"/>
      <c r="S416" s="21"/>
    </row>
    <row r="417" spans="6:19" x14ac:dyDescent="0.25">
      <c r="F417" s="25"/>
      <c r="G417" s="42"/>
      <c r="H417" s="41"/>
      <c r="I417" s="41"/>
      <c r="K417" s="21"/>
      <c r="L417" s="21"/>
      <c r="M417" s="21"/>
      <c r="N417" s="21"/>
      <c r="O417" s="21"/>
      <c r="Q417" s="21"/>
      <c r="S417" s="21"/>
    </row>
    <row r="418" spans="6:19" x14ac:dyDescent="0.25">
      <c r="F418" s="25"/>
      <c r="G418" s="42"/>
      <c r="H418" s="41"/>
      <c r="I418" s="41"/>
      <c r="K418" s="21"/>
      <c r="L418" s="21"/>
      <c r="M418" s="21"/>
      <c r="N418" s="21"/>
      <c r="O418" s="21"/>
      <c r="Q418" s="21"/>
      <c r="S418" s="21"/>
    </row>
    <row r="419" spans="6:19" x14ac:dyDescent="0.25">
      <c r="F419" s="25"/>
      <c r="G419" s="42"/>
      <c r="H419" s="41"/>
      <c r="I419" s="41"/>
      <c r="K419" s="21"/>
      <c r="L419" s="21"/>
      <c r="M419" s="21"/>
      <c r="N419" s="21"/>
      <c r="O419" s="21"/>
      <c r="Q419" s="21"/>
      <c r="S419" s="21"/>
    </row>
    <row r="420" spans="6:19" x14ac:dyDescent="0.25">
      <c r="F420" s="25"/>
      <c r="G420" s="42"/>
      <c r="H420" s="41"/>
      <c r="I420" s="41"/>
      <c r="K420" s="21"/>
      <c r="L420" s="21"/>
      <c r="M420" s="21"/>
      <c r="N420" s="21"/>
      <c r="O420" s="21"/>
      <c r="Q420" s="21"/>
      <c r="S420" s="21"/>
    </row>
    <row r="421" spans="6:19" x14ac:dyDescent="0.25">
      <c r="F421" s="25"/>
      <c r="G421" s="42"/>
      <c r="H421" s="41"/>
      <c r="I421" s="41"/>
      <c r="K421" s="21"/>
      <c r="L421" s="21"/>
      <c r="M421" s="21"/>
      <c r="N421" s="21"/>
      <c r="O421" s="21"/>
      <c r="Q421" s="21"/>
      <c r="S421" s="21"/>
    </row>
    <row r="422" spans="6:19" x14ac:dyDescent="0.25">
      <c r="F422" s="25"/>
      <c r="G422" s="42"/>
      <c r="H422" s="41"/>
      <c r="I422" s="41"/>
      <c r="K422" s="21"/>
      <c r="L422" s="21"/>
      <c r="M422" s="21"/>
      <c r="N422" s="21"/>
      <c r="O422" s="21"/>
      <c r="Q422" s="21"/>
      <c r="S422" s="21"/>
    </row>
    <row r="423" spans="6:19" x14ac:dyDescent="0.25">
      <c r="F423" s="25"/>
      <c r="G423" s="42"/>
      <c r="H423" s="41"/>
      <c r="I423" s="41"/>
      <c r="K423" s="21"/>
      <c r="L423" s="21"/>
      <c r="M423" s="21"/>
      <c r="N423" s="21"/>
      <c r="O423" s="21"/>
      <c r="Q423" s="21"/>
      <c r="S423" s="21"/>
    </row>
    <row r="424" spans="6:19" x14ac:dyDescent="0.25">
      <c r="F424" s="25"/>
      <c r="G424" s="42"/>
      <c r="H424" s="41"/>
      <c r="I424" s="41"/>
      <c r="K424" s="21"/>
      <c r="L424" s="21"/>
      <c r="M424" s="21"/>
      <c r="N424" s="21"/>
      <c r="O424" s="21"/>
      <c r="Q424" s="21"/>
      <c r="S424" s="21"/>
    </row>
    <row r="425" spans="6:19" x14ac:dyDescent="0.25">
      <c r="F425" s="25"/>
      <c r="G425" s="42"/>
      <c r="H425" s="41"/>
      <c r="I425" s="41"/>
      <c r="K425" s="21"/>
      <c r="L425" s="21"/>
      <c r="M425" s="21"/>
      <c r="N425" s="21"/>
      <c r="O425" s="21"/>
      <c r="Q425" s="21"/>
      <c r="S425" s="21"/>
    </row>
    <row r="426" spans="6:19" x14ac:dyDescent="0.25">
      <c r="F426" s="25"/>
      <c r="G426" s="42"/>
      <c r="H426" s="41"/>
      <c r="I426" s="41"/>
      <c r="K426" s="21"/>
      <c r="L426" s="21"/>
      <c r="M426" s="21"/>
      <c r="N426" s="21"/>
      <c r="O426" s="21"/>
      <c r="Q426" s="21"/>
      <c r="S426" s="21"/>
    </row>
    <row r="427" spans="6:19" x14ac:dyDescent="0.25">
      <c r="F427" s="25"/>
      <c r="G427" s="42"/>
      <c r="H427" s="41"/>
      <c r="I427" s="41"/>
      <c r="K427" s="21"/>
      <c r="L427" s="21"/>
      <c r="M427" s="21"/>
      <c r="N427" s="21"/>
      <c r="O427" s="21"/>
      <c r="Q427" s="21"/>
      <c r="S427" s="21"/>
    </row>
    <row r="428" spans="6:19" x14ac:dyDescent="0.25">
      <c r="F428" s="25"/>
      <c r="G428" s="42"/>
      <c r="H428" s="41"/>
      <c r="I428" s="41"/>
      <c r="K428" s="21"/>
      <c r="L428" s="21"/>
      <c r="M428" s="21"/>
      <c r="N428" s="21"/>
      <c r="O428" s="21"/>
      <c r="Q428" s="21"/>
      <c r="S428" s="21"/>
    </row>
    <row r="429" spans="6:19" x14ac:dyDescent="0.25">
      <c r="F429" s="25"/>
      <c r="G429" s="42"/>
      <c r="H429" s="41"/>
      <c r="I429" s="41"/>
      <c r="K429" s="21"/>
      <c r="L429" s="21"/>
      <c r="M429" s="21"/>
      <c r="N429" s="21"/>
      <c r="O429" s="21"/>
      <c r="Q429" s="21"/>
      <c r="S429" s="21"/>
    </row>
    <row r="430" spans="6:19" x14ac:dyDescent="0.25">
      <c r="F430" s="25"/>
      <c r="G430" s="42"/>
      <c r="H430" s="41"/>
      <c r="I430" s="41"/>
      <c r="K430" s="21"/>
      <c r="L430" s="21"/>
      <c r="M430" s="21"/>
      <c r="N430" s="21"/>
      <c r="O430" s="21"/>
      <c r="Q430" s="21"/>
      <c r="S430" s="21"/>
    </row>
    <row r="431" spans="6:19" x14ac:dyDescent="0.25">
      <c r="F431" s="25"/>
      <c r="G431" s="42"/>
      <c r="H431" s="41"/>
      <c r="I431" s="41"/>
      <c r="K431" s="21"/>
      <c r="L431" s="21"/>
      <c r="M431" s="21"/>
      <c r="N431" s="21"/>
      <c r="O431" s="21"/>
      <c r="Q431" s="21"/>
      <c r="S431" s="21"/>
    </row>
    <row r="432" spans="6:19" x14ac:dyDescent="0.25">
      <c r="F432" s="25"/>
      <c r="G432" s="42"/>
      <c r="H432" s="41"/>
      <c r="I432" s="41"/>
      <c r="K432" s="21"/>
      <c r="L432" s="21"/>
      <c r="M432" s="21"/>
      <c r="N432" s="21"/>
      <c r="O432" s="21"/>
      <c r="Q432" s="21"/>
      <c r="S432" s="21"/>
    </row>
    <row r="433" spans="6:19" x14ac:dyDescent="0.25">
      <c r="F433" s="25"/>
      <c r="G433" s="42"/>
      <c r="H433" s="41"/>
      <c r="I433" s="41"/>
      <c r="K433" s="21"/>
      <c r="L433" s="21"/>
      <c r="M433" s="21"/>
      <c r="N433" s="21"/>
      <c r="O433" s="21"/>
      <c r="Q433" s="21"/>
      <c r="S433" s="21"/>
    </row>
    <row r="434" spans="6:19" x14ac:dyDescent="0.25">
      <c r="F434" s="25"/>
      <c r="G434" s="42"/>
      <c r="H434" s="41"/>
      <c r="I434" s="41"/>
      <c r="K434" s="21"/>
      <c r="L434" s="21"/>
      <c r="M434" s="21"/>
      <c r="N434" s="21"/>
      <c r="O434" s="21"/>
      <c r="Q434" s="21"/>
      <c r="S434" s="21"/>
    </row>
    <row r="435" spans="6:19" x14ac:dyDescent="0.25">
      <c r="F435" s="25"/>
      <c r="G435" s="42"/>
      <c r="H435" s="41"/>
      <c r="I435" s="41"/>
      <c r="K435" s="21"/>
      <c r="L435" s="21"/>
      <c r="M435" s="21"/>
      <c r="N435" s="21"/>
      <c r="O435" s="21"/>
      <c r="Q435" s="21"/>
      <c r="S435" s="21"/>
    </row>
    <row r="436" spans="6:19" x14ac:dyDescent="0.25">
      <c r="F436" s="25"/>
      <c r="G436" s="42"/>
      <c r="H436" s="41"/>
      <c r="I436" s="41"/>
      <c r="K436" s="21"/>
      <c r="L436" s="21"/>
      <c r="M436" s="21"/>
      <c r="N436" s="21"/>
      <c r="O436" s="21"/>
      <c r="Q436" s="21"/>
      <c r="S436" s="21"/>
    </row>
    <row r="437" spans="6:19" x14ac:dyDescent="0.25">
      <c r="F437" s="25"/>
      <c r="G437" s="42"/>
      <c r="H437" s="41"/>
      <c r="I437" s="41"/>
      <c r="K437" s="21"/>
      <c r="L437" s="21"/>
      <c r="M437" s="21"/>
      <c r="N437" s="21"/>
      <c r="O437" s="21"/>
      <c r="Q437" s="21"/>
      <c r="S437" s="21"/>
    </row>
    <row r="438" spans="6:19" x14ac:dyDescent="0.25">
      <c r="F438" s="25"/>
      <c r="G438" s="42"/>
      <c r="H438" s="41"/>
      <c r="I438" s="41"/>
      <c r="K438" s="21"/>
      <c r="L438" s="21"/>
      <c r="M438" s="21"/>
      <c r="N438" s="21"/>
      <c r="O438" s="21"/>
      <c r="Q438" s="21"/>
      <c r="S438" s="21"/>
    </row>
    <row r="439" spans="6:19" x14ac:dyDescent="0.25">
      <c r="F439" s="25"/>
      <c r="G439" s="42"/>
      <c r="H439" s="41"/>
      <c r="I439" s="41"/>
      <c r="K439" s="21"/>
      <c r="L439" s="21"/>
      <c r="M439" s="21"/>
      <c r="N439" s="21"/>
      <c r="O439" s="21"/>
      <c r="Q439" s="21"/>
      <c r="S439" s="21"/>
    </row>
    <row r="440" spans="6:19" x14ac:dyDescent="0.25">
      <c r="F440" s="25"/>
      <c r="G440" s="42"/>
      <c r="H440" s="41"/>
      <c r="I440" s="41"/>
      <c r="K440" s="21"/>
      <c r="L440" s="21"/>
      <c r="M440" s="21"/>
      <c r="N440" s="21"/>
      <c r="O440" s="21"/>
      <c r="Q440" s="21"/>
      <c r="S440" s="21"/>
    </row>
    <row r="441" spans="6:19" x14ac:dyDescent="0.25">
      <c r="F441" s="25"/>
      <c r="G441" s="42"/>
      <c r="H441" s="41"/>
      <c r="I441" s="41"/>
      <c r="K441" s="21"/>
      <c r="L441" s="21"/>
      <c r="M441" s="21"/>
      <c r="N441" s="21"/>
      <c r="O441" s="21"/>
      <c r="Q441" s="21"/>
      <c r="S441" s="21"/>
    </row>
    <row r="442" spans="6:19" x14ac:dyDescent="0.25">
      <c r="F442" s="25"/>
      <c r="G442" s="42"/>
      <c r="H442" s="41"/>
      <c r="I442" s="41"/>
      <c r="K442" s="21"/>
      <c r="L442" s="21"/>
      <c r="M442" s="21"/>
      <c r="N442" s="21"/>
      <c r="O442" s="21"/>
      <c r="Q442" s="21"/>
      <c r="S442" s="21"/>
    </row>
    <row r="443" spans="6:19" x14ac:dyDescent="0.25">
      <c r="F443" s="25"/>
      <c r="G443" s="42"/>
      <c r="H443" s="41"/>
      <c r="I443" s="41"/>
      <c r="K443" s="21"/>
      <c r="L443" s="21"/>
      <c r="M443" s="21"/>
      <c r="N443" s="21"/>
      <c r="O443" s="21"/>
      <c r="Q443" s="21"/>
      <c r="S443" s="21"/>
    </row>
    <row r="444" spans="6:19" x14ac:dyDescent="0.25">
      <c r="F444" s="25"/>
      <c r="G444" s="42"/>
      <c r="H444" s="41"/>
      <c r="I444" s="41"/>
      <c r="K444" s="21"/>
      <c r="L444" s="21"/>
      <c r="M444" s="21"/>
      <c r="N444" s="21"/>
      <c r="O444" s="21"/>
      <c r="Q444" s="21"/>
      <c r="S444" s="21"/>
    </row>
    <row r="445" spans="6:19" x14ac:dyDescent="0.25">
      <c r="F445" s="25"/>
      <c r="G445" s="42"/>
      <c r="H445" s="41"/>
      <c r="I445" s="41"/>
      <c r="K445" s="21"/>
      <c r="L445" s="21"/>
      <c r="M445" s="21"/>
      <c r="N445" s="21"/>
      <c r="O445" s="21"/>
      <c r="Q445" s="21"/>
      <c r="S445" s="21"/>
    </row>
    <row r="446" spans="6:19" x14ac:dyDescent="0.25">
      <c r="F446" s="25"/>
      <c r="G446" s="42"/>
      <c r="H446" s="41"/>
      <c r="I446" s="41"/>
      <c r="K446" s="21"/>
      <c r="L446" s="21"/>
      <c r="M446" s="21"/>
      <c r="N446" s="21"/>
      <c r="O446" s="21"/>
      <c r="Q446" s="21"/>
      <c r="S446" s="21"/>
    </row>
    <row r="447" spans="6:19" x14ac:dyDescent="0.25">
      <c r="F447" s="25"/>
      <c r="G447" s="42"/>
      <c r="H447" s="41"/>
      <c r="I447" s="41"/>
      <c r="K447" s="21"/>
      <c r="L447" s="21"/>
      <c r="M447" s="21"/>
      <c r="N447" s="21"/>
      <c r="O447" s="21"/>
      <c r="Q447" s="21"/>
      <c r="S447" s="21"/>
    </row>
    <row r="448" spans="6:19" x14ac:dyDescent="0.25">
      <c r="F448" s="25"/>
      <c r="G448" s="42"/>
      <c r="H448" s="41"/>
      <c r="I448" s="41"/>
      <c r="K448" s="21"/>
      <c r="L448" s="21"/>
      <c r="M448" s="21"/>
      <c r="N448" s="21"/>
      <c r="O448" s="21"/>
      <c r="Q448" s="21"/>
      <c r="S448" s="21"/>
    </row>
    <row r="449" spans="6:19" x14ac:dyDescent="0.25">
      <c r="F449" s="25"/>
      <c r="G449" s="42"/>
      <c r="H449" s="41"/>
      <c r="I449" s="41"/>
      <c r="K449" s="21"/>
      <c r="L449" s="21"/>
      <c r="M449" s="21"/>
      <c r="N449" s="21"/>
      <c r="O449" s="21"/>
      <c r="Q449" s="21"/>
      <c r="S449" s="21"/>
    </row>
    <row r="450" spans="6:19" x14ac:dyDescent="0.25">
      <c r="F450" s="25"/>
      <c r="G450" s="42"/>
      <c r="H450" s="41"/>
      <c r="I450" s="41"/>
      <c r="K450" s="21"/>
      <c r="L450" s="21"/>
      <c r="M450" s="21"/>
      <c r="N450" s="21"/>
      <c r="O450" s="21"/>
      <c r="Q450" s="21"/>
      <c r="S450" s="21"/>
    </row>
    <row r="451" spans="6:19" x14ac:dyDescent="0.25">
      <c r="F451" s="25"/>
      <c r="G451" s="42"/>
      <c r="H451" s="41"/>
      <c r="I451" s="41"/>
      <c r="K451" s="21"/>
      <c r="L451" s="21"/>
      <c r="M451" s="21"/>
      <c r="N451" s="21"/>
      <c r="O451" s="21"/>
      <c r="Q451" s="21"/>
      <c r="S451" s="21"/>
    </row>
    <row r="452" spans="6:19" x14ac:dyDescent="0.25">
      <c r="F452" s="25"/>
      <c r="G452" s="42"/>
      <c r="H452" s="41"/>
      <c r="I452" s="41"/>
      <c r="K452" s="21"/>
      <c r="L452" s="21"/>
      <c r="M452" s="21"/>
      <c r="N452" s="21"/>
      <c r="O452" s="21"/>
      <c r="Q452" s="21"/>
      <c r="S452" s="21"/>
    </row>
    <row r="453" spans="6:19" x14ac:dyDescent="0.25">
      <c r="F453" s="25"/>
      <c r="G453" s="42"/>
      <c r="H453" s="41"/>
      <c r="I453" s="41"/>
      <c r="K453" s="21"/>
      <c r="L453" s="21"/>
      <c r="M453" s="21"/>
      <c r="N453" s="21"/>
      <c r="O453" s="21"/>
      <c r="Q453" s="21"/>
      <c r="S453" s="21"/>
    </row>
    <row r="454" spans="6:19" x14ac:dyDescent="0.25">
      <c r="F454" s="25"/>
      <c r="G454" s="42"/>
      <c r="H454" s="41"/>
      <c r="I454" s="41"/>
      <c r="K454" s="21"/>
      <c r="L454" s="21"/>
      <c r="M454" s="21"/>
      <c r="N454" s="21"/>
      <c r="O454" s="21"/>
      <c r="Q454" s="21"/>
      <c r="S454" s="21"/>
    </row>
    <row r="455" spans="6:19" x14ac:dyDescent="0.25">
      <c r="F455" s="25"/>
      <c r="G455" s="42"/>
      <c r="H455" s="41"/>
      <c r="I455" s="41"/>
      <c r="K455" s="21"/>
      <c r="L455" s="21"/>
      <c r="M455" s="21"/>
      <c r="N455" s="21"/>
      <c r="O455" s="21"/>
      <c r="Q455" s="21"/>
      <c r="S455" s="21"/>
    </row>
    <row r="456" spans="6:19" x14ac:dyDescent="0.25">
      <c r="F456" s="25"/>
      <c r="G456" s="42"/>
      <c r="H456" s="41"/>
      <c r="I456" s="41"/>
      <c r="K456" s="21"/>
      <c r="L456" s="21"/>
      <c r="M456" s="21"/>
      <c r="N456" s="21"/>
      <c r="O456" s="21"/>
      <c r="Q456" s="21"/>
      <c r="S456" s="21"/>
    </row>
    <row r="457" spans="6:19" x14ac:dyDescent="0.25">
      <c r="F457" s="25"/>
      <c r="G457" s="42"/>
      <c r="H457" s="41"/>
      <c r="I457" s="41"/>
      <c r="K457" s="21"/>
      <c r="L457" s="21"/>
      <c r="M457" s="21"/>
      <c r="N457" s="21"/>
      <c r="O457" s="21"/>
      <c r="Q457" s="21"/>
      <c r="S457" s="21"/>
    </row>
    <row r="458" spans="6:19" x14ac:dyDescent="0.25">
      <c r="F458" s="25"/>
      <c r="G458" s="42"/>
      <c r="H458" s="41"/>
      <c r="I458" s="41"/>
      <c r="K458" s="21"/>
      <c r="L458" s="21"/>
      <c r="M458" s="21"/>
      <c r="N458" s="21"/>
      <c r="O458" s="21"/>
      <c r="Q458" s="21"/>
      <c r="S458" s="21"/>
    </row>
    <row r="459" spans="6:19" x14ac:dyDescent="0.25">
      <c r="F459" s="25"/>
      <c r="G459" s="42"/>
      <c r="H459" s="41"/>
      <c r="I459" s="41"/>
      <c r="K459" s="21"/>
      <c r="L459" s="21"/>
      <c r="M459" s="21"/>
      <c r="N459" s="21"/>
      <c r="O459" s="21"/>
      <c r="Q459" s="21"/>
      <c r="S459" s="21"/>
    </row>
    <row r="460" spans="6:19" x14ac:dyDescent="0.25">
      <c r="F460" s="25"/>
      <c r="G460" s="42"/>
      <c r="H460" s="41"/>
      <c r="I460" s="41"/>
      <c r="K460" s="21"/>
      <c r="L460" s="21"/>
      <c r="M460" s="21"/>
      <c r="N460" s="21"/>
      <c r="O460" s="21"/>
      <c r="Q460" s="21"/>
      <c r="S460" s="21"/>
    </row>
    <row r="461" spans="6:19" x14ac:dyDescent="0.25">
      <c r="F461" s="25"/>
      <c r="G461" s="42"/>
      <c r="H461" s="41"/>
      <c r="I461" s="41"/>
      <c r="K461" s="21"/>
      <c r="L461" s="21"/>
      <c r="M461" s="21"/>
      <c r="N461" s="21"/>
      <c r="O461" s="21"/>
      <c r="Q461" s="21"/>
      <c r="S461" s="21"/>
    </row>
    <row r="462" spans="6:19" x14ac:dyDescent="0.25">
      <c r="F462" s="25"/>
      <c r="G462" s="42"/>
      <c r="H462" s="41"/>
      <c r="I462" s="41"/>
      <c r="K462" s="21"/>
      <c r="L462" s="21"/>
      <c r="M462" s="21"/>
      <c r="N462" s="21"/>
      <c r="O462" s="21"/>
      <c r="Q462" s="21"/>
      <c r="S462" s="21"/>
    </row>
    <row r="463" spans="6:19" x14ac:dyDescent="0.25">
      <c r="F463" s="25"/>
      <c r="G463" s="42"/>
      <c r="H463" s="41"/>
      <c r="I463" s="41"/>
      <c r="K463" s="21"/>
      <c r="L463" s="21"/>
      <c r="M463" s="21"/>
      <c r="N463" s="21"/>
      <c r="O463" s="21"/>
      <c r="Q463" s="21"/>
      <c r="S463" s="21"/>
    </row>
    <row r="464" spans="6:19" x14ac:dyDescent="0.25">
      <c r="F464" s="25"/>
      <c r="G464" s="42"/>
      <c r="H464" s="41"/>
      <c r="I464" s="41"/>
      <c r="K464" s="21"/>
      <c r="L464" s="21"/>
      <c r="M464" s="21"/>
      <c r="N464" s="21"/>
      <c r="O464" s="21"/>
      <c r="Q464" s="21"/>
      <c r="S464" s="21"/>
    </row>
    <row r="465" spans="6:19" x14ac:dyDescent="0.25">
      <c r="F465" s="25"/>
      <c r="G465" s="42"/>
      <c r="H465" s="41"/>
      <c r="I465" s="41"/>
      <c r="K465" s="21"/>
      <c r="L465" s="21"/>
      <c r="M465" s="21"/>
      <c r="N465" s="21"/>
      <c r="O465" s="21"/>
      <c r="Q465" s="21"/>
      <c r="S465" s="21"/>
    </row>
    <row r="466" spans="6:19" x14ac:dyDescent="0.25">
      <c r="F466" s="25"/>
      <c r="G466" s="42"/>
      <c r="H466" s="41"/>
      <c r="I466" s="41"/>
      <c r="K466" s="21"/>
      <c r="L466" s="21"/>
      <c r="M466" s="21"/>
      <c r="N466" s="21"/>
      <c r="O466" s="21"/>
      <c r="Q466" s="21"/>
      <c r="S466" s="21"/>
    </row>
    <row r="467" spans="6:19" x14ac:dyDescent="0.25">
      <c r="F467" s="25"/>
      <c r="G467" s="42"/>
      <c r="H467" s="41"/>
      <c r="I467" s="41"/>
      <c r="K467" s="21"/>
      <c r="L467" s="21"/>
      <c r="M467" s="21"/>
      <c r="N467" s="21"/>
      <c r="O467" s="21"/>
      <c r="Q467" s="21"/>
      <c r="S467" s="21"/>
    </row>
    <row r="468" spans="6:19" x14ac:dyDescent="0.25">
      <c r="F468" s="25"/>
      <c r="G468" s="42"/>
      <c r="H468" s="41"/>
      <c r="I468" s="41"/>
      <c r="K468" s="21"/>
      <c r="L468" s="21"/>
      <c r="M468" s="21"/>
      <c r="N468" s="21"/>
      <c r="O468" s="21"/>
      <c r="Q468" s="21"/>
      <c r="S468" s="21"/>
    </row>
    <row r="469" spans="6:19" x14ac:dyDescent="0.25">
      <c r="F469" s="25"/>
      <c r="G469" s="42"/>
      <c r="H469" s="41"/>
      <c r="I469" s="41"/>
      <c r="K469" s="21"/>
      <c r="L469" s="21"/>
      <c r="M469" s="21"/>
      <c r="N469" s="21"/>
      <c r="O469" s="21"/>
      <c r="Q469" s="21"/>
      <c r="S469" s="21"/>
    </row>
    <row r="470" spans="6:19" x14ac:dyDescent="0.25">
      <c r="F470" s="25"/>
      <c r="G470" s="42"/>
      <c r="H470" s="41"/>
      <c r="I470" s="41"/>
      <c r="K470" s="21"/>
      <c r="L470" s="21"/>
      <c r="M470" s="21"/>
      <c r="N470" s="21"/>
      <c r="O470" s="21"/>
      <c r="Q470" s="21"/>
      <c r="S470" s="21"/>
    </row>
    <row r="471" spans="6:19" x14ac:dyDescent="0.25">
      <c r="F471" s="25"/>
      <c r="G471" s="42"/>
      <c r="H471" s="41"/>
      <c r="I471" s="41"/>
      <c r="K471" s="21"/>
      <c r="L471" s="21"/>
      <c r="M471" s="21"/>
      <c r="N471" s="21"/>
      <c r="O471" s="21"/>
      <c r="Q471" s="21"/>
      <c r="S471" s="21"/>
    </row>
    <row r="472" spans="6:19" x14ac:dyDescent="0.25">
      <c r="F472" s="25"/>
      <c r="G472" s="42"/>
      <c r="H472" s="41"/>
      <c r="I472" s="41"/>
      <c r="K472" s="21"/>
      <c r="L472" s="21"/>
      <c r="M472" s="21"/>
      <c r="N472" s="21"/>
      <c r="O472" s="21"/>
      <c r="Q472" s="21"/>
      <c r="S472" s="21"/>
    </row>
    <row r="473" spans="6:19" x14ac:dyDescent="0.25">
      <c r="F473" s="25"/>
      <c r="G473" s="42"/>
      <c r="H473" s="41"/>
      <c r="I473" s="41"/>
      <c r="K473" s="21"/>
      <c r="L473" s="21"/>
      <c r="M473" s="21"/>
      <c r="N473" s="21"/>
      <c r="O473" s="21"/>
      <c r="Q473" s="21"/>
      <c r="S473" s="21"/>
    </row>
    <row r="474" spans="6:19" x14ac:dyDescent="0.25">
      <c r="F474" s="25"/>
      <c r="G474" s="42"/>
      <c r="H474" s="41"/>
      <c r="I474" s="41"/>
      <c r="K474" s="21"/>
      <c r="L474" s="21"/>
      <c r="M474" s="21"/>
      <c r="N474" s="21"/>
      <c r="O474" s="21"/>
      <c r="Q474" s="21"/>
      <c r="S474" s="21"/>
    </row>
    <row r="475" spans="6:19" x14ac:dyDescent="0.25">
      <c r="F475" s="25"/>
      <c r="G475" s="42"/>
      <c r="H475" s="41"/>
      <c r="I475" s="41"/>
      <c r="K475" s="21"/>
      <c r="L475" s="21"/>
      <c r="M475" s="21"/>
      <c r="N475" s="21"/>
      <c r="O475" s="21"/>
      <c r="Q475" s="21"/>
      <c r="S475" s="21"/>
    </row>
    <row r="476" spans="6:19" x14ac:dyDescent="0.25">
      <c r="F476" s="25"/>
      <c r="G476" s="42"/>
      <c r="H476" s="41"/>
      <c r="I476" s="41"/>
      <c r="K476" s="21"/>
      <c r="L476" s="21"/>
      <c r="M476" s="21"/>
      <c r="N476" s="21"/>
      <c r="O476" s="21"/>
      <c r="Q476" s="21"/>
      <c r="S476" s="21"/>
    </row>
    <row r="477" spans="6:19" x14ac:dyDescent="0.25">
      <c r="F477" s="25"/>
      <c r="G477" s="42"/>
      <c r="H477" s="41"/>
      <c r="I477" s="41"/>
      <c r="K477" s="21"/>
      <c r="L477" s="21"/>
      <c r="M477" s="21"/>
      <c r="N477" s="21"/>
      <c r="O477" s="21"/>
      <c r="Q477" s="21"/>
      <c r="S477" s="21"/>
    </row>
    <row r="478" spans="6:19" x14ac:dyDescent="0.25">
      <c r="F478" s="25"/>
      <c r="G478" s="42"/>
      <c r="H478" s="41"/>
      <c r="I478" s="41"/>
      <c r="K478" s="21"/>
      <c r="L478" s="21"/>
      <c r="M478" s="21"/>
      <c r="N478" s="21"/>
      <c r="O478" s="21"/>
      <c r="Q478" s="21"/>
      <c r="S478" s="21"/>
    </row>
    <row r="479" spans="6:19" x14ac:dyDescent="0.25">
      <c r="F479" s="25"/>
      <c r="G479" s="42"/>
      <c r="H479" s="41"/>
      <c r="I479" s="41"/>
      <c r="K479" s="21"/>
      <c r="L479" s="21"/>
      <c r="M479" s="21"/>
      <c r="N479" s="21"/>
      <c r="O479" s="21"/>
      <c r="Q479" s="21"/>
      <c r="S479" s="21"/>
    </row>
    <row r="480" spans="6:19" x14ac:dyDescent="0.25">
      <c r="F480" s="25"/>
      <c r="G480" s="42"/>
      <c r="H480" s="41"/>
      <c r="I480" s="41"/>
      <c r="K480" s="21"/>
      <c r="L480" s="21"/>
      <c r="M480" s="21"/>
      <c r="N480" s="21"/>
      <c r="O480" s="21"/>
      <c r="Q480" s="21"/>
      <c r="S480" s="21"/>
    </row>
    <row r="481" spans="6:19" x14ac:dyDescent="0.25">
      <c r="F481" s="25"/>
      <c r="G481" s="42"/>
      <c r="H481" s="41"/>
      <c r="I481" s="41"/>
      <c r="K481" s="21"/>
      <c r="L481" s="21"/>
      <c r="M481" s="21"/>
      <c r="N481" s="21"/>
      <c r="O481" s="21"/>
      <c r="Q481" s="21"/>
      <c r="S481" s="21"/>
    </row>
    <row r="482" spans="6:19" x14ac:dyDescent="0.25">
      <c r="F482" s="25"/>
      <c r="G482" s="42"/>
      <c r="H482" s="41"/>
      <c r="I482" s="41"/>
      <c r="K482" s="21"/>
      <c r="L482" s="21"/>
      <c r="M482" s="21"/>
      <c r="N482" s="21"/>
      <c r="O482" s="21"/>
      <c r="Q482" s="21"/>
      <c r="S482" s="21"/>
    </row>
    <row r="483" spans="6:19" x14ac:dyDescent="0.25">
      <c r="F483" s="25"/>
      <c r="G483" s="42"/>
      <c r="H483" s="41"/>
      <c r="I483" s="41"/>
      <c r="K483" s="21"/>
      <c r="L483" s="21"/>
      <c r="M483" s="21"/>
      <c r="N483" s="21"/>
      <c r="O483" s="21"/>
      <c r="Q483" s="21"/>
      <c r="S483" s="21"/>
    </row>
    <row r="484" spans="6:19" x14ac:dyDescent="0.25">
      <c r="F484" s="25"/>
      <c r="G484" s="42"/>
      <c r="H484" s="41"/>
      <c r="I484" s="41"/>
      <c r="K484" s="21"/>
      <c r="L484" s="21"/>
      <c r="M484" s="21"/>
      <c r="N484" s="21"/>
      <c r="O484" s="21"/>
      <c r="Q484" s="21"/>
      <c r="S484" s="21"/>
    </row>
    <row r="485" spans="6:19" x14ac:dyDescent="0.25">
      <c r="F485" s="25"/>
      <c r="G485" s="42"/>
      <c r="H485" s="41"/>
      <c r="I485" s="41"/>
      <c r="K485" s="21"/>
      <c r="L485" s="21"/>
      <c r="M485" s="21"/>
      <c r="N485" s="21"/>
      <c r="O485" s="21"/>
      <c r="Q485" s="21"/>
      <c r="S485" s="21"/>
    </row>
    <row r="486" spans="6:19" x14ac:dyDescent="0.25">
      <c r="F486" s="25"/>
      <c r="G486" s="42"/>
      <c r="H486" s="41"/>
      <c r="I486" s="41"/>
      <c r="K486" s="21"/>
      <c r="L486" s="21"/>
      <c r="M486" s="21"/>
      <c r="N486" s="21"/>
      <c r="O486" s="21"/>
      <c r="Q486" s="21"/>
      <c r="S486" s="21"/>
    </row>
    <row r="487" spans="6:19" x14ac:dyDescent="0.25">
      <c r="F487" s="25"/>
      <c r="G487" s="42"/>
      <c r="H487" s="41"/>
      <c r="I487" s="41"/>
      <c r="K487" s="21"/>
      <c r="L487" s="21"/>
      <c r="M487" s="21"/>
      <c r="N487" s="21"/>
      <c r="O487" s="21"/>
      <c r="Q487" s="21"/>
      <c r="S487" s="21"/>
    </row>
    <row r="488" spans="6:19" x14ac:dyDescent="0.25">
      <c r="F488" s="25"/>
      <c r="G488" s="42"/>
      <c r="H488" s="41"/>
      <c r="I488" s="41"/>
      <c r="K488" s="21"/>
      <c r="L488" s="21"/>
      <c r="M488" s="21"/>
      <c r="N488" s="21"/>
      <c r="O488" s="21"/>
      <c r="Q488" s="21"/>
      <c r="S488" s="21"/>
    </row>
    <row r="489" spans="6:19" x14ac:dyDescent="0.25">
      <c r="F489" s="25"/>
      <c r="G489" s="42"/>
      <c r="H489" s="41"/>
      <c r="I489" s="41"/>
      <c r="K489" s="21"/>
      <c r="L489" s="21"/>
      <c r="M489" s="21"/>
      <c r="N489" s="21"/>
      <c r="O489" s="21"/>
      <c r="Q489" s="21"/>
      <c r="S489" s="21"/>
    </row>
    <row r="490" spans="6:19" x14ac:dyDescent="0.25">
      <c r="F490" s="25"/>
      <c r="G490" s="42"/>
      <c r="H490" s="41"/>
      <c r="I490" s="41"/>
      <c r="K490" s="21"/>
      <c r="L490" s="21"/>
      <c r="M490" s="21"/>
      <c r="N490" s="21"/>
      <c r="O490" s="21"/>
      <c r="Q490" s="21"/>
      <c r="S490" s="21"/>
    </row>
    <row r="491" spans="6:19" x14ac:dyDescent="0.25">
      <c r="F491" s="25"/>
      <c r="G491" s="42"/>
      <c r="H491" s="41"/>
      <c r="I491" s="41"/>
      <c r="K491" s="21"/>
      <c r="L491" s="21"/>
      <c r="M491" s="21"/>
      <c r="N491" s="21"/>
      <c r="O491" s="21"/>
      <c r="Q491" s="21"/>
      <c r="S491" s="21"/>
    </row>
    <row r="492" spans="6:19" x14ac:dyDescent="0.25">
      <c r="F492" s="25"/>
      <c r="G492" s="42"/>
      <c r="H492" s="41"/>
      <c r="I492" s="41"/>
      <c r="K492" s="21"/>
      <c r="L492" s="21"/>
      <c r="M492" s="21"/>
      <c r="N492" s="21"/>
      <c r="O492" s="21"/>
      <c r="Q492" s="21"/>
      <c r="S492" s="21"/>
    </row>
    <row r="493" spans="6:19" x14ac:dyDescent="0.25">
      <c r="F493" s="25"/>
      <c r="G493" s="42"/>
      <c r="H493" s="41"/>
      <c r="I493" s="41"/>
      <c r="K493" s="21"/>
      <c r="L493" s="21"/>
      <c r="M493" s="21"/>
      <c r="N493" s="21"/>
      <c r="O493" s="21"/>
      <c r="Q493" s="21"/>
      <c r="S493" s="21"/>
    </row>
    <row r="494" spans="6:19" x14ac:dyDescent="0.25">
      <c r="F494" s="25"/>
      <c r="G494" s="42"/>
      <c r="H494" s="41"/>
      <c r="I494" s="41"/>
      <c r="K494" s="21"/>
      <c r="L494" s="21"/>
      <c r="M494" s="21"/>
      <c r="N494" s="21"/>
      <c r="O494" s="21"/>
      <c r="Q494" s="21"/>
      <c r="S494" s="21"/>
    </row>
    <row r="495" spans="6:19" x14ac:dyDescent="0.25">
      <c r="F495" s="25"/>
      <c r="G495" s="42"/>
      <c r="H495" s="41"/>
      <c r="I495" s="41"/>
      <c r="K495" s="21"/>
      <c r="L495" s="21"/>
      <c r="M495" s="21"/>
      <c r="N495" s="21"/>
      <c r="O495" s="21"/>
      <c r="Q495" s="21"/>
      <c r="S495" s="21"/>
    </row>
    <row r="496" spans="6:19" x14ac:dyDescent="0.25">
      <c r="F496" s="25"/>
      <c r="G496" s="42"/>
      <c r="H496" s="41"/>
      <c r="I496" s="41"/>
      <c r="K496" s="21"/>
      <c r="L496" s="21"/>
      <c r="M496" s="21"/>
      <c r="N496" s="21"/>
      <c r="O496" s="21"/>
      <c r="Q496" s="21"/>
      <c r="S496" s="21"/>
    </row>
    <row r="497" spans="6:19" x14ac:dyDescent="0.25">
      <c r="F497" s="25"/>
      <c r="G497" s="42"/>
      <c r="H497" s="41"/>
      <c r="I497" s="41"/>
      <c r="K497" s="21"/>
      <c r="L497" s="21"/>
      <c r="M497" s="21"/>
      <c r="N497" s="21"/>
      <c r="O497" s="21"/>
      <c r="Q497" s="21"/>
      <c r="S497" s="21"/>
    </row>
    <row r="498" spans="6:19" x14ac:dyDescent="0.25">
      <c r="F498" s="25"/>
      <c r="G498" s="42"/>
      <c r="H498" s="41"/>
      <c r="I498" s="41"/>
      <c r="K498" s="21"/>
      <c r="L498" s="21"/>
      <c r="M498" s="21"/>
      <c r="N498" s="21"/>
      <c r="O498" s="21"/>
      <c r="Q498" s="21"/>
      <c r="S498" s="21"/>
    </row>
    <row r="499" spans="6:19" x14ac:dyDescent="0.25">
      <c r="F499" s="25"/>
      <c r="G499" s="42"/>
      <c r="H499" s="41"/>
      <c r="I499" s="41"/>
      <c r="K499" s="21"/>
      <c r="L499" s="21"/>
      <c r="M499" s="21"/>
      <c r="N499" s="21"/>
      <c r="O499" s="21"/>
      <c r="Q499" s="21"/>
      <c r="S499" s="21"/>
    </row>
    <row r="500" spans="6:19" x14ac:dyDescent="0.25">
      <c r="F500" s="25"/>
      <c r="G500" s="42"/>
      <c r="H500" s="41"/>
      <c r="I500" s="41"/>
      <c r="K500" s="21"/>
      <c r="L500" s="21"/>
      <c r="M500" s="21"/>
      <c r="N500" s="21"/>
      <c r="O500" s="21"/>
      <c r="Q500" s="21"/>
      <c r="S500" s="21"/>
    </row>
    <row r="501" spans="6:19" x14ac:dyDescent="0.25">
      <c r="F501" s="25"/>
      <c r="G501" s="42"/>
      <c r="H501" s="41"/>
      <c r="I501" s="41"/>
      <c r="K501" s="21"/>
      <c r="L501" s="21"/>
      <c r="M501" s="21"/>
      <c r="N501" s="21"/>
      <c r="O501" s="21"/>
      <c r="Q501" s="21"/>
      <c r="S501" s="21"/>
    </row>
    <row r="502" spans="6:19" x14ac:dyDescent="0.25">
      <c r="F502" s="25"/>
      <c r="G502" s="42"/>
      <c r="H502" s="41"/>
      <c r="I502" s="41"/>
      <c r="K502" s="21"/>
      <c r="L502" s="21"/>
      <c r="M502" s="21"/>
      <c r="N502" s="21"/>
      <c r="O502" s="21"/>
      <c r="Q502" s="21"/>
      <c r="S502" s="21"/>
    </row>
    <row r="503" spans="6:19" x14ac:dyDescent="0.25">
      <c r="F503" s="25"/>
      <c r="G503" s="42"/>
      <c r="H503" s="41"/>
      <c r="I503" s="41"/>
      <c r="K503" s="21"/>
      <c r="L503" s="21"/>
      <c r="M503" s="21"/>
      <c r="N503" s="21"/>
      <c r="O503" s="21"/>
      <c r="Q503" s="21"/>
      <c r="S503" s="21"/>
    </row>
    <row r="504" spans="6:19" x14ac:dyDescent="0.25">
      <c r="F504" s="25"/>
      <c r="G504" s="42"/>
      <c r="H504" s="41"/>
      <c r="I504" s="41"/>
      <c r="K504" s="21"/>
      <c r="L504" s="21"/>
      <c r="M504" s="21"/>
      <c r="N504" s="21"/>
      <c r="O504" s="21"/>
      <c r="Q504" s="21"/>
      <c r="S504" s="21"/>
    </row>
    <row r="505" spans="6:19" x14ac:dyDescent="0.25">
      <c r="F505" s="25"/>
      <c r="G505" s="42"/>
      <c r="H505" s="41"/>
      <c r="I505" s="41"/>
      <c r="K505" s="21"/>
      <c r="L505" s="21"/>
      <c r="M505" s="21"/>
      <c r="N505" s="21"/>
      <c r="O505" s="21"/>
      <c r="Q505" s="21"/>
      <c r="S505" s="21"/>
    </row>
    <row r="506" spans="6:19" x14ac:dyDescent="0.25">
      <c r="F506" s="25"/>
      <c r="G506" s="42"/>
      <c r="H506" s="41"/>
      <c r="I506" s="41"/>
      <c r="K506" s="21"/>
      <c r="L506" s="21"/>
      <c r="M506" s="21"/>
      <c r="N506" s="21"/>
      <c r="O506" s="21"/>
      <c r="Q506" s="21"/>
      <c r="S506" s="21"/>
    </row>
    <row r="507" spans="6:19" x14ac:dyDescent="0.25">
      <c r="F507" s="25"/>
      <c r="G507" s="42"/>
      <c r="H507" s="41"/>
      <c r="I507" s="41"/>
      <c r="K507" s="21"/>
      <c r="L507" s="21"/>
      <c r="M507" s="21"/>
      <c r="N507" s="21"/>
      <c r="O507" s="21"/>
      <c r="Q507" s="21"/>
      <c r="S507" s="21"/>
    </row>
    <row r="508" spans="6:19" x14ac:dyDescent="0.25">
      <c r="F508" s="25"/>
      <c r="G508" s="42"/>
      <c r="H508" s="41"/>
      <c r="I508" s="41"/>
      <c r="K508" s="21"/>
      <c r="L508" s="21"/>
      <c r="M508" s="21"/>
      <c r="N508" s="21"/>
      <c r="O508" s="21"/>
      <c r="Q508" s="21"/>
      <c r="S508" s="21"/>
    </row>
    <row r="509" spans="6:19" x14ac:dyDescent="0.25">
      <c r="F509" s="25"/>
      <c r="G509" s="42"/>
      <c r="H509" s="41"/>
      <c r="I509" s="41"/>
      <c r="K509" s="21"/>
      <c r="L509" s="21"/>
      <c r="M509" s="21"/>
      <c r="N509" s="21"/>
      <c r="O509" s="21"/>
      <c r="Q509" s="21"/>
      <c r="S509" s="21"/>
    </row>
    <row r="510" spans="6:19" x14ac:dyDescent="0.25">
      <c r="F510" s="25"/>
      <c r="G510" s="42"/>
      <c r="H510" s="41"/>
      <c r="I510" s="41"/>
      <c r="K510" s="21"/>
      <c r="L510" s="21"/>
      <c r="M510" s="21"/>
      <c r="N510" s="21"/>
      <c r="O510" s="21"/>
      <c r="Q510" s="21"/>
      <c r="S510" s="21"/>
    </row>
    <row r="511" spans="6:19" x14ac:dyDescent="0.25">
      <c r="F511" s="25"/>
      <c r="G511" s="42"/>
      <c r="H511" s="41"/>
      <c r="I511" s="41"/>
      <c r="K511" s="21"/>
      <c r="L511" s="21"/>
      <c r="M511" s="21"/>
      <c r="N511" s="21"/>
      <c r="O511" s="21"/>
      <c r="Q511" s="21"/>
      <c r="S511" s="21"/>
    </row>
    <row r="512" spans="6:19" x14ac:dyDescent="0.25">
      <c r="F512" s="25"/>
      <c r="G512" s="42"/>
      <c r="H512" s="41"/>
      <c r="I512" s="41"/>
      <c r="K512" s="21"/>
      <c r="L512" s="21"/>
      <c r="M512" s="21"/>
      <c r="N512" s="21"/>
      <c r="O512" s="21"/>
      <c r="Q512" s="21"/>
      <c r="S512" s="21"/>
    </row>
    <row r="513" spans="6:19" x14ac:dyDescent="0.25">
      <c r="F513" s="25"/>
      <c r="G513" s="42"/>
      <c r="H513" s="41"/>
      <c r="I513" s="41"/>
      <c r="K513" s="21"/>
      <c r="L513" s="21"/>
      <c r="M513" s="21"/>
      <c r="N513" s="21"/>
      <c r="O513" s="21"/>
      <c r="Q513" s="21"/>
      <c r="S513" s="21"/>
    </row>
    <row r="514" spans="6:19" x14ac:dyDescent="0.25">
      <c r="F514" s="25"/>
      <c r="G514" s="42"/>
      <c r="H514" s="41"/>
      <c r="I514" s="41"/>
      <c r="K514" s="21"/>
      <c r="L514" s="21"/>
      <c r="M514" s="21"/>
      <c r="N514" s="21"/>
      <c r="O514" s="21"/>
      <c r="Q514" s="21"/>
      <c r="S514" s="21"/>
    </row>
    <row r="515" spans="6:19" x14ac:dyDescent="0.25">
      <c r="F515" s="25"/>
      <c r="G515" s="42"/>
      <c r="H515" s="41"/>
      <c r="I515" s="41"/>
      <c r="K515" s="21"/>
      <c r="L515" s="21"/>
      <c r="M515" s="21"/>
      <c r="N515" s="21"/>
      <c r="O515" s="21"/>
      <c r="Q515" s="21"/>
      <c r="S515" s="21"/>
    </row>
    <row r="516" spans="6:19" x14ac:dyDescent="0.25">
      <c r="F516" s="25"/>
      <c r="G516" s="42"/>
      <c r="H516" s="41"/>
      <c r="I516" s="41"/>
      <c r="K516" s="21"/>
      <c r="L516" s="21"/>
      <c r="M516" s="21"/>
      <c r="N516" s="21"/>
      <c r="O516" s="21"/>
      <c r="Q516" s="21"/>
      <c r="S516" s="21"/>
    </row>
    <row r="517" spans="6:19" x14ac:dyDescent="0.25">
      <c r="F517" s="25"/>
      <c r="G517" s="42"/>
      <c r="H517" s="41"/>
      <c r="I517" s="41"/>
      <c r="K517" s="21"/>
      <c r="L517" s="21"/>
      <c r="M517" s="21"/>
      <c r="N517" s="21"/>
      <c r="O517" s="21"/>
      <c r="Q517" s="21"/>
      <c r="S517" s="21"/>
    </row>
    <row r="518" spans="6:19" x14ac:dyDescent="0.25">
      <c r="F518" s="25"/>
      <c r="G518" s="42"/>
      <c r="H518" s="41"/>
      <c r="I518" s="41"/>
      <c r="K518" s="21"/>
      <c r="L518" s="21"/>
      <c r="M518" s="21"/>
      <c r="N518" s="21"/>
      <c r="O518" s="21"/>
      <c r="Q518" s="21"/>
      <c r="S518" s="21"/>
    </row>
    <row r="519" spans="6:19" x14ac:dyDescent="0.25">
      <c r="F519" s="25"/>
      <c r="G519" s="42"/>
      <c r="H519" s="41"/>
      <c r="I519" s="41"/>
      <c r="K519" s="21"/>
      <c r="L519" s="21"/>
      <c r="M519" s="21"/>
      <c r="N519" s="21"/>
      <c r="O519" s="21"/>
      <c r="Q519" s="21"/>
      <c r="S519" s="21"/>
    </row>
    <row r="520" spans="6:19" x14ac:dyDescent="0.25">
      <c r="F520" s="25"/>
      <c r="G520" s="42"/>
      <c r="H520" s="41"/>
      <c r="I520" s="41"/>
      <c r="K520" s="21"/>
      <c r="L520" s="21"/>
      <c r="M520" s="21"/>
      <c r="N520" s="21"/>
      <c r="O520" s="21"/>
      <c r="Q520" s="21"/>
      <c r="S520" s="21"/>
    </row>
    <row r="521" spans="6:19" x14ac:dyDescent="0.25">
      <c r="F521" s="25"/>
      <c r="G521" s="42"/>
      <c r="H521" s="41"/>
      <c r="I521" s="41"/>
      <c r="K521" s="21"/>
      <c r="L521" s="21"/>
      <c r="M521" s="21"/>
      <c r="N521" s="21"/>
      <c r="O521" s="21"/>
      <c r="Q521" s="21"/>
      <c r="S521" s="21"/>
    </row>
    <row r="522" spans="6:19" x14ac:dyDescent="0.25">
      <c r="F522" s="25"/>
      <c r="G522" s="42"/>
      <c r="H522" s="41"/>
      <c r="I522" s="41"/>
      <c r="K522" s="21"/>
      <c r="L522" s="21"/>
      <c r="M522" s="21"/>
      <c r="N522" s="21"/>
      <c r="O522" s="21"/>
      <c r="Q522" s="21"/>
      <c r="S522" s="21"/>
    </row>
    <row r="523" spans="6:19" x14ac:dyDescent="0.25">
      <c r="F523" s="25"/>
      <c r="G523" s="42"/>
      <c r="H523" s="41"/>
      <c r="I523" s="41"/>
      <c r="K523" s="21"/>
      <c r="L523" s="21"/>
      <c r="M523" s="21"/>
      <c r="N523" s="21"/>
      <c r="O523" s="21"/>
      <c r="Q523" s="21"/>
      <c r="S523" s="21"/>
    </row>
    <row r="524" spans="6:19" x14ac:dyDescent="0.25">
      <c r="F524" s="25"/>
      <c r="G524" s="42"/>
      <c r="H524" s="41"/>
      <c r="I524" s="41"/>
      <c r="K524" s="21"/>
      <c r="L524" s="21"/>
      <c r="M524" s="21"/>
      <c r="N524" s="21"/>
      <c r="O524" s="21"/>
      <c r="Q524" s="21"/>
      <c r="S524" s="21"/>
    </row>
    <row r="525" spans="6:19" x14ac:dyDescent="0.25">
      <c r="F525" s="25"/>
      <c r="G525" s="42"/>
      <c r="H525" s="41"/>
      <c r="I525" s="41"/>
      <c r="K525" s="21"/>
      <c r="L525" s="21"/>
      <c r="M525" s="21"/>
      <c r="N525" s="21"/>
      <c r="O525" s="21"/>
      <c r="Q525" s="21"/>
      <c r="S525" s="21"/>
    </row>
    <row r="526" spans="6:19" x14ac:dyDescent="0.25">
      <c r="F526" s="25"/>
      <c r="G526" s="42"/>
      <c r="H526" s="41"/>
      <c r="I526" s="41"/>
      <c r="K526" s="21"/>
      <c r="L526" s="21"/>
      <c r="M526" s="21"/>
      <c r="N526" s="21"/>
      <c r="O526" s="21"/>
      <c r="Q526" s="21"/>
      <c r="S526" s="21"/>
    </row>
    <row r="527" spans="6:19" x14ac:dyDescent="0.25">
      <c r="F527" s="25"/>
      <c r="G527" s="42"/>
      <c r="H527" s="41"/>
      <c r="I527" s="41"/>
      <c r="K527" s="21"/>
      <c r="L527" s="21"/>
      <c r="M527" s="21"/>
      <c r="N527" s="21"/>
      <c r="O527" s="21"/>
      <c r="Q527" s="21"/>
      <c r="S527" s="21"/>
    </row>
    <row r="528" spans="6:19" x14ac:dyDescent="0.25">
      <c r="F528" s="25"/>
      <c r="G528" s="42"/>
      <c r="H528" s="41"/>
      <c r="I528" s="41"/>
      <c r="K528" s="21"/>
      <c r="L528" s="21"/>
      <c r="M528" s="21"/>
      <c r="N528" s="21"/>
      <c r="O528" s="21"/>
      <c r="Q528" s="21"/>
      <c r="S528" s="21"/>
    </row>
    <row r="529" spans="6:19" x14ac:dyDescent="0.25">
      <c r="F529" s="25"/>
      <c r="G529" s="42"/>
      <c r="H529" s="41"/>
      <c r="I529" s="41"/>
      <c r="K529" s="21"/>
      <c r="L529" s="21"/>
      <c r="M529" s="21"/>
      <c r="N529" s="21"/>
      <c r="O529" s="21"/>
      <c r="Q529" s="21"/>
      <c r="S529" s="21"/>
    </row>
    <row r="530" spans="6:19" x14ac:dyDescent="0.25">
      <c r="F530" s="25"/>
      <c r="G530" s="42"/>
      <c r="H530" s="41"/>
      <c r="I530" s="41"/>
      <c r="K530" s="21"/>
      <c r="L530" s="21"/>
      <c r="M530" s="21"/>
      <c r="N530" s="21"/>
      <c r="O530" s="21"/>
      <c r="Q530" s="21"/>
      <c r="S530" s="21"/>
    </row>
    <row r="531" spans="6:19" x14ac:dyDescent="0.25">
      <c r="F531" s="25"/>
      <c r="G531" s="42"/>
      <c r="H531" s="41"/>
      <c r="I531" s="41"/>
      <c r="K531" s="21"/>
      <c r="L531" s="21"/>
      <c r="M531" s="21"/>
      <c r="N531" s="21"/>
      <c r="O531" s="21"/>
      <c r="Q531" s="21"/>
      <c r="S531" s="21"/>
    </row>
    <row r="532" spans="6:19" x14ac:dyDescent="0.25">
      <c r="F532" s="25"/>
      <c r="G532" s="42"/>
      <c r="H532" s="41"/>
      <c r="I532" s="41"/>
      <c r="K532" s="21"/>
      <c r="L532" s="21"/>
      <c r="M532" s="21"/>
      <c r="N532" s="21"/>
      <c r="O532" s="21"/>
      <c r="Q532" s="21"/>
      <c r="S532" s="21"/>
    </row>
    <row r="533" spans="6:19" x14ac:dyDescent="0.25">
      <c r="F533" s="25"/>
      <c r="G533" s="42"/>
      <c r="H533" s="41"/>
      <c r="I533" s="41"/>
      <c r="K533" s="21"/>
      <c r="L533" s="21"/>
      <c r="M533" s="21"/>
      <c r="N533" s="21"/>
      <c r="O533" s="21"/>
      <c r="Q533" s="21"/>
      <c r="S533" s="21"/>
    </row>
    <row r="534" spans="6:19" x14ac:dyDescent="0.25">
      <c r="F534" s="25"/>
      <c r="G534" s="42"/>
      <c r="H534" s="41"/>
      <c r="I534" s="41"/>
      <c r="K534" s="21"/>
      <c r="L534" s="21"/>
      <c r="M534" s="21"/>
      <c r="N534" s="21"/>
      <c r="O534" s="21"/>
      <c r="Q534" s="21"/>
      <c r="S534" s="21"/>
    </row>
    <row r="535" spans="6:19" x14ac:dyDescent="0.25">
      <c r="F535" s="25"/>
      <c r="G535" s="42"/>
      <c r="H535" s="41"/>
      <c r="I535" s="41"/>
      <c r="K535" s="21"/>
      <c r="L535" s="21"/>
      <c r="M535" s="21"/>
      <c r="N535" s="21"/>
      <c r="O535" s="21"/>
      <c r="Q535" s="21"/>
      <c r="S535" s="21"/>
    </row>
    <row r="536" spans="6:19" x14ac:dyDescent="0.25">
      <c r="F536" s="25"/>
      <c r="G536" s="42"/>
      <c r="H536" s="41"/>
      <c r="I536" s="41"/>
      <c r="K536" s="21"/>
      <c r="L536" s="21"/>
      <c r="M536" s="21"/>
      <c r="N536" s="21"/>
      <c r="O536" s="21"/>
      <c r="Q536" s="21"/>
      <c r="S536" s="21"/>
    </row>
    <row r="537" spans="6:19" x14ac:dyDescent="0.25">
      <c r="F537" s="25"/>
      <c r="G537" s="42"/>
      <c r="H537" s="41"/>
      <c r="I537" s="41"/>
      <c r="K537" s="21"/>
      <c r="L537" s="21"/>
      <c r="M537" s="21"/>
      <c r="N537" s="21"/>
      <c r="O537" s="21"/>
      <c r="Q537" s="21"/>
      <c r="S537" s="21"/>
    </row>
    <row r="538" spans="6:19" x14ac:dyDescent="0.25">
      <c r="F538" s="25"/>
      <c r="G538" s="42"/>
      <c r="H538" s="41"/>
      <c r="I538" s="41"/>
      <c r="K538" s="21"/>
      <c r="L538" s="21"/>
      <c r="M538" s="21"/>
      <c r="N538" s="21"/>
      <c r="O538" s="21"/>
      <c r="Q538" s="21"/>
      <c r="S538" s="21"/>
    </row>
    <row r="539" spans="6:19" x14ac:dyDescent="0.25">
      <c r="F539" s="25"/>
      <c r="G539" s="42"/>
      <c r="H539" s="41"/>
      <c r="I539" s="41"/>
      <c r="K539" s="21"/>
      <c r="L539" s="21"/>
      <c r="M539" s="21"/>
      <c r="N539" s="21"/>
      <c r="O539" s="21"/>
      <c r="Q539" s="21"/>
      <c r="S539" s="21"/>
    </row>
    <row r="540" spans="6:19" x14ac:dyDescent="0.25">
      <c r="F540" s="25"/>
      <c r="G540" s="42"/>
      <c r="H540" s="41"/>
      <c r="I540" s="41"/>
      <c r="K540" s="21"/>
      <c r="L540" s="21"/>
      <c r="M540" s="21"/>
      <c r="N540" s="21"/>
      <c r="O540" s="21"/>
      <c r="Q540" s="21"/>
      <c r="S540" s="21"/>
    </row>
    <row r="541" spans="6:19" x14ac:dyDescent="0.25">
      <c r="F541" s="25"/>
      <c r="G541" s="42"/>
      <c r="H541" s="41"/>
      <c r="I541" s="41"/>
      <c r="K541" s="21"/>
      <c r="L541" s="21"/>
      <c r="M541" s="21"/>
      <c r="N541" s="21"/>
      <c r="O541" s="21"/>
      <c r="Q541" s="21"/>
      <c r="S541" s="21"/>
    </row>
    <row r="542" spans="6:19" x14ac:dyDescent="0.25">
      <c r="F542" s="25"/>
      <c r="G542" s="42"/>
      <c r="H542" s="41"/>
      <c r="I542" s="41"/>
      <c r="K542" s="21"/>
      <c r="L542" s="21"/>
      <c r="M542" s="21"/>
      <c r="N542" s="21"/>
      <c r="O542" s="21"/>
      <c r="Q542" s="21"/>
      <c r="S542" s="21"/>
    </row>
    <row r="543" spans="6:19" x14ac:dyDescent="0.25">
      <c r="F543" s="25"/>
      <c r="G543" s="42"/>
      <c r="H543" s="41"/>
      <c r="I543" s="41"/>
      <c r="K543" s="21"/>
      <c r="L543" s="21"/>
      <c r="M543" s="21"/>
      <c r="N543" s="21"/>
      <c r="O543" s="21"/>
      <c r="Q543" s="21"/>
      <c r="S543" s="21"/>
    </row>
    <row r="544" spans="6:19" x14ac:dyDescent="0.25">
      <c r="F544" s="25"/>
      <c r="G544" s="42"/>
      <c r="H544" s="41"/>
      <c r="I544" s="41"/>
      <c r="K544" s="21"/>
      <c r="L544" s="21"/>
      <c r="M544" s="21"/>
      <c r="N544" s="21"/>
      <c r="O544" s="21"/>
      <c r="Q544" s="21"/>
      <c r="S544" s="21"/>
    </row>
    <row r="545" spans="6:19" x14ac:dyDescent="0.25">
      <c r="F545" s="25"/>
      <c r="G545" s="42"/>
      <c r="H545" s="41"/>
      <c r="I545" s="41"/>
      <c r="K545" s="21"/>
      <c r="L545" s="21"/>
      <c r="M545" s="21"/>
      <c r="N545" s="21"/>
      <c r="O545" s="21"/>
      <c r="Q545" s="21"/>
      <c r="S545" s="21"/>
    </row>
    <row r="546" spans="6:19" x14ac:dyDescent="0.25">
      <c r="F546" s="25"/>
      <c r="G546" s="42"/>
      <c r="H546" s="41"/>
      <c r="I546" s="41"/>
      <c r="K546" s="21"/>
      <c r="L546" s="21"/>
      <c r="M546" s="21"/>
      <c r="N546" s="21"/>
      <c r="O546" s="21"/>
      <c r="Q546" s="21"/>
      <c r="S546" s="21"/>
    </row>
    <row r="547" spans="6:19" x14ac:dyDescent="0.25">
      <c r="F547" s="25"/>
      <c r="G547" s="42"/>
      <c r="H547" s="41"/>
      <c r="I547" s="41"/>
      <c r="K547" s="21"/>
      <c r="L547" s="21"/>
      <c r="M547" s="21"/>
      <c r="N547" s="21"/>
      <c r="O547" s="21"/>
      <c r="Q547" s="21"/>
      <c r="S547" s="21"/>
    </row>
    <row r="548" spans="6:19" x14ac:dyDescent="0.25">
      <c r="F548" s="25"/>
      <c r="G548" s="42"/>
      <c r="H548" s="41"/>
      <c r="I548" s="41"/>
      <c r="K548" s="21"/>
      <c r="L548" s="21"/>
      <c r="M548" s="21"/>
      <c r="N548" s="21"/>
      <c r="O548" s="21"/>
      <c r="Q548" s="21"/>
      <c r="S548" s="21"/>
    </row>
    <row r="549" spans="6:19" x14ac:dyDescent="0.25">
      <c r="F549" s="25"/>
      <c r="G549" s="42"/>
      <c r="H549" s="41"/>
      <c r="I549" s="41"/>
      <c r="K549" s="21"/>
      <c r="L549" s="21"/>
      <c r="M549" s="21"/>
      <c r="N549" s="21"/>
      <c r="O549" s="21"/>
      <c r="Q549" s="21"/>
      <c r="S549" s="21"/>
    </row>
    <row r="550" spans="6:19" x14ac:dyDescent="0.25">
      <c r="F550" s="25"/>
      <c r="G550" s="42"/>
      <c r="H550" s="41"/>
      <c r="I550" s="41"/>
      <c r="K550" s="21"/>
      <c r="L550" s="21"/>
      <c r="M550" s="21"/>
      <c r="N550" s="21"/>
      <c r="O550" s="21"/>
      <c r="Q550" s="21"/>
      <c r="S550" s="21"/>
    </row>
    <row r="551" spans="6:19" x14ac:dyDescent="0.25">
      <c r="F551" s="25"/>
      <c r="G551" s="42"/>
      <c r="H551" s="41"/>
      <c r="I551" s="41"/>
      <c r="K551" s="21"/>
      <c r="L551" s="21"/>
      <c r="M551" s="21"/>
      <c r="N551" s="21"/>
      <c r="O551" s="21"/>
      <c r="Q551" s="21"/>
      <c r="S551" s="21"/>
    </row>
    <row r="552" spans="6:19" x14ac:dyDescent="0.25">
      <c r="F552" s="25"/>
      <c r="G552" s="42"/>
      <c r="H552" s="41"/>
      <c r="I552" s="41"/>
      <c r="K552" s="21"/>
      <c r="L552" s="21"/>
      <c r="M552" s="21"/>
      <c r="N552" s="21"/>
      <c r="O552" s="21"/>
      <c r="Q552" s="21"/>
      <c r="S552" s="21"/>
    </row>
    <row r="553" spans="6:19" x14ac:dyDescent="0.25">
      <c r="F553" s="25"/>
      <c r="G553" s="42"/>
      <c r="H553" s="41"/>
      <c r="I553" s="41"/>
      <c r="K553" s="21"/>
      <c r="L553" s="21"/>
      <c r="M553" s="21"/>
      <c r="N553" s="21"/>
      <c r="O553" s="21"/>
      <c r="Q553" s="21"/>
      <c r="S553" s="21"/>
    </row>
    <row r="554" spans="6:19" x14ac:dyDescent="0.25">
      <c r="F554" s="25"/>
      <c r="G554" s="42"/>
      <c r="H554" s="41"/>
      <c r="I554" s="41"/>
      <c r="K554" s="21"/>
      <c r="L554" s="21"/>
      <c r="M554" s="21"/>
      <c r="N554" s="21"/>
      <c r="O554" s="21"/>
      <c r="Q554" s="21"/>
      <c r="S554" s="21"/>
    </row>
    <row r="555" spans="6:19" x14ac:dyDescent="0.25">
      <c r="F555" s="25"/>
      <c r="G555" s="42"/>
      <c r="H555" s="41"/>
      <c r="I555" s="41"/>
      <c r="K555" s="21"/>
      <c r="L555" s="21"/>
      <c r="M555" s="21"/>
      <c r="N555" s="21"/>
      <c r="O555" s="21"/>
      <c r="Q555" s="21"/>
      <c r="S555" s="21"/>
    </row>
    <row r="556" spans="6:19" x14ac:dyDescent="0.25">
      <c r="F556" s="25"/>
      <c r="G556" s="42"/>
      <c r="H556" s="41"/>
      <c r="I556" s="41"/>
      <c r="K556" s="21"/>
      <c r="L556" s="21"/>
      <c r="M556" s="21"/>
      <c r="N556" s="21"/>
      <c r="O556" s="21"/>
      <c r="Q556" s="21"/>
      <c r="S556" s="21"/>
    </row>
    <row r="557" spans="6:19" x14ac:dyDescent="0.25">
      <c r="F557" s="25"/>
      <c r="G557" s="42"/>
      <c r="H557" s="41"/>
      <c r="I557" s="41"/>
      <c r="K557" s="21"/>
      <c r="L557" s="21"/>
      <c r="M557" s="21"/>
      <c r="N557" s="21"/>
      <c r="O557" s="21"/>
      <c r="Q557" s="21"/>
      <c r="S557" s="21"/>
    </row>
    <row r="558" spans="6:19" x14ac:dyDescent="0.25">
      <c r="F558" s="25"/>
      <c r="G558" s="42"/>
      <c r="H558" s="41"/>
      <c r="I558" s="41"/>
      <c r="K558" s="21"/>
      <c r="L558" s="21"/>
      <c r="M558" s="21"/>
      <c r="N558" s="21"/>
      <c r="O558" s="21"/>
      <c r="Q558" s="21"/>
      <c r="S558" s="21"/>
    </row>
    <row r="559" spans="6:19" x14ac:dyDescent="0.25">
      <c r="F559" s="25"/>
      <c r="G559" s="42"/>
      <c r="H559" s="41"/>
      <c r="I559" s="41"/>
      <c r="K559" s="21"/>
      <c r="L559" s="21"/>
      <c r="M559" s="21"/>
      <c r="N559" s="21"/>
      <c r="O559" s="21"/>
      <c r="Q559" s="21"/>
      <c r="S559" s="21"/>
    </row>
    <row r="560" spans="6:19" x14ac:dyDescent="0.25">
      <c r="F560" s="25"/>
      <c r="G560" s="42"/>
      <c r="H560" s="41"/>
      <c r="I560" s="41"/>
      <c r="K560" s="21"/>
      <c r="L560" s="21"/>
      <c r="M560" s="21"/>
      <c r="N560" s="21"/>
      <c r="O560" s="21"/>
      <c r="Q560" s="21"/>
      <c r="S560" s="21"/>
    </row>
    <row r="561" spans="6:19" x14ac:dyDescent="0.25">
      <c r="F561" s="25"/>
      <c r="G561" s="42"/>
      <c r="H561" s="41"/>
      <c r="I561" s="41"/>
      <c r="K561" s="21"/>
      <c r="L561" s="21"/>
      <c r="M561" s="21"/>
      <c r="N561" s="21"/>
      <c r="O561" s="21"/>
      <c r="Q561" s="21"/>
      <c r="S561" s="21"/>
    </row>
    <row r="562" spans="6:19" x14ac:dyDescent="0.25">
      <c r="F562" s="25"/>
      <c r="G562" s="42"/>
      <c r="H562" s="41"/>
      <c r="I562" s="41"/>
      <c r="K562" s="21"/>
      <c r="L562" s="21"/>
      <c r="M562" s="21"/>
      <c r="N562" s="21"/>
      <c r="O562" s="21"/>
      <c r="Q562" s="21"/>
      <c r="S562" s="21"/>
    </row>
    <row r="563" spans="6:19" x14ac:dyDescent="0.25">
      <c r="F563" s="25"/>
      <c r="G563" s="42"/>
      <c r="H563" s="41"/>
      <c r="I563" s="41"/>
      <c r="K563" s="21"/>
      <c r="L563" s="21"/>
      <c r="M563" s="21"/>
      <c r="N563" s="21"/>
      <c r="O563" s="21"/>
      <c r="Q563" s="21"/>
      <c r="S563" s="21"/>
    </row>
    <row r="564" spans="6:19" x14ac:dyDescent="0.25">
      <c r="F564" s="25"/>
      <c r="G564" s="42"/>
      <c r="H564" s="41"/>
      <c r="I564" s="41"/>
      <c r="K564" s="21"/>
      <c r="L564" s="21"/>
      <c r="M564" s="21"/>
      <c r="N564" s="21"/>
      <c r="O564" s="21"/>
      <c r="Q564" s="21"/>
      <c r="S564" s="21"/>
    </row>
    <row r="565" spans="6:19" x14ac:dyDescent="0.25">
      <c r="F565" s="25"/>
      <c r="G565" s="42"/>
      <c r="H565" s="41"/>
      <c r="I565" s="41"/>
      <c r="K565" s="21"/>
      <c r="L565" s="21"/>
      <c r="M565" s="21"/>
      <c r="N565" s="21"/>
      <c r="O565" s="21"/>
      <c r="Q565" s="21"/>
      <c r="S565" s="21"/>
    </row>
    <row r="566" spans="6:19" x14ac:dyDescent="0.25">
      <c r="F566" s="25"/>
      <c r="G566" s="42"/>
      <c r="H566" s="41"/>
      <c r="I566" s="41"/>
      <c r="K566" s="21"/>
      <c r="L566" s="21"/>
      <c r="M566" s="21"/>
      <c r="N566" s="21"/>
      <c r="O566" s="21"/>
      <c r="Q566" s="21"/>
      <c r="S566" s="21"/>
    </row>
    <row r="567" spans="6:19" x14ac:dyDescent="0.25">
      <c r="F567" s="25"/>
      <c r="G567" s="42"/>
      <c r="H567" s="41"/>
      <c r="I567" s="41"/>
      <c r="K567" s="21"/>
      <c r="L567" s="21"/>
      <c r="M567" s="21"/>
      <c r="N567" s="21"/>
      <c r="O567" s="21"/>
      <c r="Q567" s="21"/>
      <c r="S567" s="21"/>
    </row>
    <row r="568" spans="6:19" x14ac:dyDescent="0.25">
      <c r="F568" s="25"/>
      <c r="G568" s="42"/>
      <c r="H568" s="41"/>
      <c r="I568" s="41"/>
      <c r="K568" s="21"/>
      <c r="L568" s="21"/>
      <c r="M568" s="21"/>
      <c r="N568" s="21"/>
      <c r="O568" s="21"/>
      <c r="Q568" s="21"/>
      <c r="S568" s="21"/>
    </row>
    <row r="569" spans="6:19" x14ac:dyDescent="0.25">
      <c r="F569" s="25"/>
      <c r="G569" s="42"/>
      <c r="H569" s="41"/>
      <c r="I569" s="41"/>
      <c r="K569" s="21"/>
      <c r="L569" s="21"/>
      <c r="M569" s="21"/>
      <c r="N569" s="21"/>
      <c r="O569" s="21"/>
      <c r="Q569" s="21"/>
      <c r="S569" s="21"/>
    </row>
    <row r="570" spans="6:19" x14ac:dyDescent="0.25">
      <c r="F570" s="25"/>
      <c r="G570" s="42"/>
      <c r="H570" s="41"/>
      <c r="I570" s="41"/>
      <c r="K570" s="21"/>
      <c r="L570" s="21"/>
      <c r="M570" s="21"/>
      <c r="N570" s="21"/>
      <c r="O570" s="21"/>
      <c r="Q570" s="21"/>
      <c r="S570" s="21"/>
    </row>
    <row r="571" spans="6:19" x14ac:dyDescent="0.25">
      <c r="F571" s="25"/>
      <c r="G571" s="42"/>
      <c r="H571" s="41"/>
      <c r="I571" s="41"/>
      <c r="K571" s="21"/>
      <c r="L571" s="21"/>
      <c r="M571" s="21"/>
      <c r="N571" s="21"/>
      <c r="O571" s="21"/>
      <c r="Q571" s="21"/>
      <c r="S571" s="21"/>
    </row>
    <row r="572" spans="6:19" x14ac:dyDescent="0.25">
      <c r="F572" s="25"/>
      <c r="G572" s="42"/>
      <c r="H572" s="41"/>
      <c r="I572" s="41"/>
      <c r="K572" s="21"/>
      <c r="L572" s="21"/>
      <c r="M572" s="21"/>
      <c r="N572" s="21"/>
      <c r="O572" s="21"/>
      <c r="Q572" s="21"/>
      <c r="S572" s="21"/>
    </row>
    <row r="573" spans="6:19" x14ac:dyDescent="0.25">
      <c r="F573" s="25"/>
      <c r="G573" s="42"/>
      <c r="H573" s="41"/>
      <c r="I573" s="41"/>
      <c r="K573" s="21"/>
      <c r="L573" s="21"/>
      <c r="M573" s="21"/>
      <c r="N573" s="21"/>
      <c r="O573" s="21"/>
      <c r="Q573" s="21"/>
      <c r="S573" s="21"/>
    </row>
    <row r="574" spans="6:19" x14ac:dyDescent="0.25">
      <c r="F574" s="25"/>
      <c r="G574" s="42"/>
      <c r="H574" s="41"/>
      <c r="I574" s="41"/>
      <c r="K574" s="21"/>
      <c r="L574" s="21"/>
      <c r="M574" s="21"/>
      <c r="N574" s="21"/>
      <c r="O574" s="21"/>
      <c r="Q574" s="21"/>
      <c r="S574" s="21"/>
    </row>
    <row r="575" spans="6:19" x14ac:dyDescent="0.25">
      <c r="F575" s="25"/>
      <c r="G575" s="42"/>
      <c r="H575" s="41"/>
      <c r="I575" s="41"/>
      <c r="K575" s="21"/>
      <c r="L575" s="21"/>
      <c r="M575" s="21"/>
      <c r="N575" s="21"/>
      <c r="O575" s="21"/>
      <c r="Q575" s="21"/>
      <c r="S575" s="21"/>
    </row>
    <row r="576" spans="6:19" x14ac:dyDescent="0.25">
      <c r="F576" s="25"/>
      <c r="G576" s="42"/>
      <c r="H576" s="41"/>
      <c r="I576" s="41"/>
      <c r="K576" s="21"/>
      <c r="L576" s="21"/>
      <c r="M576" s="21"/>
      <c r="N576" s="21"/>
      <c r="O576" s="21"/>
      <c r="Q576" s="21"/>
      <c r="S576" s="21"/>
    </row>
    <row r="577" spans="6:19" x14ac:dyDescent="0.25">
      <c r="F577" s="25"/>
      <c r="G577" s="42"/>
      <c r="H577" s="41"/>
      <c r="I577" s="41"/>
      <c r="K577" s="21"/>
      <c r="L577" s="21"/>
      <c r="M577" s="21"/>
      <c r="N577" s="21"/>
      <c r="O577" s="21"/>
      <c r="Q577" s="21"/>
      <c r="S577" s="21"/>
    </row>
    <row r="578" spans="6:19" x14ac:dyDescent="0.25">
      <c r="F578" s="25"/>
      <c r="G578" s="42"/>
      <c r="H578" s="41"/>
      <c r="I578" s="41"/>
      <c r="K578" s="21"/>
      <c r="L578" s="21"/>
      <c r="M578" s="21"/>
      <c r="N578" s="21"/>
      <c r="O578" s="21"/>
      <c r="Q578" s="21"/>
      <c r="S578" s="21"/>
    </row>
    <row r="579" spans="6:19" x14ac:dyDescent="0.25">
      <c r="F579" s="25"/>
      <c r="G579" s="42"/>
      <c r="H579" s="41"/>
      <c r="I579" s="41"/>
      <c r="K579" s="21"/>
      <c r="L579" s="21"/>
      <c r="M579" s="21"/>
      <c r="N579" s="21"/>
      <c r="O579" s="21"/>
      <c r="Q579" s="21"/>
      <c r="S579" s="21"/>
    </row>
    <row r="580" spans="6:19" x14ac:dyDescent="0.25">
      <c r="F580" s="25"/>
      <c r="G580" s="42"/>
      <c r="H580" s="41"/>
      <c r="I580" s="41"/>
      <c r="K580" s="21"/>
      <c r="L580" s="21"/>
      <c r="M580" s="21"/>
      <c r="N580" s="21"/>
      <c r="O580" s="21"/>
      <c r="Q580" s="21"/>
      <c r="S580" s="21"/>
    </row>
    <row r="581" spans="6:19" x14ac:dyDescent="0.25">
      <c r="F581" s="25"/>
      <c r="G581" s="42"/>
      <c r="H581" s="41"/>
      <c r="I581" s="41"/>
      <c r="K581" s="21"/>
      <c r="L581" s="21"/>
      <c r="M581" s="21"/>
      <c r="N581" s="21"/>
      <c r="O581" s="21"/>
      <c r="Q581" s="21"/>
      <c r="S581" s="21"/>
    </row>
    <row r="582" spans="6:19" x14ac:dyDescent="0.25">
      <c r="F582" s="25"/>
      <c r="G582" s="42"/>
      <c r="H582" s="41"/>
      <c r="I582" s="41"/>
      <c r="K582" s="21"/>
      <c r="L582" s="21"/>
      <c r="M582" s="21"/>
      <c r="N582" s="21"/>
      <c r="O582" s="21"/>
      <c r="Q582" s="21"/>
      <c r="S582" s="21"/>
    </row>
    <row r="583" spans="6:19" x14ac:dyDescent="0.25">
      <c r="F583" s="25"/>
      <c r="G583" s="42"/>
      <c r="H583" s="41"/>
      <c r="I583" s="41"/>
      <c r="K583" s="21"/>
      <c r="L583" s="21"/>
      <c r="M583" s="21"/>
      <c r="N583" s="21"/>
      <c r="O583" s="21"/>
      <c r="Q583" s="21"/>
      <c r="S583" s="21"/>
    </row>
    <row r="584" spans="6:19" x14ac:dyDescent="0.25">
      <c r="F584" s="25"/>
      <c r="G584" s="42"/>
      <c r="H584" s="41"/>
      <c r="I584" s="41"/>
      <c r="K584" s="21"/>
      <c r="L584" s="21"/>
      <c r="M584" s="21"/>
      <c r="N584" s="21"/>
      <c r="O584" s="21"/>
      <c r="Q584" s="21"/>
      <c r="S584" s="21"/>
    </row>
    <row r="585" spans="6:19" x14ac:dyDescent="0.25">
      <c r="F585" s="25"/>
      <c r="G585" s="42"/>
      <c r="H585" s="41"/>
      <c r="I585" s="41"/>
      <c r="K585" s="21"/>
      <c r="L585" s="21"/>
      <c r="M585" s="21"/>
      <c r="N585" s="21"/>
      <c r="O585" s="21"/>
      <c r="Q585" s="21"/>
      <c r="S585" s="21"/>
    </row>
    <row r="586" spans="6:19" x14ac:dyDescent="0.25">
      <c r="F586" s="25"/>
      <c r="G586" s="42"/>
      <c r="H586" s="41"/>
      <c r="I586" s="41"/>
      <c r="K586" s="21"/>
      <c r="L586" s="21"/>
      <c r="M586" s="21"/>
      <c r="N586" s="21"/>
      <c r="O586" s="21"/>
      <c r="Q586" s="21"/>
      <c r="S586" s="21"/>
    </row>
    <row r="587" spans="6:19" x14ac:dyDescent="0.25">
      <c r="F587" s="25"/>
      <c r="G587" s="42"/>
      <c r="H587" s="41"/>
      <c r="I587" s="41"/>
      <c r="K587" s="21"/>
      <c r="L587" s="21"/>
      <c r="M587" s="21"/>
      <c r="N587" s="21"/>
      <c r="O587" s="21"/>
      <c r="Q587" s="21"/>
      <c r="S587" s="21"/>
    </row>
    <row r="588" spans="6:19" x14ac:dyDescent="0.25">
      <c r="F588" s="25"/>
      <c r="G588" s="42"/>
      <c r="H588" s="41"/>
      <c r="I588" s="41"/>
      <c r="K588" s="21"/>
      <c r="L588" s="21"/>
      <c r="M588" s="21"/>
      <c r="N588" s="21"/>
      <c r="O588" s="21"/>
      <c r="Q588" s="21"/>
      <c r="S588" s="21"/>
    </row>
    <row r="589" spans="6:19" x14ac:dyDescent="0.25">
      <c r="F589" s="25"/>
      <c r="G589" s="42"/>
      <c r="H589" s="41"/>
      <c r="I589" s="41"/>
      <c r="K589" s="21"/>
      <c r="L589" s="21"/>
      <c r="M589" s="21"/>
      <c r="N589" s="21"/>
      <c r="O589" s="21"/>
      <c r="Q589" s="21"/>
      <c r="S589" s="21"/>
    </row>
    <row r="590" spans="6:19" x14ac:dyDescent="0.25">
      <c r="F590" s="25"/>
      <c r="G590" s="42"/>
      <c r="H590" s="41"/>
      <c r="I590" s="41"/>
      <c r="K590" s="21"/>
      <c r="L590" s="21"/>
      <c r="M590" s="21"/>
      <c r="N590" s="21"/>
      <c r="O590" s="21"/>
      <c r="Q590" s="21"/>
      <c r="S590" s="21"/>
    </row>
    <row r="591" spans="6:19" x14ac:dyDescent="0.25">
      <c r="F591" s="25"/>
      <c r="G591" s="42"/>
      <c r="H591" s="41"/>
      <c r="I591" s="41"/>
      <c r="K591" s="21"/>
      <c r="L591" s="21"/>
      <c r="M591" s="21"/>
      <c r="N591" s="21"/>
      <c r="O591" s="21"/>
      <c r="Q591" s="21"/>
      <c r="S591" s="21"/>
    </row>
    <row r="592" spans="6:19" x14ac:dyDescent="0.25">
      <c r="F592" s="25"/>
      <c r="G592" s="42"/>
      <c r="H592" s="41"/>
      <c r="I592" s="41"/>
      <c r="K592" s="21"/>
      <c r="L592" s="21"/>
      <c r="M592" s="21"/>
      <c r="N592" s="21"/>
      <c r="O592" s="21"/>
      <c r="Q592" s="21"/>
      <c r="S592" s="21"/>
    </row>
    <row r="593" spans="6:19" x14ac:dyDescent="0.25">
      <c r="F593" s="25"/>
      <c r="G593" s="42"/>
      <c r="H593" s="41"/>
      <c r="I593" s="41"/>
      <c r="K593" s="21"/>
      <c r="L593" s="21"/>
      <c r="M593" s="21"/>
      <c r="N593" s="21"/>
      <c r="O593" s="21"/>
      <c r="Q593" s="21"/>
      <c r="S593" s="21"/>
    </row>
    <row r="594" spans="6:19" x14ac:dyDescent="0.25">
      <c r="F594" s="25"/>
      <c r="G594" s="42"/>
      <c r="H594" s="41"/>
      <c r="I594" s="41"/>
      <c r="K594" s="21"/>
      <c r="L594" s="21"/>
      <c r="M594" s="21"/>
      <c r="N594" s="21"/>
      <c r="O594" s="21"/>
      <c r="Q594" s="21"/>
      <c r="S594" s="21"/>
    </row>
    <row r="595" spans="6:19" x14ac:dyDescent="0.25">
      <c r="F595" s="25"/>
      <c r="G595" s="42"/>
      <c r="H595" s="41"/>
      <c r="I595" s="41"/>
      <c r="K595" s="21"/>
      <c r="L595" s="21"/>
      <c r="M595" s="21"/>
      <c r="N595" s="21"/>
      <c r="O595" s="21"/>
      <c r="Q595" s="21"/>
      <c r="S595" s="21"/>
    </row>
    <row r="596" spans="6:19" x14ac:dyDescent="0.25">
      <c r="F596" s="25"/>
      <c r="G596" s="42"/>
      <c r="H596" s="41"/>
      <c r="I596" s="41"/>
      <c r="K596" s="21"/>
      <c r="L596" s="21"/>
      <c r="M596" s="21"/>
      <c r="N596" s="21"/>
      <c r="O596" s="21"/>
      <c r="Q596" s="21"/>
      <c r="S596" s="21"/>
    </row>
    <row r="597" spans="6:19" x14ac:dyDescent="0.25">
      <c r="F597" s="25"/>
      <c r="G597" s="42"/>
      <c r="H597" s="41"/>
      <c r="I597" s="41"/>
      <c r="K597" s="21"/>
      <c r="L597" s="21"/>
      <c r="M597" s="21"/>
      <c r="N597" s="21"/>
      <c r="O597" s="21"/>
      <c r="Q597" s="21"/>
      <c r="S597" s="21"/>
    </row>
    <row r="598" spans="6:19" x14ac:dyDescent="0.25">
      <c r="F598" s="25"/>
      <c r="G598" s="42"/>
      <c r="H598" s="41"/>
      <c r="I598" s="41"/>
      <c r="K598" s="21"/>
      <c r="L598" s="21"/>
      <c r="M598" s="21"/>
      <c r="N598" s="21"/>
      <c r="O598" s="21"/>
      <c r="Q598" s="21"/>
      <c r="S598" s="21"/>
    </row>
    <row r="599" spans="6:19" x14ac:dyDescent="0.25">
      <c r="F599" s="25"/>
      <c r="G599" s="42"/>
      <c r="H599" s="41"/>
      <c r="I599" s="41"/>
      <c r="K599" s="21"/>
      <c r="L599" s="21"/>
      <c r="M599" s="21"/>
      <c r="N599" s="21"/>
      <c r="O599" s="21"/>
      <c r="Q599" s="21"/>
      <c r="S599" s="21"/>
    </row>
    <row r="600" spans="6:19" x14ac:dyDescent="0.25">
      <c r="F600" s="25"/>
      <c r="G600" s="42"/>
      <c r="H600" s="41"/>
      <c r="I600" s="41"/>
      <c r="K600" s="21"/>
      <c r="L600" s="21"/>
      <c r="M600" s="21"/>
      <c r="N600" s="21"/>
      <c r="O600" s="21"/>
      <c r="Q600" s="21"/>
      <c r="S600" s="21"/>
    </row>
    <row r="601" spans="6:19" x14ac:dyDescent="0.25">
      <c r="F601" s="25"/>
      <c r="G601" s="42"/>
      <c r="H601" s="41"/>
      <c r="I601" s="41"/>
      <c r="K601" s="21"/>
      <c r="L601" s="21"/>
      <c r="M601" s="21"/>
      <c r="N601" s="21"/>
      <c r="O601" s="21"/>
      <c r="Q601" s="21"/>
      <c r="S601" s="21"/>
    </row>
    <row r="602" spans="6:19" x14ac:dyDescent="0.25">
      <c r="F602" s="25"/>
      <c r="G602" s="42"/>
      <c r="H602" s="41"/>
      <c r="I602" s="41"/>
      <c r="K602" s="21"/>
      <c r="L602" s="21"/>
      <c r="M602" s="21"/>
      <c r="N602" s="21"/>
      <c r="O602" s="21"/>
      <c r="Q602" s="21"/>
      <c r="S602" s="21"/>
    </row>
    <row r="603" spans="6:19" x14ac:dyDescent="0.25">
      <c r="F603" s="25"/>
      <c r="G603" s="42"/>
      <c r="H603" s="41"/>
      <c r="I603" s="41"/>
      <c r="K603" s="21"/>
      <c r="L603" s="21"/>
      <c r="M603" s="21"/>
      <c r="N603" s="21"/>
      <c r="O603" s="21"/>
      <c r="Q603" s="21"/>
      <c r="S603" s="21"/>
    </row>
    <row r="604" spans="6:19" x14ac:dyDescent="0.25">
      <c r="F604" s="25"/>
      <c r="G604" s="42"/>
      <c r="H604" s="41"/>
      <c r="I604" s="41"/>
      <c r="K604" s="21"/>
      <c r="L604" s="21"/>
      <c r="M604" s="21"/>
      <c r="N604" s="21"/>
      <c r="O604" s="21"/>
      <c r="Q604" s="21"/>
      <c r="S604" s="21"/>
    </row>
    <row r="605" spans="6:19" x14ac:dyDescent="0.25">
      <c r="F605" s="25"/>
      <c r="G605" s="42"/>
      <c r="H605" s="41"/>
      <c r="I605" s="41"/>
      <c r="K605" s="21"/>
      <c r="L605" s="21"/>
      <c r="M605" s="21"/>
      <c r="N605" s="21"/>
      <c r="O605" s="21"/>
      <c r="Q605" s="21"/>
      <c r="S605" s="21"/>
    </row>
    <row r="606" spans="6:19" x14ac:dyDescent="0.25">
      <c r="F606" s="25"/>
      <c r="G606" s="42"/>
      <c r="H606" s="41"/>
      <c r="I606" s="41"/>
      <c r="K606" s="21"/>
      <c r="L606" s="21"/>
      <c r="M606" s="21"/>
      <c r="N606" s="21"/>
      <c r="O606" s="21"/>
      <c r="Q606" s="21"/>
      <c r="S606" s="21"/>
    </row>
    <row r="607" spans="6:19" x14ac:dyDescent="0.25">
      <c r="F607" s="25"/>
      <c r="G607" s="42"/>
      <c r="H607" s="41"/>
      <c r="I607" s="41"/>
      <c r="K607" s="21"/>
      <c r="L607" s="21"/>
      <c r="M607" s="21"/>
      <c r="N607" s="21"/>
      <c r="O607" s="21"/>
      <c r="Q607" s="21"/>
      <c r="S607" s="21"/>
    </row>
    <row r="608" spans="6:19" x14ac:dyDescent="0.25">
      <c r="F608" s="25"/>
      <c r="G608" s="42"/>
      <c r="H608" s="41"/>
      <c r="I608" s="41"/>
      <c r="K608" s="21"/>
      <c r="L608" s="21"/>
      <c r="M608" s="21"/>
      <c r="N608" s="21"/>
      <c r="O608" s="21"/>
      <c r="Q608" s="21"/>
      <c r="S608" s="21"/>
    </row>
    <row r="609" spans="6:19" x14ac:dyDescent="0.25">
      <c r="F609" s="25"/>
      <c r="G609" s="42"/>
      <c r="H609" s="41"/>
      <c r="I609" s="41"/>
      <c r="K609" s="21"/>
      <c r="L609" s="21"/>
      <c r="M609" s="21"/>
      <c r="N609" s="21"/>
      <c r="O609" s="21"/>
      <c r="Q609" s="21"/>
      <c r="S609" s="21"/>
    </row>
    <row r="610" spans="6:19" x14ac:dyDescent="0.25">
      <c r="F610" s="25"/>
      <c r="G610" s="42"/>
      <c r="H610" s="41"/>
      <c r="I610" s="41"/>
      <c r="K610" s="21"/>
      <c r="L610" s="21"/>
      <c r="M610" s="21"/>
      <c r="N610" s="21"/>
      <c r="O610" s="21"/>
      <c r="Q610" s="21"/>
      <c r="S610" s="21"/>
    </row>
    <row r="611" spans="6:19" x14ac:dyDescent="0.25">
      <c r="F611" s="25"/>
      <c r="G611" s="42"/>
      <c r="H611" s="41"/>
      <c r="I611" s="41"/>
      <c r="K611" s="21"/>
      <c r="L611" s="21"/>
      <c r="M611" s="21"/>
      <c r="N611" s="21"/>
      <c r="O611" s="21"/>
      <c r="Q611" s="21"/>
      <c r="S611" s="21"/>
    </row>
    <row r="612" spans="6:19" x14ac:dyDescent="0.25">
      <c r="F612" s="25"/>
      <c r="G612" s="42"/>
      <c r="H612" s="41"/>
      <c r="I612" s="41"/>
      <c r="K612" s="21"/>
      <c r="L612" s="21"/>
      <c r="M612" s="21"/>
      <c r="N612" s="21"/>
      <c r="O612" s="21"/>
      <c r="Q612" s="21"/>
      <c r="S612" s="21"/>
    </row>
    <row r="613" spans="6:19" x14ac:dyDescent="0.25">
      <c r="F613" s="25"/>
      <c r="G613" s="42"/>
      <c r="H613" s="41"/>
      <c r="I613" s="41"/>
      <c r="K613" s="21"/>
      <c r="L613" s="21"/>
      <c r="M613" s="21"/>
      <c r="N613" s="21"/>
      <c r="O613" s="21"/>
      <c r="Q613" s="21"/>
      <c r="S613" s="21"/>
    </row>
    <row r="614" spans="6:19" x14ac:dyDescent="0.25">
      <c r="F614" s="25"/>
      <c r="G614" s="42"/>
      <c r="H614" s="41"/>
      <c r="I614" s="41"/>
      <c r="K614" s="21"/>
      <c r="L614" s="21"/>
      <c r="M614" s="21"/>
      <c r="N614" s="21"/>
      <c r="O614" s="21"/>
      <c r="Q614" s="21"/>
      <c r="S614" s="21"/>
    </row>
    <row r="615" spans="6:19" x14ac:dyDescent="0.25">
      <c r="F615" s="25"/>
      <c r="G615" s="42"/>
      <c r="H615" s="41"/>
      <c r="I615" s="41"/>
      <c r="K615" s="21"/>
      <c r="L615" s="21"/>
      <c r="M615" s="21"/>
      <c r="N615" s="21"/>
      <c r="O615" s="21"/>
      <c r="Q615" s="21"/>
      <c r="S615" s="21"/>
    </row>
    <row r="616" spans="6:19" x14ac:dyDescent="0.25">
      <c r="F616" s="25"/>
      <c r="G616" s="42"/>
      <c r="H616" s="41"/>
      <c r="I616" s="41"/>
      <c r="K616" s="21"/>
      <c r="L616" s="21"/>
      <c r="M616" s="21"/>
      <c r="N616" s="21"/>
      <c r="O616" s="21"/>
      <c r="Q616" s="21"/>
      <c r="S616" s="21"/>
    </row>
    <row r="617" spans="6:19" x14ac:dyDescent="0.25">
      <c r="F617" s="25"/>
      <c r="G617" s="42"/>
      <c r="H617" s="41"/>
      <c r="I617" s="41"/>
      <c r="K617" s="21"/>
      <c r="L617" s="21"/>
      <c r="M617" s="21"/>
      <c r="N617" s="21"/>
      <c r="O617" s="21"/>
      <c r="Q617" s="21"/>
      <c r="S617" s="21"/>
    </row>
    <row r="618" spans="6:19" x14ac:dyDescent="0.25">
      <c r="F618" s="25"/>
      <c r="G618" s="42"/>
      <c r="H618" s="41"/>
      <c r="I618" s="41"/>
      <c r="K618" s="21"/>
      <c r="L618" s="21"/>
      <c r="M618" s="21"/>
      <c r="N618" s="21"/>
      <c r="O618" s="21"/>
      <c r="Q618" s="21"/>
      <c r="S618" s="21"/>
    </row>
    <row r="619" spans="6:19" x14ac:dyDescent="0.25">
      <c r="F619" s="25"/>
      <c r="G619" s="42"/>
      <c r="H619" s="41"/>
      <c r="I619" s="41"/>
      <c r="K619" s="21"/>
      <c r="L619" s="21"/>
      <c r="M619" s="21"/>
      <c r="N619" s="21"/>
      <c r="O619" s="21"/>
      <c r="Q619" s="21"/>
      <c r="S619" s="21"/>
    </row>
    <row r="620" spans="6:19" x14ac:dyDescent="0.25">
      <c r="F620" s="25"/>
      <c r="G620" s="42"/>
      <c r="H620" s="41"/>
      <c r="I620" s="41"/>
      <c r="K620" s="21"/>
      <c r="L620" s="21"/>
      <c r="M620" s="21"/>
      <c r="N620" s="21"/>
      <c r="O620" s="21"/>
      <c r="Q620" s="21"/>
      <c r="S620" s="21"/>
    </row>
    <row r="621" spans="6:19" x14ac:dyDescent="0.25">
      <c r="F621" s="25"/>
      <c r="G621" s="42"/>
      <c r="H621" s="41"/>
      <c r="I621" s="41"/>
      <c r="K621" s="21"/>
      <c r="L621" s="21"/>
      <c r="M621" s="21"/>
      <c r="N621" s="21"/>
      <c r="O621" s="21"/>
      <c r="Q621" s="21"/>
      <c r="S621" s="21"/>
    </row>
    <row r="622" spans="6:19" x14ac:dyDescent="0.25">
      <c r="F622" s="25"/>
      <c r="G622" s="42"/>
      <c r="H622" s="41"/>
      <c r="I622" s="41"/>
      <c r="K622" s="21"/>
      <c r="L622" s="21"/>
      <c r="M622" s="21"/>
      <c r="N622" s="21"/>
      <c r="O622" s="21"/>
      <c r="Q622" s="21"/>
      <c r="S622" s="21"/>
    </row>
    <row r="623" spans="6:19" x14ac:dyDescent="0.25">
      <c r="F623" s="25"/>
      <c r="G623" s="42"/>
      <c r="H623" s="41"/>
      <c r="I623" s="41"/>
      <c r="K623" s="21"/>
      <c r="L623" s="21"/>
      <c r="M623" s="21"/>
      <c r="N623" s="21"/>
      <c r="O623" s="21"/>
      <c r="Q623" s="21"/>
      <c r="S623" s="21"/>
    </row>
    <row r="624" spans="6:19" x14ac:dyDescent="0.25">
      <c r="F624" s="25"/>
      <c r="G624" s="42"/>
      <c r="H624" s="41"/>
      <c r="I624" s="41"/>
      <c r="K624" s="21"/>
      <c r="L624" s="21"/>
      <c r="M624" s="21"/>
      <c r="N624" s="21"/>
      <c r="O624" s="21"/>
      <c r="Q624" s="21"/>
      <c r="S624" s="21"/>
    </row>
    <row r="625" spans="6:19" x14ac:dyDescent="0.25">
      <c r="F625" s="25"/>
      <c r="G625" s="42"/>
      <c r="H625" s="41"/>
      <c r="I625" s="41"/>
      <c r="K625" s="21"/>
      <c r="L625" s="21"/>
      <c r="M625" s="21"/>
      <c r="N625" s="21"/>
      <c r="O625" s="21"/>
      <c r="Q625" s="21"/>
      <c r="S625" s="21"/>
    </row>
    <row r="626" spans="6:19" x14ac:dyDescent="0.25">
      <c r="F626" s="25"/>
      <c r="G626" s="42"/>
      <c r="H626" s="41"/>
      <c r="I626" s="41"/>
      <c r="K626" s="21"/>
      <c r="L626" s="21"/>
      <c r="M626" s="21"/>
      <c r="N626" s="21"/>
      <c r="O626" s="21"/>
      <c r="Q626" s="21"/>
      <c r="S626" s="21"/>
    </row>
    <row r="627" spans="6:19" x14ac:dyDescent="0.25">
      <c r="F627" s="25"/>
      <c r="G627" s="42"/>
      <c r="H627" s="41"/>
      <c r="I627" s="41"/>
      <c r="K627" s="21"/>
      <c r="L627" s="21"/>
      <c r="M627" s="21"/>
      <c r="N627" s="21"/>
      <c r="O627" s="21"/>
      <c r="Q627" s="21"/>
      <c r="S627" s="21"/>
    </row>
    <row r="628" spans="6:19" x14ac:dyDescent="0.25">
      <c r="F628" s="25"/>
      <c r="G628" s="42"/>
      <c r="H628" s="41"/>
      <c r="I628" s="41"/>
      <c r="K628" s="21"/>
      <c r="L628" s="21"/>
      <c r="M628" s="21"/>
      <c r="N628" s="21"/>
      <c r="O628" s="21"/>
      <c r="Q628" s="21"/>
      <c r="S628" s="21"/>
    </row>
    <row r="629" spans="6:19" x14ac:dyDescent="0.25">
      <c r="F629" s="25"/>
      <c r="G629" s="42"/>
      <c r="H629" s="41"/>
      <c r="I629" s="41"/>
      <c r="K629" s="21"/>
      <c r="L629" s="21"/>
      <c r="M629" s="21"/>
      <c r="N629" s="21"/>
      <c r="O629" s="21"/>
      <c r="Q629" s="21"/>
      <c r="S629" s="21"/>
    </row>
    <row r="630" spans="6:19" x14ac:dyDescent="0.25">
      <c r="F630" s="25"/>
      <c r="G630" s="42"/>
      <c r="H630" s="41"/>
      <c r="I630" s="41"/>
      <c r="K630" s="21"/>
      <c r="L630" s="21"/>
      <c r="M630" s="21"/>
      <c r="N630" s="21"/>
      <c r="O630" s="21"/>
      <c r="Q630" s="21"/>
      <c r="S630" s="21"/>
    </row>
    <row r="631" spans="6:19" x14ac:dyDescent="0.25">
      <c r="F631" s="25"/>
      <c r="G631" s="42"/>
      <c r="H631" s="41"/>
      <c r="I631" s="41"/>
      <c r="K631" s="21"/>
      <c r="L631" s="21"/>
      <c r="M631" s="21"/>
      <c r="N631" s="21"/>
      <c r="O631" s="21"/>
      <c r="Q631" s="21"/>
      <c r="S631" s="21"/>
    </row>
    <row r="632" spans="6:19" x14ac:dyDescent="0.25">
      <c r="F632" s="25"/>
      <c r="G632" s="42"/>
      <c r="H632" s="41"/>
      <c r="I632" s="41"/>
      <c r="K632" s="21"/>
      <c r="L632" s="21"/>
      <c r="M632" s="21"/>
      <c r="N632" s="21"/>
      <c r="O632" s="21"/>
      <c r="Q632" s="21"/>
      <c r="S632" s="21"/>
    </row>
    <row r="633" spans="6:19" x14ac:dyDescent="0.25">
      <c r="F633" s="25"/>
      <c r="G633" s="42"/>
      <c r="H633" s="41"/>
      <c r="I633" s="41"/>
      <c r="K633" s="21"/>
      <c r="L633" s="21"/>
      <c r="M633" s="21"/>
      <c r="N633" s="21"/>
      <c r="O633" s="21"/>
      <c r="Q633" s="21"/>
      <c r="S633" s="21"/>
    </row>
    <row r="634" spans="6:19" x14ac:dyDescent="0.25">
      <c r="F634" s="25"/>
      <c r="G634" s="42"/>
      <c r="H634" s="41"/>
      <c r="I634" s="41"/>
      <c r="K634" s="21"/>
      <c r="L634" s="21"/>
      <c r="M634" s="21"/>
      <c r="N634" s="21"/>
      <c r="O634" s="21"/>
      <c r="Q634" s="21"/>
      <c r="S634" s="21"/>
    </row>
    <row r="635" spans="6:19" x14ac:dyDescent="0.25">
      <c r="F635" s="25"/>
      <c r="G635" s="42"/>
      <c r="H635" s="41"/>
      <c r="I635" s="41"/>
      <c r="K635" s="21"/>
      <c r="L635" s="21"/>
      <c r="M635" s="21"/>
      <c r="N635" s="21"/>
      <c r="O635" s="21"/>
      <c r="Q635" s="21"/>
      <c r="S635" s="21"/>
    </row>
    <row r="636" spans="6:19" x14ac:dyDescent="0.25">
      <c r="F636" s="25"/>
      <c r="G636" s="42"/>
      <c r="H636" s="41"/>
      <c r="I636" s="41"/>
      <c r="K636" s="21"/>
      <c r="L636" s="21"/>
      <c r="M636" s="21"/>
      <c r="N636" s="21"/>
      <c r="O636" s="21"/>
      <c r="Q636" s="21"/>
      <c r="S636" s="21"/>
    </row>
    <row r="637" spans="6:19" x14ac:dyDescent="0.25">
      <c r="F637" s="25"/>
      <c r="G637" s="42"/>
      <c r="H637" s="41"/>
      <c r="I637" s="41"/>
      <c r="K637" s="21"/>
      <c r="L637" s="21"/>
      <c r="M637" s="21"/>
      <c r="N637" s="21"/>
      <c r="O637" s="21"/>
      <c r="Q637" s="21"/>
      <c r="S637" s="21"/>
    </row>
    <row r="638" spans="6:19" x14ac:dyDescent="0.25">
      <c r="F638" s="25"/>
      <c r="G638" s="42"/>
      <c r="H638" s="41"/>
      <c r="I638" s="41"/>
      <c r="K638" s="21"/>
      <c r="L638" s="21"/>
      <c r="M638" s="21"/>
      <c r="N638" s="21"/>
      <c r="O638" s="21"/>
      <c r="Q638" s="21"/>
      <c r="S638" s="21"/>
    </row>
    <row r="639" spans="6:19" x14ac:dyDescent="0.25">
      <c r="F639" s="25"/>
      <c r="G639" s="42"/>
      <c r="H639" s="41"/>
      <c r="I639" s="41"/>
      <c r="K639" s="21"/>
      <c r="L639" s="21"/>
      <c r="M639" s="21"/>
      <c r="N639" s="21"/>
      <c r="O639" s="21"/>
      <c r="Q639" s="21"/>
      <c r="S639" s="21"/>
    </row>
    <row r="640" spans="6:19" x14ac:dyDescent="0.25">
      <c r="F640" s="25"/>
      <c r="G640" s="42"/>
      <c r="H640" s="41"/>
      <c r="I640" s="41"/>
      <c r="K640" s="21"/>
      <c r="L640" s="21"/>
      <c r="M640" s="21"/>
      <c r="N640" s="21"/>
      <c r="O640" s="21"/>
      <c r="Q640" s="21"/>
      <c r="S640" s="21"/>
    </row>
    <row r="641" spans="6:19" x14ac:dyDescent="0.25">
      <c r="F641" s="25"/>
      <c r="G641" s="42"/>
      <c r="H641" s="41"/>
      <c r="I641" s="41"/>
      <c r="K641" s="21"/>
      <c r="L641" s="21"/>
      <c r="M641" s="21"/>
      <c r="N641" s="21"/>
      <c r="O641" s="21"/>
      <c r="Q641" s="21"/>
      <c r="S641" s="21"/>
    </row>
    <row r="642" spans="6:19" x14ac:dyDescent="0.25">
      <c r="F642" s="25"/>
      <c r="G642" s="42"/>
      <c r="H642" s="41"/>
      <c r="I642" s="41"/>
      <c r="K642" s="21"/>
      <c r="L642" s="21"/>
      <c r="M642" s="21"/>
      <c r="N642" s="21"/>
      <c r="O642" s="21"/>
      <c r="Q642" s="21"/>
      <c r="S642" s="21"/>
    </row>
    <row r="643" spans="6:19" x14ac:dyDescent="0.25">
      <c r="F643" s="25"/>
      <c r="G643" s="42"/>
      <c r="H643" s="41"/>
      <c r="I643" s="41"/>
      <c r="K643" s="21"/>
      <c r="L643" s="21"/>
      <c r="M643" s="21"/>
      <c r="N643" s="21"/>
      <c r="O643" s="21"/>
      <c r="Q643" s="21"/>
      <c r="S643" s="21"/>
    </row>
    <row r="644" spans="6:19" x14ac:dyDescent="0.25">
      <c r="F644" s="25"/>
      <c r="G644" s="42"/>
      <c r="H644" s="41"/>
      <c r="I644" s="41"/>
      <c r="K644" s="21"/>
      <c r="L644" s="21"/>
      <c r="M644" s="21"/>
      <c r="N644" s="21"/>
      <c r="O644" s="21"/>
      <c r="Q644" s="21"/>
      <c r="S644" s="21"/>
    </row>
    <row r="645" spans="6:19" x14ac:dyDescent="0.25">
      <c r="F645" s="25"/>
      <c r="G645" s="42"/>
      <c r="H645" s="41"/>
      <c r="I645" s="41"/>
      <c r="K645" s="21"/>
      <c r="L645" s="21"/>
      <c r="M645" s="21"/>
      <c r="N645" s="21"/>
      <c r="O645" s="21"/>
      <c r="Q645" s="21"/>
      <c r="S645" s="21"/>
    </row>
    <row r="646" spans="6:19" x14ac:dyDescent="0.25">
      <c r="F646" s="25"/>
      <c r="G646" s="42"/>
      <c r="H646" s="41"/>
      <c r="I646" s="41"/>
      <c r="K646" s="21"/>
      <c r="L646" s="21"/>
      <c r="M646" s="21"/>
      <c r="N646" s="21"/>
      <c r="O646" s="21"/>
      <c r="Q646" s="21"/>
      <c r="S646" s="21"/>
    </row>
    <row r="647" spans="6:19" x14ac:dyDescent="0.25">
      <c r="F647" s="25"/>
      <c r="G647" s="42"/>
      <c r="H647" s="41"/>
      <c r="I647" s="41"/>
      <c r="K647" s="21"/>
      <c r="L647" s="21"/>
      <c r="M647" s="21"/>
      <c r="N647" s="21"/>
      <c r="O647" s="21"/>
      <c r="Q647" s="21"/>
      <c r="S647" s="21"/>
    </row>
    <row r="648" spans="6:19" x14ac:dyDescent="0.25">
      <c r="F648" s="25"/>
      <c r="G648" s="42"/>
      <c r="H648" s="41"/>
      <c r="I648" s="41"/>
      <c r="K648" s="21"/>
      <c r="L648" s="21"/>
      <c r="M648" s="21"/>
      <c r="N648" s="21"/>
      <c r="O648" s="21"/>
      <c r="Q648" s="21"/>
      <c r="S648" s="21"/>
    </row>
    <row r="649" spans="6:19" x14ac:dyDescent="0.25">
      <c r="F649" s="25"/>
      <c r="G649" s="42"/>
      <c r="H649" s="41"/>
      <c r="I649" s="41"/>
      <c r="K649" s="21"/>
      <c r="L649" s="21"/>
      <c r="M649" s="21"/>
      <c r="N649" s="21"/>
      <c r="O649" s="21"/>
      <c r="Q649" s="21"/>
      <c r="S649" s="21"/>
    </row>
    <row r="650" spans="6:19" x14ac:dyDescent="0.25">
      <c r="F650" s="25"/>
      <c r="G650" s="42"/>
      <c r="H650" s="41"/>
      <c r="I650" s="41"/>
      <c r="K650" s="21"/>
      <c r="L650" s="21"/>
      <c r="M650" s="21"/>
      <c r="N650" s="21"/>
      <c r="O650" s="21"/>
      <c r="Q650" s="21"/>
      <c r="S650" s="21"/>
    </row>
    <row r="651" spans="6:19" x14ac:dyDescent="0.25">
      <c r="F651" s="25"/>
      <c r="G651" s="42"/>
      <c r="H651" s="41"/>
      <c r="I651" s="41"/>
      <c r="K651" s="21"/>
      <c r="L651" s="21"/>
      <c r="M651" s="21"/>
      <c r="N651" s="21"/>
      <c r="O651" s="21"/>
      <c r="Q651" s="21"/>
      <c r="S651" s="21"/>
    </row>
    <row r="652" spans="6:19" x14ac:dyDescent="0.25">
      <c r="F652" s="25"/>
      <c r="G652" s="42"/>
      <c r="H652" s="41"/>
      <c r="I652" s="41"/>
      <c r="K652" s="21"/>
      <c r="L652" s="21"/>
      <c r="M652" s="21"/>
      <c r="N652" s="21"/>
      <c r="O652" s="21"/>
      <c r="Q652" s="21"/>
      <c r="S652" s="21"/>
    </row>
    <row r="653" spans="6:19" x14ac:dyDescent="0.25">
      <c r="F653" s="25"/>
      <c r="G653" s="42"/>
      <c r="H653" s="41"/>
      <c r="I653" s="41"/>
      <c r="K653" s="21"/>
      <c r="L653" s="21"/>
      <c r="M653" s="21"/>
      <c r="N653" s="21"/>
      <c r="O653" s="21"/>
      <c r="Q653" s="21"/>
      <c r="S653" s="21"/>
    </row>
    <row r="654" spans="6:19" x14ac:dyDescent="0.25">
      <c r="F654" s="25"/>
      <c r="G654" s="42"/>
      <c r="H654" s="41"/>
      <c r="I654" s="41"/>
      <c r="K654" s="21"/>
      <c r="L654" s="21"/>
      <c r="M654" s="21"/>
      <c r="N654" s="21"/>
      <c r="O654" s="21"/>
      <c r="Q654" s="21"/>
      <c r="S654" s="21"/>
    </row>
    <row r="655" spans="6:19" x14ac:dyDescent="0.25">
      <c r="F655" s="25"/>
      <c r="G655" s="42"/>
      <c r="H655" s="41"/>
      <c r="I655" s="41"/>
      <c r="K655" s="21"/>
      <c r="L655" s="21"/>
      <c r="M655" s="21"/>
      <c r="N655" s="21"/>
      <c r="O655" s="21"/>
      <c r="Q655" s="21"/>
      <c r="S655" s="21"/>
    </row>
    <row r="656" spans="6:19" x14ac:dyDescent="0.25">
      <c r="F656" s="25"/>
      <c r="G656" s="42"/>
      <c r="H656" s="41"/>
      <c r="I656" s="41"/>
      <c r="K656" s="21"/>
      <c r="L656" s="21"/>
      <c r="M656" s="21"/>
      <c r="N656" s="21"/>
      <c r="O656" s="21"/>
      <c r="Q656" s="21"/>
      <c r="S656" s="21"/>
    </row>
    <row r="657" spans="6:19" x14ac:dyDescent="0.25">
      <c r="F657" s="25"/>
      <c r="G657" s="42"/>
      <c r="H657" s="41"/>
      <c r="I657" s="41"/>
      <c r="K657" s="21"/>
      <c r="L657" s="21"/>
      <c r="M657" s="21"/>
      <c r="N657" s="21"/>
      <c r="O657" s="21"/>
      <c r="Q657" s="21"/>
      <c r="S657" s="21"/>
    </row>
    <row r="658" spans="6:19" x14ac:dyDescent="0.25">
      <c r="F658" s="25"/>
      <c r="G658" s="42"/>
      <c r="H658" s="41"/>
      <c r="I658" s="41"/>
      <c r="K658" s="21"/>
      <c r="L658" s="21"/>
      <c r="M658" s="21"/>
      <c r="N658" s="21"/>
      <c r="O658" s="21"/>
      <c r="Q658" s="21"/>
      <c r="S658" s="21"/>
    </row>
    <row r="659" spans="6:19" x14ac:dyDescent="0.25">
      <c r="F659" s="25"/>
      <c r="G659" s="42"/>
      <c r="H659" s="41"/>
      <c r="I659" s="41"/>
      <c r="K659" s="21"/>
      <c r="L659" s="21"/>
      <c r="M659" s="21"/>
      <c r="N659" s="21"/>
      <c r="O659" s="21"/>
      <c r="Q659" s="21"/>
      <c r="S659" s="21"/>
    </row>
    <row r="660" spans="6:19" x14ac:dyDescent="0.25">
      <c r="F660" s="25"/>
      <c r="G660" s="42"/>
      <c r="H660" s="41"/>
      <c r="I660" s="41"/>
      <c r="K660" s="21"/>
      <c r="L660" s="21"/>
      <c r="M660" s="21"/>
      <c r="N660" s="21"/>
      <c r="O660" s="21"/>
      <c r="Q660" s="21"/>
      <c r="S660" s="21"/>
    </row>
    <row r="661" spans="6:19" x14ac:dyDescent="0.25">
      <c r="F661" s="25"/>
      <c r="G661" s="42"/>
      <c r="H661" s="41"/>
      <c r="I661" s="41"/>
      <c r="K661" s="21"/>
      <c r="L661" s="21"/>
      <c r="M661" s="21"/>
      <c r="N661" s="21"/>
      <c r="O661" s="21"/>
      <c r="Q661" s="21"/>
      <c r="S661" s="21"/>
    </row>
    <row r="662" spans="6:19" x14ac:dyDescent="0.25">
      <c r="F662" s="25"/>
      <c r="G662" s="42"/>
      <c r="H662" s="41"/>
      <c r="I662" s="41"/>
      <c r="K662" s="21"/>
      <c r="L662" s="21"/>
      <c r="M662" s="21"/>
      <c r="N662" s="21"/>
      <c r="O662" s="21"/>
      <c r="Q662" s="21"/>
      <c r="S662" s="21"/>
    </row>
    <row r="663" spans="6:19" x14ac:dyDescent="0.25">
      <c r="F663" s="25"/>
      <c r="G663" s="42"/>
      <c r="H663" s="41"/>
      <c r="I663" s="41"/>
      <c r="K663" s="21"/>
      <c r="L663" s="21"/>
      <c r="M663" s="21"/>
      <c r="N663" s="21"/>
      <c r="O663" s="21"/>
      <c r="Q663" s="21"/>
      <c r="S663" s="21"/>
    </row>
    <row r="664" spans="6:19" x14ac:dyDescent="0.25">
      <c r="F664" s="25"/>
      <c r="G664" s="42"/>
      <c r="H664" s="41"/>
      <c r="I664" s="41"/>
      <c r="K664" s="21"/>
      <c r="L664" s="21"/>
      <c r="M664" s="21"/>
      <c r="N664" s="21"/>
      <c r="O664" s="21"/>
      <c r="Q664" s="21"/>
      <c r="S664" s="21"/>
    </row>
    <row r="665" spans="6:19" x14ac:dyDescent="0.25">
      <c r="F665" s="25"/>
      <c r="G665" s="42"/>
      <c r="H665" s="41"/>
      <c r="I665" s="41"/>
      <c r="K665" s="21"/>
      <c r="L665" s="21"/>
      <c r="M665" s="21"/>
      <c r="N665" s="21"/>
      <c r="O665" s="21"/>
      <c r="Q665" s="21"/>
      <c r="S665" s="21"/>
    </row>
    <row r="666" spans="6:19" x14ac:dyDescent="0.25">
      <c r="F666" s="25"/>
      <c r="G666" s="42"/>
      <c r="H666" s="41"/>
      <c r="I666" s="41"/>
      <c r="K666" s="21"/>
      <c r="L666" s="21"/>
      <c r="M666" s="21"/>
      <c r="N666" s="21"/>
      <c r="O666" s="21"/>
      <c r="Q666" s="21"/>
      <c r="S666" s="21"/>
    </row>
    <row r="667" spans="6:19" x14ac:dyDescent="0.25">
      <c r="F667" s="25"/>
      <c r="G667" s="42"/>
      <c r="H667" s="41"/>
      <c r="I667" s="41"/>
      <c r="K667" s="21"/>
      <c r="L667" s="21"/>
      <c r="M667" s="21"/>
      <c r="N667" s="21"/>
      <c r="O667" s="21"/>
      <c r="Q667" s="21"/>
      <c r="S667" s="21"/>
    </row>
    <row r="668" spans="6:19" x14ac:dyDescent="0.25">
      <c r="F668" s="25"/>
      <c r="G668" s="42"/>
      <c r="H668" s="41"/>
      <c r="I668" s="41"/>
      <c r="K668" s="21"/>
      <c r="L668" s="21"/>
      <c r="M668" s="21"/>
      <c r="N668" s="21"/>
      <c r="O668" s="21"/>
      <c r="Q668" s="21"/>
      <c r="S668" s="21"/>
    </row>
    <row r="669" spans="6:19" x14ac:dyDescent="0.25">
      <c r="F669" s="25"/>
      <c r="G669" s="42"/>
      <c r="H669" s="41"/>
      <c r="I669" s="41"/>
      <c r="K669" s="21"/>
      <c r="L669" s="21"/>
      <c r="M669" s="21"/>
      <c r="N669" s="21"/>
      <c r="O669" s="21"/>
      <c r="Q669" s="21"/>
      <c r="S669" s="21"/>
    </row>
    <row r="670" spans="6:19" x14ac:dyDescent="0.25">
      <c r="F670" s="25"/>
      <c r="G670" s="42"/>
      <c r="H670" s="41"/>
      <c r="I670" s="41"/>
      <c r="K670" s="21"/>
      <c r="L670" s="21"/>
      <c r="M670" s="21"/>
      <c r="N670" s="21"/>
      <c r="O670" s="21"/>
      <c r="Q670" s="21"/>
      <c r="S670" s="21"/>
    </row>
    <row r="671" spans="6:19" x14ac:dyDescent="0.25">
      <c r="F671" s="25"/>
      <c r="G671" s="42"/>
      <c r="H671" s="41"/>
      <c r="I671" s="41"/>
      <c r="K671" s="21"/>
      <c r="L671" s="21"/>
      <c r="M671" s="21"/>
      <c r="N671" s="21"/>
      <c r="O671" s="21"/>
      <c r="Q671" s="21"/>
      <c r="S671" s="21"/>
    </row>
    <row r="672" spans="6:19" x14ac:dyDescent="0.25">
      <c r="F672" s="25"/>
      <c r="G672" s="42"/>
      <c r="H672" s="41"/>
      <c r="I672" s="41"/>
      <c r="K672" s="21"/>
      <c r="L672" s="21"/>
      <c r="M672" s="21"/>
      <c r="N672" s="21"/>
      <c r="O672" s="21"/>
      <c r="Q672" s="21"/>
      <c r="S672" s="21"/>
    </row>
    <row r="673" spans="6:19" x14ac:dyDescent="0.25">
      <c r="F673" s="25"/>
      <c r="G673" s="42"/>
      <c r="H673" s="41"/>
      <c r="I673" s="41"/>
      <c r="K673" s="21"/>
      <c r="L673" s="21"/>
      <c r="M673" s="21"/>
      <c r="N673" s="21"/>
      <c r="O673" s="21"/>
      <c r="Q673" s="21"/>
      <c r="S673" s="21"/>
    </row>
    <row r="674" spans="6:19" x14ac:dyDescent="0.25">
      <c r="F674" s="25"/>
      <c r="G674" s="42"/>
      <c r="H674" s="41"/>
      <c r="I674" s="41"/>
      <c r="K674" s="21"/>
      <c r="L674" s="21"/>
      <c r="M674" s="21"/>
      <c r="N674" s="21"/>
      <c r="O674" s="21"/>
      <c r="Q674" s="21"/>
      <c r="S674" s="21"/>
    </row>
    <row r="675" spans="6:19" x14ac:dyDescent="0.25">
      <c r="F675" s="25"/>
      <c r="G675" s="42"/>
      <c r="H675" s="41"/>
      <c r="I675" s="41"/>
      <c r="K675" s="21"/>
      <c r="L675" s="21"/>
      <c r="M675" s="21"/>
      <c r="N675" s="21"/>
      <c r="O675" s="21"/>
      <c r="Q675" s="21"/>
      <c r="S675" s="21"/>
    </row>
    <row r="676" spans="6:19" x14ac:dyDescent="0.25">
      <c r="F676" s="25"/>
      <c r="G676" s="42"/>
      <c r="H676" s="41"/>
      <c r="I676" s="41"/>
      <c r="K676" s="21"/>
      <c r="L676" s="21"/>
      <c r="M676" s="21"/>
      <c r="N676" s="21"/>
      <c r="O676" s="21"/>
      <c r="Q676" s="21"/>
      <c r="S676" s="21"/>
    </row>
    <row r="677" spans="6:19" x14ac:dyDescent="0.25">
      <c r="F677" s="25"/>
      <c r="G677" s="42"/>
      <c r="H677" s="41"/>
      <c r="I677" s="41"/>
      <c r="K677" s="21"/>
      <c r="L677" s="21"/>
      <c r="M677" s="21"/>
      <c r="N677" s="21"/>
      <c r="O677" s="21"/>
      <c r="Q677" s="21"/>
      <c r="S677" s="21"/>
    </row>
    <row r="678" spans="6:19" x14ac:dyDescent="0.25">
      <c r="F678" s="25"/>
      <c r="G678" s="42"/>
      <c r="H678" s="41"/>
      <c r="I678" s="41"/>
      <c r="K678" s="21"/>
      <c r="L678" s="21"/>
      <c r="M678" s="21"/>
      <c r="N678" s="21"/>
      <c r="O678" s="21"/>
      <c r="Q678" s="21"/>
      <c r="S678" s="21"/>
    </row>
    <row r="679" spans="6:19" x14ac:dyDescent="0.25">
      <c r="F679" s="25"/>
      <c r="G679" s="42"/>
      <c r="H679" s="41"/>
      <c r="I679" s="41"/>
      <c r="K679" s="21"/>
      <c r="L679" s="21"/>
      <c r="M679" s="21"/>
      <c r="N679" s="21"/>
      <c r="O679" s="21"/>
      <c r="Q679" s="21"/>
      <c r="S679" s="21"/>
    </row>
    <row r="680" spans="6:19" x14ac:dyDescent="0.25">
      <c r="F680" s="25"/>
      <c r="G680" s="42"/>
      <c r="H680" s="41"/>
      <c r="I680" s="41"/>
      <c r="K680" s="21"/>
      <c r="L680" s="21"/>
      <c r="M680" s="21"/>
      <c r="N680" s="21"/>
      <c r="O680" s="21"/>
      <c r="Q680" s="21"/>
      <c r="S680" s="21"/>
    </row>
    <row r="681" spans="6:19" x14ac:dyDescent="0.25">
      <c r="F681" s="25"/>
      <c r="G681" s="42"/>
      <c r="H681" s="41"/>
      <c r="I681" s="41"/>
      <c r="K681" s="21"/>
      <c r="L681" s="21"/>
      <c r="M681" s="21"/>
      <c r="N681" s="21"/>
      <c r="O681" s="21"/>
      <c r="Q681" s="21"/>
      <c r="S681" s="21"/>
    </row>
    <row r="682" spans="6:19" x14ac:dyDescent="0.25">
      <c r="F682" s="25"/>
      <c r="G682" s="42"/>
      <c r="H682" s="41"/>
      <c r="I682" s="41"/>
      <c r="K682" s="21"/>
      <c r="L682" s="21"/>
      <c r="M682" s="21"/>
      <c r="N682" s="21"/>
      <c r="O682" s="21"/>
      <c r="Q682" s="21"/>
      <c r="S682" s="21"/>
    </row>
    <row r="683" spans="6:19" x14ac:dyDescent="0.25">
      <c r="F683" s="25"/>
      <c r="G683" s="42"/>
      <c r="H683" s="41"/>
      <c r="I683" s="41"/>
      <c r="K683" s="21"/>
      <c r="L683" s="21"/>
      <c r="M683" s="21"/>
      <c r="N683" s="21"/>
      <c r="O683" s="21"/>
      <c r="Q683" s="21"/>
      <c r="S683" s="21"/>
    </row>
    <row r="684" spans="6:19" x14ac:dyDescent="0.25">
      <c r="F684" s="25"/>
      <c r="G684" s="42"/>
      <c r="H684" s="41"/>
      <c r="I684" s="41"/>
      <c r="K684" s="21"/>
      <c r="L684" s="21"/>
      <c r="M684" s="21"/>
      <c r="N684" s="21"/>
      <c r="O684" s="21"/>
      <c r="Q684" s="21"/>
      <c r="S684" s="21"/>
    </row>
    <row r="685" spans="6:19" x14ac:dyDescent="0.25">
      <c r="F685" s="25"/>
      <c r="G685" s="42"/>
      <c r="H685" s="41"/>
      <c r="I685" s="41"/>
      <c r="K685" s="21"/>
      <c r="L685" s="21"/>
      <c r="M685" s="21"/>
      <c r="N685" s="21"/>
      <c r="O685" s="21"/>
      <c r="Q685" s="21"/>
      <c r="S685" s="21"/>
    </row>
    <row r="686" spans="6:19" x14ac:dyDescent="0.25">
      <c r="F686" s="25"/>
      <c r="G686" s="42"/>
      <c r="H686" s="41"/>
      <c r="I686" s="41"/>
      <c r="K686" s="21"/>
      <c r="L686" s="21"/>
      <c r="M686" s="21"/>
      <c r="N686" s="21"/>
      <c r="O686" s="21"/>
      <c r="Q686" s="21"/>
      <c r="S686" s="21"/>
    </row>
    <row r="687" spans="6:19" x14ac:dyDescent="0.25">
      <c r="F687" s="25"/>
      <c r="G687" s="42"/>
      <c r="H687" s="41"/>
      <c r="I687" s="41"/>
      <c r="K687" s="21"/>
      <c r="L687" s="21"/>
      <c r="M687" s="21"/>
      <c r="N687" s="21"/>
      <c r="O687" s="21"/>
      <c r="Q687" s="21"/>
      <c r="S687" s="21"/>
    </row>
    <row r="688" spans="6:19" x14ac:dyDescent="0.25">
      <c r="F688" s="25"/>
      <c r="G688" s="42"/>
      <c r="H688" s="41"/>
      <c r="I688" s="41"/>
      <c r="K688" s="21"/>
      <c r="L688" s="21"/>
      <c r="M688" s="21"/>
      <c r="N688" s="21"/>
      <c r="O688" s="21"/>
      <c r="Q688" s="21"/>
      <c r="S688" s="21"/>
    </row>
    <row r="689" spans="6:19" x14ac:dyDescent="0.25">
      <c r="F689" s="25"/>
      <c r="G689" s="42"/>
      <c r="H689" s="41"/>
      <c r="I689" s="41"/>
      <c r="K689" s="21"/>
      <c r="L689" s="21"/>
      <c r="M689" s="21"/>
      <c r="N689" s="21"/>
      <c r="O689" s="21"/>
      <c r="Q689" s="21"/>
      <c r="S689" s="21"/>
    </row>
    <row r="690" spans="6:19" x14ac:dyDescent="0.25">
      <c r="F690" s="25"/>
      <c r="G690" s="42"/>
      <c r="H690" s="41"/>
      <c r="I690" s="41"/>
      <c r="K690" s="21"/>
      <c r="L690" s="21"/>
      <c r="M690" s="21"/>
      <c r="N690" s="21"/>
      <c r="O690" s="21"/>
      <c r="Q690" s="21"/>
      <c r="S690" s="21"/>
    </row>
    <row r="691" spans="6:19" x14ac:dyDescent="0.25">
      <c r="F691" s="25"/>
      <c r="G691" s="42"/>
      <c r="H691" s="41"/>
      <c r="I691" s="41"/>
      <c r="K691" s="21"/>
      <c r="L691" s="21"/>
      <c r="M691" s="21"/>
      <c r="N691" s="21"/>
      <c r="O691" s="21"/>
      <c r="Q691" s="21"/>
      <c r="S691" s="21"/>
    </row>
    <row r="692" spans="6:19" x14ac:dyDescent="0.25">
      <c r="F692" s="25"/>
      <c r="G692" s="42"/>
      <c r="H692" s="41"/>
      <c r="I692" s="41"/>
      <c r="K692" s="21"/>
      <c r="L692" s="21"/>
      <c r="M692" s="21"/>
      <c r="N692" s="21"/>
      <c r="O692" s="21"/>
      <c r="Q692" s="21"/>
      <c r="S692" s="21"/>
    </row>
    <row r="693" spans="6:19" x14ac:dyDescent="0.25">
      <c r="F693" s="25"/>
      <c r="G693" s="42"/>
      <c r="H693" s="41"/>
      <c r="I693" s="41"/>
      <c r="K693" s="21"/>
      <c r="L693" s="21"/>
      <c r="M693" s="21"/>
      <c r="N693" s="21"/>
      <c r="O693" s="21"/>
      <c r="Q693" s="21"/>
      <c r="S693" s="21"/>
    </row>
    <row r="694" spans="6:19" x14ac:dyDescent="0.25">
      <c r="F694" s="25"/>
      <c r="G694" s="42"/>
      <c r="H694" s="41"/>
      <c r="I694" s="41"/>
      <c r="K694" s="21"/>
      <c r="L694" s="21"/>
      <c r="M694" s="21"/>
      <c r="N694" s="21"/>
      <c r="O694" s="21"/>
      <c r="Q694" s="21"/>
      <c r="S694" s="21"/>
    </row>
    <row r="695" spans="6:19" x14ac:dyDescent="0.25">
      <c r="F695" s="25"/>
      <c r="G695" s="42"/>
      <c r="H695" s="41"/>
      <c r="I695" s="41"/>
      <c r="K695" s="21"/>
      <c r="L695" s="21"/>
      <c r="M695" s="21"/>
      <c r="N695" s="21"/>
      <c r="O695" s="21"/>
      <c r="Q695" s="21"/>
      <c r="S695" s="21"/>
    </row>
    <row r="696" spans="6:19" x14ac:dyDescent="0.25">
      <c r="F696" s="25"/>
      <c r="G696" s="42"/>
      <c r="H696" s="41"/>
      <c r="I696" s="41"/>
      <c r="K696" s="21"/>
      <c r="L696" s="21"/>
      <c r="M696" s="21"/>
      <c r="N696" s="21"/>
      <c r="O696" s="21"/>
      <c r="Q696" s="21"/>
      <c r="S696" s="21"/>
    </row>
    <row r="697" spans="6:19" x14ac:dyDescent="0.25">
      <c r="F697" s="25"/>
      <c r="G697" s="42"/>
      <c r="H697" s="41"/>
      <c r="I697" s="41"/>
      <c r="K697" s="21"/>
      <c r="L697" s="21"/>
      <c r="M697" s="21"/>
      <c r="N697" s="21"/>
      <c r="O697" s="21"/>
      <c r="Q697" s="21"/>
      <c r="S697" s="21"/>
    </row>
    <row r="698" spans="6:19" x14ac:dyDescent="0.25">
      <c r="F698" s="25"/>
      <c r="G698" s="42"/>
      <c r="H698" s="41"/>
      <c r="I698" s="41"/>
      <c r="K698" s="21"/>
      <c r="L698" s="21"/>
      <c r="M698" s="21"/>
      <c r="N698" s="21"/>
      <c r="O698" s="21"/>
      <c r="Q698" s="21"/>
      <c r="S698" s="21"/>
    </row>
    <row r="699" spans="6:19" x14ac:dyDescent="0.25">
      <c r="F699" s="25"/>
      <c r="G699" s="42"/>
      <c r="H699" s="41"/>
      <c r="I699" s="41"/>
      <c r="K699" s="21"/>
      <c r="L699" s="21"/>
      <c r="M699" s="21"/>
      <c r="N699" s="21"/>
      <c r="O699" s="21"/>
      <c r="Q699" s="21"/>
      <c r="S699" s="21"/>
    </row>
    <row r="700" spans="6:19" x14ac:dyDescent="0.25">
      <c r="F700" s="25"/>
      <c r="G700" s="42"/>
      <c r="H700" s="41"/>
      <c r="I700" s="41"/>
      <c r="K700" s="21"/>
      <c r="L700" s="21"/>
      <c r="M700" s="21"/>
      <c r="N700" s="21"/>
      <c r="O700" s="21"/>
      <c r="Q700" s="21"/>
      <c r="S700" s="21"/>
    </row>
    <row r="701" spans="6:19" x14ac:dyDescent="0.25">
      <c r="F701" s="25"/>
      <c r="G701" s="42"/>
      <c r="H701" s="41"/>
      <c r="I701" s="41"/>
      <c r="K701" s="21"/>
      <c r="L701" s="21"/>
      <c r="M701" s="21"/>
      <c r="N701" s="21"/>
      <c r="O701" s="21"/>
      <c r="Q701" s="21"/>
      <c r="S701" s="21"/>
    </row>
    <row r="702" spans="6:19" x14ac:dyDescent="0.25">
      <c r="F702" s="25"/>
      <c r="G702" s="42"/>
      <c r="H702" s="41"/>
      <c r="I702" s="41"/>
      <c r="K702" s="21"/>
      <c r="L702" s="21"/>
      <c r="M702" s="21"/>
      <c r="N702" s="21"/>
      <c r="O702" s="21"/>
      <c r="Q702" s="21"/>
      <c r="S702" s="21"/>
    </row>
    <row r="703" spans="6:19" x14ac:dyDescent="0.25">
      <c r="F703" s="25"/>
      <c r="G703" s="42"/>
      <c r="H703" s="41"/>
      <c r="I703" s="41"/>
      <c r="K703" s="21"/>
      <c r="L703" s="21"/>
      <c r="M703" s="21"/>
      <c r="N703" s="21"/>
      <c r="O703" s="21"/>
      <c r="Q703" s="21"/>
      <c r="S703" s="21"/>
    </row>
    <row r="704" spans="6:19" x14ac:dyDescent="0.25">
      <c r="K704" s="21"/>
      <c r="L704" s="21"/>
      <c r="M704" s="21"/>
      <c r="N704" s="21"/>
      <c r="O704" s="21"/>
      <c r="Q704" s="21"/>
      <c r="S704" s="21"/>
    </row>
    <row r="705" spans="11:19" x14ac:dyDescent="0.25">
      <c r="K705" s="21"/>
      <c r="L705" s="21"/>
      <c r="M705" s="21"/>
      <c r="N705" s="21"/>
      <c r="O705" s="21"/>
      <c r="Q705" s="21"/>
      <c r="S705" s="21"/>
    </row>
    <row r="706" spans="11:19" x14ac:dyDescent="0.25"/>
    <row r="707" spans="11:19" x14ac:dyDescent="0.25"/>
    <row r="708" spans="11:19" x14ac:dyDescent="0.25"/>
    <row r="709" spans="11:19" x14ac:dyDescent="0.25"/>
    <row r="710" spans="11:19" x14ac:dyDescent="0.25"/>
  </sheetData>
  <sheetProtection algorithmName="SHA-512" hashValue="8Fk1C/V/NxUQmIo72oKbqhnRXvC2Kejf77urpN1/5vtdJOCk6bhPtmD/e6+zc33a+x0cVDnJH3RHzUCFNVldAA==" saltValue="e5yaWYyABaZ6S/sOyfq46w==" spinCount="100000" sheet="1" objects="1" scenarios="1" selectLockedCells="1"/>
  <mergeCells count="1">
    <mergeCell ref="A1:H1"/>
  </mergeCells>
  <phoneticPr fontId="13" type="noConversion"/>
  <conditionalFormatting sqref="H2:H179">
    <cfRule type="containsText" dxfId="76" priority="40" operator="containsText" text="Federalismo fiscal y haciendas territoriales">
      <formula>NOT(ISERROR(SEARCH("Federalismo fiscal y haciendas territoriales",H2)))</formula>
    </cfRule>
    <cfRule type="containsText" dxfId="75" priority="41" operator="containsText" text="Política medioambiental">
      <formula>NOT(ISERROR(SEARCH("Política medioambiental",H2)))</formula>
    </cfRule>
    <cfRule type="containsText" dxfId="74" priority="42" operator="containsText" text="Construcción">
      <formula>NOT(ISERROR(SEARCH("Construcción",H2)))</formula>
    </cfRule>
    <cfRule type="containsText" dxfId="73" priority="43" operator="containsText" text="Industria">
      <formula>NOT(ISERROR(SEARCH("Industria",H2)))</formula>
    </cfRule>
    <cfRule type="containsText" dxfId="72" priority="44" operator="containsText" text="Política industrial">
      <formula>NOT(ISERROR(SEARCH("Política industrial",H2)))</formula>
    </cfRule>
    <cfRule type="containsText" dxfId="71" priority="45" operator="containsText" text="Sector extractivo y energía">
      <formula>NOT(ISERROR(SEARCH("Sector extractivo y energía",H2)))</formula>
    </cfRule>
    <cfRule type="containsText" dxfId="70" priority="46" operator="containsText" text="Sector primario">
      <formula>NOT(ISERROR(SEARCH("Sector primario",H2)))</formula>
    </cfRule>
    <cfRule type="containsText" dxfId="69" priority="47" operator="containsText" text="Servicios">
      <formula>NOT(ISERROR(SEARCH("Servicios",H2)))</formula>
    </cfRule>
    <cfRule type="containsText" dxfId="68" priority="48" operator="containsText" text="Sector financiero y política monetaria">
      <formula>NOT(ISERROR(SEARCH("Sector financiero y política monetaria",H2)))</formula>
    </cfRule>
    <cfRule type="containsText" dxfId="67" priority="49" operator="containsText" text="Sector exterior">
      <formula>NOT(ISERROR(SEARCH("Sector exterior",H2)))</formula>
    </cfRule>
    <cfRule type="containsText" dxfId="66" priority="50" operator="containsText" text="Gastos y presupuestos">
      <formula>NOT(ISERROR(SEARCH("Gastos y presupuestos",H2)))</formula>
    </cfRule>
    <cfRule type="containsText" dxfId="65" priority="151" operator="containsText" text="Ciclo económico y políticas de demanda">
      <formula>NOT(ISERROR(SEARCH("Ciclo económico y políticas de demanda",H2)))</formula>
    </cfRule>
    <cfRule type="containsText" dxfId="64" priority="149" operator="containsText" text="Crecimiento económico">
      <formula>NOT(ISERROR(SEARCH("Crecimiento económico",H2)))</formula>
    </cfRule>
    <cfRule type="containsText" dxfId="63" priority="148" operator="containsText" text="Economía Abierta">
      <formula>NOT(ISERROR(SEARCH("Economía Abierta",H2)))</formula>
    </cfRule>
    <cfRule type="containsText" dxfId="62" priority="146" operator="containsText" text="Contabilidad Nacional">
      <formula>NOT(ISERROR(SEARCH("Contabilidad Nacional",H2)))</formula>
    </cfRule>
    <cfRule type="containsText" dxfId="61" priority="145" operator="containsText" text="Economía Financiera y Corporativa">
      <formula>NOT(ISERROR(SEARCH("Economía Financiera y Corporativa",H2)))</formula>
    </cfRule>
    <cfRule type="containsText" dxfId="60" priority="144" operator="containsText" text="Economía del Bienestar e Intervención del Sector Público">
      <formula>NOT(ISERROR(SEARCH("Economía del Bienestar e Intervención del Sector Público",H2)))</formula>
    </cfRule>
    <cfRule type="containsText" dxfId="59" priority="150" operator="containsText" text="Demanda Agregada y Oferta Agregada">
      <formula>NOT(ISERROR(SEARCH("Demanda Agregada y Oferta Agregada",H2)))</formula>
    </cfRule>
    <cfRule type="containsText" dxfId="58" priority="143" operator="containsText" text="Unión Europea">
      <formula>NOT(ISERROR(SEARCH("Unión Europea",H2)))</formula>
    </cfRule>
    <cfRule type="containsText" dxfId="57" priority="142" operator="containsText" text="Historia económica">
      <formula>NOT(ISERROR(SEARCH("Historia económica",H2)))</formula>
    </cfRule>
    <cfRule type="containsText" dxfId="56" priority="141" operator="containsText" text="Pensamiento económico">
      <formula>NOT(ISERROR(SEARCH("Pensamiento económico",H2)))</formula>
    </cfRule>
    <cfRule type="containsText" dxfId="55" priority="140" operator="containsText" text="Organismos internacionales">
      <formula>NOT(ISERROR(SEARCH("Organismos internacionales",H2)))</formula>
    </cfRule>
    <cfRule type="containsText" dxfId="54" priority="139" operator="containsText" text="Modelo neoclásico básico">
      <formula>NOT(ISERROR(SEARCH("Modelo neoclásico básico",H2)))</formula>
    </cfRule>
    <cfRule type="containsText" dxfId="53" priority="138" operator="containsText" text="Comercio Internacional">
      <formula>NOT(ISERROR(SEARCH("Comercio Internacional",H2)))</formula>
    </cfRule>
    <cfRule type="containsText" dxfId="52" priority="137" operator="containsText" text="Información y poder de mercado">
      <formula>NOT(ISERROR(SEARCH("Información y poder de mercado",H2)))</formula>
    </cfRule>
    <cfRule type="containsText" dxfId="51" priority="53" operator="containsText" text="Impuestos">
      <formula>NOT(ISERROR(SEARCH("Impuestos",H2)))</formula>
    </cfRule>
    <cfRule type="containsText" dxfId="50" priority="52" operator="containsText" text="Empresas públicas">
      <formula>NOT(ISERROR(SEARCH("Empresas públicas",H2)))</formula>
    </cfRule>
    <cfRule type="containsText" dxfId="49" priority="51" operator="containsText" text="Déficit público y financiación del déficit">
      <formula>NOT(ISERROR(SEARCH("Déficit público y financiación del déficit",H2)))</formula>
    </cfRule>
  </conditionalFormatting>
  <conditionalFormatting sqref="G2:G179">
    <cfRule type="containsText" dxfId="48" priority="176" operator="containsText" text="Mixto">
      <formula>NOT(ISERROR(SEARCH("Mixto",G2)))</formula>
    </cfRule>
    <cfRule type="containsText" dxfId="47" priority="175" operator="containsText" text="Microeconomía">
      <formula>NOT(ISERROR(SEARCH("Microeconomía",G2)))</formula>
    </cfRule>
    <cfRule type="containsText" dxfId="46" priority="174" operator="containsText" text="Macroeconomía">
      <formula>NOT(ISERROR(SEARCH("Macroeconomía",G2)))</formula>
    </cfRule>
    <cfRule type="containsText" dxfId="45" priority="55" operator="containsText" text="Economía del sector público">
      <formula>NOT(ISERROR(SEARCH("Economía del sector público",G2)))</formula>
    </cfRule>
    <cfRule type="containsText" dxfId="44" priority="54" operator="containsText" text="Economía española">
      <formula>NOT(ISERROR(SEARCH("Economía española",G2)))</formula>
    </cfRule>
    <cfRule type="containsText" dxfId="43" priority="39" operator="containsText" text="Econometría">
      <formula>NOT(ISERROR(SEARCH("Econometría",G2)))</formula>
    </cfRule>
    <cfRule type="containsText" dxfId="42" priority="38" operator="containsText" text="Marketing internacional y técnicas comerciales">
      <formula>NOT(ISERROR(SEARCH("Marketing internacional y técnicas comerciales",G2)))</formula>
    </cfRule>
    <cfRule type="containsText" dxfId="41" priority="37" operator="containsText" text="Derecho administrativo y organización del Estado">
      <formula>NOT(ISERROR(SEARCH("Derecho administrativo y organización del Estado",G2)))</formula>
    </cfRule>
  </conditionalFormatting>
  <pageMargins left="0.7" right="0.7" top="0.75" bottom="0.75" header="0.3" footer="0.3"/>
  <pageSetup paperSize="9"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970DB-177B-4A15-9A6E-0C39E9BA15AA}">
  <sheetPr codeName="Hoja8"/>
  <dimension ref="A1:CO100"/>
  <sheetViews>
    <sheetView showGridLines="0" workbookViewId="0">
      <selection activeCell="C29" sqref="C29"/>
    </sheetView>
  </sheetViews>
  <sheetFormatPr baseColWidth="10" defaultColWidth="0" defaultRowHeight="15" zeroHeight="1" x14ac:dyDescent="0.25"/>
  <cols>
    <col min="1" max="1" width="11.5703125" style="24" customWidth="1"/>
    <col min="2" max="2" width="54.5703125" style="24" bestFit="1" customWidth="1"/>
    <col min="3" max="3" width="28.7109375" style="24" bestFit="1" customWidth="1"/>
    <col min="4" max="13" width="7.5703125" style="24" bestFit="1" customWidth="1"/>
    <col min="14" max="14" width="6.28515625" style="24" bestFit="1" customWidth="1"/>
    <col min="15" max="24" width="7.5703125" style="24" bestFit="1" customWidth="1"/>
    <col min="25" max="25" width="6.28515625" style="24" bestFit="1" customWidth="1"/>
    <col min="26" max="26" width="7.5703125" style="24" bestFit="1" customWidth="1"/>
    <col min="27" max="16384" width="11.5703125" style="24" hidden="1"/>
  </cols>
  <sheetData>
    <row r="1" spans="2:93" x14ac:dyDescent="0.25">
      <c r="B1"/>
      <c r="C1"/>
    </row>
    <row r="2" spans="2:93" x14ac:dyDescent="0.25">
      <c r="B2" s="24" t="s">
        <v>32</v>
      </c>
      <c r="C2" s="88">
        <v>3</v>
      </c>
    </row>
    <row r="3" spans="2:93" x14ac:dyDescent="0.25">
      <c r="B3"/>
      <c r="C3"/>
      <c r="D3"/>
    </row>
    <row r="4" spans="2:93" x14ac:dyDescent="0.25">
      <c r="B4" s="24" t="s">
        <v>132</v>
      </c>
      <c r="C4" s="24" t="s">
        <v>171</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row>
    <row r="5" spans="2:93" x14ac:dyDescent="0.25">
      <c r="B5" s="88" t="s">
        <v>36</v>
      </c>
      <c r="C5" s="24">
        <v>45</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row>
    <row r="6" spans="2:93" x14ac:dyDescent="0.25">
      <c r="B6" s="89" t="s">
        <v>122</v>
      </c>
      <c r="C6" s="24">
        <v>7</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row>
    <row r="7" spans="2:93" x14ac:dyDescent="0.25">
      <c r="B7" s="90" t="s">
        <v>133</v>
      </c>
      <c r="C7" s="24">
        <v>7</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row>
    <row r="8" spans="2:93" x14ac:dyDescent="0.25">
      <c r="B8" s="89" t="s">
        <v>123</v>
      </c>
      <c r="C8" s="24">
        <v>17</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row>
    <row r="9" spans="2:93" x14ac:dyDescent="0.25">
      <c r="B9" s="90" t="s">
        <v>137</v>
      </c>
      <c r="C9" s="24">
        <v>3</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row>
    <row r="10" spans="2:93" x14ac:dyDescent="0.25">
      <c r="B10" s="90" t="s">
        <v>136</v>
      </c>
      <c r="C10" s="24">
        <v>8</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row>
    <row r="11" spans="2:93" x14ac:dyDescent="0.25">
      <c r="B11" s="90" t="s">
        <v>135</v>
      </c>
      <c r="C11" s="24">
        <v>6</v>
      </c>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row>
    <row r="12" spans="2:93" x14ac:dyDescent="0.25">
      <c r="B12" s="89" t="s">
        <v>124</v>
      </c>
      <c r="C12" s="24">
        <v>21</v>
      </c>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row>
    <row r="13" spans="2:93" x14ac:dyDescent="0.25">
      <c r="B13" s="90" t="s">
        <v>139</v>
      </c>
      <c r="C13" s="24">
        <v>8</v>
      </c>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row>
    <row r="14" spans="2:93" x14ac:dyDescent="0.25">
      <c r="B14" s="90" t="s">
        <v>138</v>
      </c>
      <c r="C14" s="24">
        <v>2</v>
      </c>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row>
    <row r="15" spans="2:93" x14ac:dyDescent="0.25">
      <c r="B15" s="90" t="s">
        <v>140</v>
      </c>
      <c r="C15" s="24">
        <v>4</v>
      </c>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row>
    <row r="16" spans="2:93" x14ac:dyDescent="0.25">
      <c r="B16" s="90" t="s">
        <v>134</v>
      </c>
      <c r="C16" s="24">
        <v>7</v>
      </c>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row>
    <row r="17" spans="2:93" x14ac:dyDescent="0.25">
      <c r="B17" s="88" t="s">
        <v>38</v>
      </c>
      <c r="C17" s="24">
        <v>45</v>
      </c>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row>
    <row r="18" spans="2:93" x14ac:dyDescent="0.25">
      <c r="B18" s="89" t="s">
        <v>122</v>
      </c>
      <c r="C18" s="24">
        <v>18</v>
      </c>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row>
    <row r="19" spans="2:93" x14ac:dyDescent="0.25">
      <c r="B19" s="90" t="s">
        <v>141</v>
      </c>
      <c r="C19" s="24">
        <v>3</v>
      </c>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row>
    <row r="20" spans="2:93" x14ac:dyDescent="0.25">
      <c r="B20" s="90" t="s">
        <v>142</v>
      </c>
      <c r="C20" s="24">
        <v>5</v>
      </c>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row>
    <row r="21" spans="2:93" x14ac:dyDescent="0.25">
      <c r="B21" s="90" t="s">
        <v>143</v>
      </c>
      <c r="C21" s="24">
        <v>10</v>
      </c>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row>
    <row r="22" spans="2:93" x14ac:dyDescent="0.25">
      <c r="B22" s="89" t="s">
        <v>123</v>
      </c>
      <c r="C22" s="24">
        <v>16</v>
      </c>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row>
    <row r="23" spans="2:93" x14ac:dyDescent="0.25">
      <c r="B23" s="90" t="s">
        <v>146</v>
      </c>
      <c r="C23" s="24">
        <v>6</v>
      </c>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row>
    <row r="24" spans="2:93" x14ac:dyDescent="0.25">
      <c r="B24" s="90" t="s">
        <v>145</v>
      </c>
      <c r="C24" s="24">
        <v>10</v>
      </c>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row>
    <row r="25" spans="2:93" x14ac:dyDescent="0.25">
      <c r="B25" s="89" t="s">
        <v>124</v>
      </c>
      <c r="C25" s="24">
        <v>11</v>
      </c>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row>
    <row r="26" spans="2:93" x14ac:dyDescent="0.25">
      <c r="B26" s="90" t="s">
        <v>138</v>
      </c>
      <c r="C26" s="24">
        <v>1</v>
      </c>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row>
    <row r="27" spans="2:93" x14ac:dyDescent="0.25">
      <c r="B27" s="90" t="s">
        <v>140</v>
      </c>
      <c r="C27" s="24">
        <v>2</v>
      </c>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row>
    <row r="28" spans="2:93" x14ac:dyDescent="0.25">
      <c r="B28" s="90" t="s">
        <v>144</v>
      </c>
      <c r="C28" s="24">
        <v>8</v>
      </c>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row>
    <row r="29" spans="2:93" x14ac:dyDescent="0.25">
      <c r="B29" s="88" t="s">
        <v>121</v>
      </c>
      <c r="C29" s="24">
        <v>90</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row>
    <row r="30" spans="2:93" x14ac:dyDescent="0.25">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row>
    <row r="31" spans="2:93" x14ac:dyDescent="0.25">
      <c r="B31"/>
      <c r="C31"/>
      <c r="D31"/>
      <c r="E31"/>
      <c r="F31"/>
    </row>
    <row r="32" spans="2:93"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c r="E36"/>
      <c r="F36"/>
    </row>
    <row r="37" spans="2:6" x14ac:dyDescent="0.25">
      <c r="B37"/>
      <c r="C37"/>
      <c r="D37"/>
      <c r="E37"/>
      <c r="F37"/>
    </row>
    <row r="38" spans="2:6" x14ac:dyDescent="0.25">
      <c r="B38"/>
      <c r="C38"/>
      <c r="D38"/>
      <c r="E38"/>
      <c r="F38"/>
    </row>
    <row r="39" spans="2:6" x14ac:dyDescent="0.25">
      <c r="B39"/>
      <c r="C39"/>
      <c r="D39"/>
      <c r="E39"/>
      <c r="F39"/>
    </row>
    <row r="40" spans="2:6" x14ac:dyDescent="0.25">
      <c r="B40"/>
      <c r="C40"/>
      <c r="D40"/>
      <c r="E40"/>
      <c r="F40"/>
    </row>
    <row r="41" spans="2:6" x14ac:dyDescent="0.25">
      <c r="B41"/>
      <c r="C41"/>
      <c r="D41"/>
      <c r="E41"/>
      <c r="F41"/>
    </row>
    <row r="42" spans="2:6" x14ac:dyDescent="0.25">
      <c r="B42"/>
      <c r="C42"/>
      <c r="D42"/>
      <c r="E42"/>
      <c r="F42"/>
    </row>
    <row r="43" spans="2:6" x14ac:dyDescent="0.25">
      <c r="B43"/>
      <c r="C43"/>
      <c r="D43"/>
      <c r="E43"/>
      <c r="F43"/>
    </row>
    <row r="44" spans="2:6" x14ac:dyDescent="0.25">
      <c r="B44"/>
      <c r="C44"/>
      <c r="D44"/>
      <c r="E44"/>
      <c r="F44"/>
    </row>
    <row r="45" spans="2:6" x14ac:dyDescent="0.25">
      <c r="B45"/>
      <c r="C45"/>
      <c r="D45"/>
      <c r="E45"/>
      <c r="F45"/>
    </row>
    <row r="46" spans="2:6" x14ac:dyDescent="0.25">
      <c r="B46"/>
      <c r="C46"/>
      <c r="D46"/>
      <c r="E46"/>
      <c r="F46"/>
    </row>
    <row r="47" spans="2:6" x14ac:dyDescent="0.25">
      <c r="B47"/>
      <c r="C47"/>
      <c r="D47"/>
      <c r="E47"/>
      <c r="F47"/>
    </row>
    <row r="48" spans="2:6" x14ac:dyDescent="0.25">
      <c r="B48"/>
      <c r="C48"/>
      <c r="D48"/>
      <c r="E48"/>
      <c r="F48"/>
    </row>
    <row r="49" spans="2:6" x14ac:dyDescent="0.25">
      <c r="B49"/>
      <c r="C49"/>
      <c r="D49"/>
      <c r="E49"/>
      <c r="F49"/>
    </row>
    <row r="50" spans="2:6" x14ac:dyDescent="0.25">
      <c r="B50"/>
      <c r="C50"/>
      <c r="D50"/>
      <c r="E50"/>
      <c r="F50"/>
    </row>
    <row r="51" spans="2:6" x14ac:dyDescent="0.25">
      <c r="B51"/>
      <c r="C51"/>
      <c r="D51"/>
      <c r="E51"/>
      <c r="F51"/>
    </row>
    <row r="52" spans="2:6" x14ac:dyDescent="0.25">
      <c r="B52"/>
      <c r="C52"/>
      <c r="D52"/>
      <c r="E52"/>
      <c r="F52"/>
    </row>
    <row r="53" spans="2:6" x14ac:dyDescent="0.25">
      <c r="B53"/>
      <c r="C53"/>
      <c r="D53"/>
      <c r="E53"/>
      <c r="F53"/>
    </row>
    <row r="54" spans="2:6" x14ac:dyDescent="0.25">
      <c r="B54"/>
      <c r="C54"/>
      <c r="D54"/>
      <c r="E54"/>
      <c r="F54"/>
    </row>
    <row r="55" spans="2:6" x14ac:dyDescent="0.25">
      <c r="B55"/>
      <c r="C55"/>
      <c r="D55"/>
      <c r="E55"/>
      <c r="F55"/>
    </row>
    <row r="56" spans="2:6" x14ac:dyDescent="0.25">
      <c r="B56"/>
      <c r="C56"/>
      <c r="D56"/>
      <c r="E56"/>
      <c r="F56"/>
    </row>
    <row r="57" spans="2:6" x14ac:dyDescent="0.25">
      <c r="B57"/>
      <c r="C57"/>
      <c r="D57"/>
      <c r="E57"/>
      <c r="F57"/>
    </row>
    <row r="58" spans="2:6" x14ac:dyDescent="0.25">
      <c r="B58"/>
      <c r="C58"/>
      <c r="D58"/>
      <c r="E58"/>
      <c r="F58"/>
    </row>
    <row r="59" spans="2:6" x14ac:dyDescent="0.25">
      <c r="B59"/>
      <c r="C59"/>
      <c r="D59"/>
      <c r="E59"/>
      <c r="F59"/>
    </row>
    <row r="60" spans="2:6" x14ac:dyDescent="0.25">
      <c r="B60"/>
      <c r="C60"/>
      <c r="D60"/>
      <c r="E60"/>
      <c r="F60"/>
    </row>
    <row r="61" spans="2:6" x14ac:dyDescent="0.25">
      <c r="B61"/>
      <c r="C61"/>
      <c r="D61"/>
      <c r="E61"/>
      <c r="F61"/>
    </row>
    <row r="62" spans="2:6" x14ac:dyDescent="0.25">
      <c r="B62"/>
      <c r="C62"/>
      <c r="D62"/>
      <c r="E62"/>
      <c r="F62"/>
    </row>
    <row r="63" spans="2:6" x14ac:dyDescent="0.25">
      <c r="B63"/>
      <c r="C63"/>
      <c r="D63"/>
      <c r="E63"/>
      <c r="F63"/>
    </row>
    <row r="64" spans="2:6" x14ac:dyDescent="0.25">
      <c r="B64"/>
      <c r="C64"/>
      <c r="D64"/>
      <c r="E64"/>
      <c r="F64"/>
    </row>
    <row r="65" spans="2:6" x14ac:dyDescent="0.25">
      <c r="B65"/>
      <c r="C65"/>
      <c r="D65"/>
      <c r="E65"/>
      <c r="F65"/>
    </row>
    <row r="66" spans="2:6" x14ac:dyDescent="0.25">
      <c r="B66"/>
      <c r="C66"/>
      <c r="D66"/>
      <c r="E66"/>
      <c r="F66"/>
    </row>
    <row r="67" spans="2:6" x14ac:dyDescent="0.25">
      <c r="B67"/>
      <c r="C67"/>
      <c r="D67"/>
      <c r="E67"/>
      <c r="F67"/>
    </row>
    <row r="68" spans="2:6" x14ac:dyDescent="0.25"/>
    <row r="69" spans="2:6" x14ac:dyDescent="0.25"/>
    <row r="70" spans="2:6" x14ac:dyDescent="0.25"/>
    <row r="71" spans="2:6" x14ac:dyDescent="0.25"/>
    <row r="72" spans="2:6" x14ac:dyDescent="0.25"/>
    <row r="73" spans="2:6" x14ac:dyDescent="0.25"/>
    <row r="74" spans="2:6" x14ac:dyDescent="0.25"/>
    <row r="75" spans="2:6" x14ac:dyDescent="0.25"/>
    <row r="76" spans="2:6" x14ac:dyDescent="0.25"/>
    <row r="77" spans="2:6" x14ac:dyDescent="0.25"/>
    <row r="78" spans="2:6" x14ac:dyDescent="0.25"/>
    <row r="79" spans="2:6" x14ac:dyDescent="0.25"/>
    <row r="80" spans="2: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sheetData>
  <sheetProtection algorithmName="SHA-512" hashValue="Z7mbqnVU0pmNPh4RTNtpCkDvQPtAb7RcUDsTDzSKxSGJP8/HUKWzO5G48HVTJhi0hsBglYFejZUJ5AmI612hBA==" saltValue="EuQLKzGyBGiZXiikAnfmWg==" spinCount="100000" sheet="1" pivotTables="0"/>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231C5-3D0F-44EA-9E4A-35B6FE07AF41}">
  <sheetPr codeName="Hoja14"/>
  <dimension ref="A1:Z60"/>
  <sheetViews>
    <sheetView showGridLines="0" workbookViewId="0">
      <selection activeCell="M10" sqref="M10"/>
    </sheetView>
  </sheetViews>
  <sheetFormatPr baseColWidth="10" defaultColWidth="0" defaultRowHeight="15" zeroHeight="1" x14ac:dyDescent="0.25"/>
  <cols>
    <col min="1" max="26" width="11.5703125" style="18" customWidth="1"/>
    <col min="27" max="16384" width="11.5703125" style="18" hidden="1"/>
  </cols>
  <sheetData>
    <row r="1" spans="2:9" x14ac:dyDescent="0.25">
      <c r="B1" s="173" t="s">
        <v>179</v>
      </c>
      <c r="C1" s="173"/>
      <c r="D1" s="173"/>
      <c r="E1" s="173"/>
      <c r="F1" s="173"/>
      <c r="G1" s="173"/>
      <c r="H1" s="173"/>
      <c r="I1" s="173"/>
    </row>
    <row r="2" spans="2:9" x14ac:dyDescent="0.25">
      <c r="B2" s="173"/>
      <c r="C2" s="173"/>
      <c r="D2" s="173"/>
      <c r="E2" s="173"/>
      <c r="F2" s="173"/>
      <c r="G2" s="173"/>
      <c r="H2" s="173"/>
      <c r="I2" s="173"/>
    </row>
    <row r="3" spans="2:9" x14ac:dyDescent="0.25">
      <c r="B3" s="173"/>
      <c r="C3" s="173"/>
      <c r="D3" s="173"/>
      <c r="E3" s="173"/>
      <c r="F3" s="173"/>
      <c r="G3" s="173"/>
      <c r="H3" s="173"/>
      <c r="I3" s="173"/>
    </row>
    <row r="4" spans="2:9" x14ac:dyDescent="0.25">
      <c r="B4" s="173"/>
      <c r="C4" s="173"/>
      <c r="D4" s="173"/>
      <c r="E4" s="173"/>
      <c r="F4" s="173"/>
      <c r="G4" s="173"/>
      <c r="H4" s="173"/>
      <c r="I4" s="173"/>
    </row>
    <row r="5" spans="2:9" x14ac:dyDescent="0.25"/>
    <row r="6" spans="2:9" x14ac:dyDescent="0.25"/>
    <row r="7" spans="2:9" x14ac:dyDescent="0.25"/>
    <row r="8" spans="2:9" x14ac:dyDescent="0.25"/>
    <row r="9" spans="2:9" x14ac:dyDescent="0.25"/>
    <row r="10" spans="2:9" x14ac:dyDescent="0.25"/>
    <row r="11" spans="2:9" x14ac:dyDescent="0.25"/>
    <row r="12" spans="2:9" x14ac:dyDescent="0.25"/>
    <row r="13" spans="2:9" x14ac:dyDescent="0.25"/>
    <row r="14" spans="2:9" x14ac:dyDescent="0.25"/>
    <row r="15" spans="2:9" x14ac:dyDescent="0.25"/>
    <row r="16" spans="2:9"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sheetData>
  <sheetProtection algorithmName="SHA-512" hashValue="DiEV5WqWSAFtvO6CGZHiTv1PVXhW5KCaEnQc50Hl/7yslKrP1M7L4rxDLXREud80X2Reky6o0hdvpHLzRxEI7A==" saltValue="9PKgN9FvvynDQncjTSe+4w==" spinCount="100000" sheet="1" objects="1" scenarios="1" selectLockedCells="1" selectUnlockedCells="1"/>
  <mergeCells count="1">
    <mergeCell ref="B1:I4"/>
  </mergeCell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F2D-4F33-4ECB-BB7E-08AC2AFA0D77}">
  <sheetPr codeName="Hoja15"/>
  <dimension ref="C1:I179"/>
  <sheetViews>
    <sheetView showGridLines="0" zoomScale="70" zoomScaleNormal="70" workbookViewId="0">
      <selection activeCell="D6" sqref="D6"/>
    </sheetView>
  </sheetViews>
  <sheetFormatPr baseColWidth="10" defaultRowHeight="15" x14ac:dyDescent="0.25"/>
  <cols>
    <col min="3" max="3" width="12.7109375" style="92" customWidth="1"/>
    <col min="4" max="4" width="14.7109375" style="92" customWidth="1"/>
    <col min="5" max="5" width="11.42578125" style="92"/>
    <col min="6" max="6" width="154.5703125" style="178" customWidth="1"/>
    <col min="7" max="7" width="19.28515625" style="178" bestFit="1" customWidth="1"/>
    <col min="8" max="8" width="36.28515625" style="178" customWidth="1"/>
    <col min="9" max="9" width="51.5703125" style="92" customWidth="1"/>
  </cols>
  <sheetData>
    <row r="1" spans="3:9" x14ac:dyDescent="0.25">
      <c r="C1" s="68" t="s">
        <v>229</v>
      </c>
      <c r="D1" s="68" t="s">
        <v>230</v>
      </c>
      <c r="E1" s="68" t="s">
        <v>35</v>
      </c>
      <c r="F1" s="68" t="s">
        <v>37</v>
      </c>
      <c r="G1" s="68" t="s">
        <v>120</v>
      </c>
      <c r="H1" s="68" t="s">
        <v>225</v>
      </c>
      <c r="I1" s="68" t="s">
        <v>343</v>
      </c>
    </row>
    <row r="2" spans="3:9" x14ac:dyDescent="0.25">
      <c r="C2" s="91">
        <v>1</v>
      </c>
      <c r="D2" s="92" t="s">
        <v>99</v>
      </c>
      <c r="E2" s="91" t="s">
        <v>149</v>
      </c>
      <c r="F2" s="178" t="str">
        <f>IFERROR(VLOOKUP('Cronograma'!$E2,ListadoDeTemas1[[Tema]:[Bloque]],COLUMNS('Cronograma'!$E2:F2),FALSE),"")</f>
        <v>Teoría de la demanda del consumidor (I). Axiomas sobre las preferencias, función de utilidad y función de demanda marshalliana. La teoría de la preferencia revelada. Precios hedónicos.</v>
      </c>
      <c r="G2" s="179" t="str">
        <f>IFERROR(VLOOKUP('Cronograma'!$E2,ListadoDeTemas1[[Tema]:[Bloque]],COLUMNS('Cronograma'!$E2:G2),FALSE),"")</f>
        <v>Microeconomía</v>
      </c>
      <c r="H2" s="180" t="str">
        <f>IFERROR(VLOOKUP('Cronograma'!$E2,ListadoDeTemas1[[Tema]:[Bloque]],COLUMNS('Cronograma'!$E2:H2),FALSE),"")</f>
        <v>Modelo neoclásico básico</v>
      </c>
    </row>
    <row r="3" spans="3:9" x14ac:dyDescent="0.25">
      <c r="C3" s="91"/>
      <c r="E3" s="91" t="s">
        <v>151</v>
      </c>
      <c r="F3" s="178" t="str">
        <f>IFERROR(VLOOKUP('Cronograma'!$E3,ListadoDeTemas1[[Tema]:[Bloque]],COLUMNS('Cronograma'!$E3:F3),FALSE),"")</f>
        <v>Teoría de la demanda del consumidor (III). Elección del consumidor en situaciones de riesgo e incertidumbre.</v>
      </c>
      <c r="G3" s="179" t="str">
        <f>IFERROR(VLOOKUP('Cronograma'!$E3,ListadoDeTemas1[[Tema]:[Bloque]],COLUMNS('Cronograma'!$E3:G3),FALSE),"")</f>
        <v>Microeconomía</v>
      </c>
      <c r="H3" s="180" t="str">
        <f>IFERROR(VLOOKUP('Cronograma'!$E3,ListadoDeTemas1[[Tema]:[Bloque]],COLUMNS('Cronograma'!$E3:H3),FALSE),"")</f>
        <v>Información y poder de mercado</v>
      </c>
    </row>
    <row r="4" spans="3:9" x14ac:dyDescent="0.25">
      <c r="C4" s="91"/>
      <c r="E4" s="91"/>
      <c r="F4" s="181" t="str">
        <f>IFERROR(VLOOKUP('Cronograma'!$E4,ListadoDeTemas1[[Tema]:[Bloque]],COLUMNS('Cronograma'!$E4:F4),FALSE),"")</f>
        <v/>
      </c>
      <c r="G4" s="179" t="str">
        <f>IFERROR(VLOOKUP('Cronograma'!$E4,ListadoDeTemas1[[Tema]:[Bloque]],COLUMNS('Cronograma'!$E4:G4),FALSE),"")</f>
        <v/>
      </c>
      <c r="H4" s="180" t="str">
        <f>IFERROR(VLOOKUP('Cronograma'!$E4,ListadoDeTemas1[[Tema]:[Bloque]],COLUMNS('Cronograma'!$E4:H4),FALSE),"")</f>
        <v/>
      </c>
      <c r="I4" s="177"/>
    </row>
    <row r="5" spans="3:9" x14ac:dyDescent="0.25">
      <c r="C5" s="91"/>
      <c r="E5" s="91"/>
      <c r="F5" s="181" t="str">
        <f>IFERROR(VLOOKUP('Cronograma'!$E5,ListadoDeTemas1[[Tema]:[Bloque]],COLUMNS('Cronograma'!$E5:F5),FALSE),"")</f>
        <v/>
      </c>
      <c r="G5" s="179" t="str">
        <f>IFERROR(VLOOKUP('Cronograma'!$E5,ListadoDeTemas1[[Tema]:[Bloque]],COLUMNS('Cronograma'!$E5:G5),FALSE),"")</f>
        <v/>
      </c>
      <c r="H5" s="180" t="str">
        <f>IFERROR(VLOOKUP('Cronograma'!$E5,ListadoDeTemas1[[Tema]:[Bloque]],COLUMNS('Cronograma'!$E5:H5),FALSE),"")</f>
        <v/>
      </c>
      <c r="I5" s="177"/>
    </row>
    <row r="6" spans="3:9" x14ac:dyDescent="0.25">
      <c r="C6" s="91"/>
      <c r="E6" s="91"/>
      <c r="F6" s="181" t="str">
        <f>IFERROR(VLOOKUP('Cronograma'!$E6,ListadoDeTemas1[[Tema]:[Bloque]],COLUMNS('Cronograma'!$E6:F6),FALSE),"")</f>
        <v/>
      </c>
      <c r="G6" s="179" t="str">
        <f>IFERROR(VLOOKUP('Cronograma'!$E6,ListadoDeTemas1[[Tema]:[Bloque]],COLUMNS('Cronograma'!$E6:G6),FALSE),"")</f>
        <v/>
      </c>
      <c r="H6" s="180" t="str">
        <f>IFERROR(VLOOKUP('Cronograma'!$E6,ListadoDeTemas1[[Tema]:[Bloque]],COLUMNS('Cronograma'!$E6:H6),FALSE),"")</f>
        <v/>
      </c>
      <c r="I6" s="177"/>
    </row>
    <row r="7" spans="3:9" x14ac:dyDescent="0.25">
      <c r="C7" s="91"/>
      <c r="E7" s="91"/>
      <c r="F7" s="181" t="str">
        <f>IFERROR(VLOOKUP('Cronograma'!$E7,ListadoDeTemas1[[Tema]:[Bloque]],COLUMNS('Cronograma'!$E7:F7),FALSE),"")</f>
        <v/>
      </c>
      <c r="G7" s="179" t="str">
        <f>IFERROR(VLOOKUP('Cronograma'!$E7,ListadoDeTemas1[[Tema]:[Bloque]],COLUMNS('Cronograma'!$E7:G7),FALSE),"")</f>
        <v/>
      </c>
      <c r="H7" s="180" t="str">
        <f>IFERROR(VLOOKUP('Cronograma'!$E7,ListadoDeTemas1[[Tema]:[Bloque]],COLUMNS('Cronograma'!$E7:H7),FALSE),"")</f>
        <v/>
      </c>
      <c r="I7" s="177"/>
    </row>
    <row r="8" spans="3:9" x14ac:dyDescent="0.25">
      <c r="C8" s="91"/>
      <c r="E8" s="91"/>
      <c r="F8" s="181" t="str">
        <f>IFERROR(VLOOKUP('Cronograma'!$E8,ListadoDeTemas1[[Tema]:[Bloque]],COLUMNS('Cronograma'!$E8:F8),FALSE),"")</f>
        <v/>
      </c>
      <c r="G8" s="179" t="str">
        <f>IFERROR(VLOOKUP('Cronograma'!$E8,ListadoDeTemas1[[Tema]:[Bloque]],COLUMNS('Cronograma'!$E8:G8),FALSE),"")</f>
        <v/>
      </c>
      <c r="H8" s="180" t="str">
        <f>IFERROR(VLOOKUP('Cronograma'!$E8,ListadoDeTemas1[[Tema]:[Bloque]],COLUMNS('Cronograma'!$E8:H8),FALSE),"")</f>
        <v/>
      </c>
      <c r="I8" s="177"/>
    </row>
    <row r="9" spans="3:9" x14ac:dyDescent="0.25">
      <c r="C9" s="91"/>
      <c r="E9" s="91"/>
      <c r="F9" s="181" t="str">
        <f>IFERROR(VLOOKUP('Cronograma'!$E9,ListadoDeTemas1[[Tema]:[Bloque]],COLUMNS('Cronograma'!$E9:F9),FALSE),"")</f>
        <v/>
      </c>
      <c r="G9" s="179" t="str">
        <f>IFERROR(VLOOKUP('Cronograma'!$E9,ListadoDeTemas1[[Tema]:[Bloque]],COLUMNS('Cronograma'!$E9:G9),FALSE),"")</f>
        <v/>
      </c>
      <c r="H9" s="180" t="str">
        <f>IFERROR(VLOOKUP('Cronograma'!$E9,ListadoDeTemas1[[Tema]:[Bloque]],COLUMNS('Cronograma'!$E9:H9),FALSE),"")</f>
        <v/>
      </c>
      <c r="I9" s="177"/>
    </row>
    <row r="10" spans="3:9" x14ac:dyDescent="0.25">
      <c r="C10" s="91"/>
      <c r="E10" s="91"/>
      <c r="F10" s="181" t="str">
        <f>IFERROR(VLOOKUP('Cronograma'!$E10,ListadoDeTemas1[[Tema]:[Bloque]],COLUMNS('Cronograma'!$E10:F10),FALSE),"")</f>
        <v/>
      </c>
      <c r="G10" s="179" t="str">
        <f>IFERROR(VLOOKUP('Cronograma'!$E10,ListadoDeTemas1[[Tema]:[Bloque]],COLUMNS('Cronograma'!$E10:G10),FALSE),"")</f>
        <v/>
      </c>
      <c r="H10" s="180" t="str">
        <f>IFERROR(VLOOKUP('Cronograma'!$E10,ListadoDeTemas1[[Tema]:[Bloque]],COLUMNS('Cronograma'!$E10:H10),FALSE),"")</f>
        <v/>
      </c>
      <c r="I10" s="177"/>
    </row>
    <row r="11" spans="3:9" x14ac:dyDescent="0.25">
      <c r="C11" s="91"/>
      <c r="E11" s="91"/>
      <c r="F11" s="181" t="str">
        <f>IFERROR(VLOOKUP('Cronograma'!$E11,ListadoDeTemas1[[Tema]:[Bloque]],COLUMNS('Cronograma'!$E11:F11),FALSE),"")</f>
        <v/>
      </c>
      <c r="G11" s="179" t="str">
        <f>IFERROR(VLOOKUP('Cronograma'!$E11,ListadoDeTemas1[[Tema]:[Bloque]],COLUMNS('Cronograma'!$E11:G11),FALSE),"")</f>
        <v/>
      </c>
      <c r="H11" s="180" t="str">
        <f>IFERROR(VLOOKUP('Cronograma'!$E11,ListadoDeTemas1[[Tema]:[Bloque]],COLUMNS('Cronograma'!$E11:H11),FALSE),"")</f>
        <v/>
      </c>
      <c r="I11" s="177"/>
    </row>
    <row r="12" spans="3:9" x14ac:dyDescent="0.25">
      <c r="C12" s="91"/>
      <c r="E12" s="91"/>
      <c r="F12" s="181" t="str">
        <f>IFERROR(VLOOKUP('Cronograma'!$E12,ListadoDeTemas1[[Tema]:[Bloque]],COLUMNS('Cronograma'!$E12:F12),FALSE),"")</f>
        <v/>
      </c>
      <c r="G12" s="179" t="str">
        <f>IFERROR(VLOOKUP('Cronograma'!$E12,ListadoDeTemas1[[Tema]:[Bloque]],COLUMNS('Cronograma'!$E12:G12),FALSE),"")</f>
        <v/>
      </c>
      <c r="H12" s="180" t="str">
        <f>IFERROR(VLOOKUP('Cronograma'!$E12,ListadoDeTemas1[[Tema]:[Bloque]],COLUMNS('Cronograma'!$E12:H12),FALSE),"")</f>
        <v/>
      </c>
      <c r="I12" s="177"/>
    </row>
    <row r="13" spans="3:9" x14ac:dyDescent="0.25">
      <c r="C13" s="91"/>
      <c r="E13" s="91"/>
      <c r="F13" s="181" t="str">
        <f>IFERROR(VLOOKUP('Cronograma'!$E13,ListadoDeTemas1[[Tema]:[Bloque]],COLUMNS('Cronograma'!$E13:F13),FALSE),"")</f>
        <v/>
      </c>
      <c r="G13" s="179" t="str">
        <f>IFERROR(VLOOKUP('Cronograma'!$E13,ListadoDeTemas1[[Tema]:[Bloque]],COLUMNS('Cronograma'!$E13:G13),FALSE),"")</f>
        <v/>
      </c>
      <c r="H13" s="180" t="str">
        <f>IFERROR(VLOOKUP('Cronograma'!$E13,ListadoDeTemas1[[Tema]:[Bloque]],COLUMNS('Cronograma'!$E13:H13),FALSE),"")</f>
        <v/>
      </c>
      <c r="I13" s="177"/>
    </row>
    <row r="14" spans="3:9" x14ac:dyDescent="0.25">
      <c r="C14" s="91"/>
      <c r="E14" s="91"/>
      <c r="F14" s="181" t="str">
        <f>IFERROR(VLOOKUP('Cronograma'!$E14,ListadoDeTemas1[[Tema]:[Bloque]],COLUMNS('Cronograma'!$E14:F14),FALSE),"")</f>
        <v/>
      </c>
      <c r="G14" s="179" t="str">
        <f>IFERROR(VLOOKUP('Cronograma'!$E14,ListadoDeTemas1[[Tema]:[Bloque]],COLUMNS('Cronograma'!$E14:G14),FALSE),"")</f>
        <v/>
      </c>
      <c r="H14" s="180" t="str">
        <f>IFERROR(VLOOKUP('Cronograma'!$E14,ListadoDeTemas1[[Tema]:[Bloque]],COLUMNS('Cronograma'!$E14:H14),FALSE),"")</f>
        <v/>
      </c>
      <c r="I14" s="177"/>
    </row>
    <row r="15" spans="3:9" x14ac:dyDescent="0.25">
      <c r="C15" s="91"/>
      <c r="E15" s="91"/>
      <c r="F15" s="181" t="str">
        <f>IFERROR(VLOOKUP('Cronograma'!$E15,ListadoDeTemas1[[Tema]:[Bloque]],COLUMNS('Cronograma'!$E15:F15),FALSE),"")</f>
        <v/>
      </c>
      <c r="G15" s="179" t="str">
        <f>IFERROR(VLOOKUP('Cronograma'!$E15,ListadoDeTemas1[[Tema]:[Bloque]],COLUMNS('Cronograma'!$E15:G15),FALSE),"")</f>
        <v/>
      </c>
      <c r="H15" s="180" t="str">
        <f>IFERROR(VLOOKUP('Cronograma'!$E15,ListadoDeTemas1[[Tema]:[Bloque]],COLUMNS('Cronograma'!$E15:H15),FALSE),"")</f>
        <v/>
      </c>
      <c r="I15" s="177"/>
    </row>
    <row r="16" spans="3:9" x14ac:dyDescent="0.25">
      <c r="C16" s="91"/>
      <c r="E16" s="91"/>
      <c r="F16" s="181" t="str">
        <f>IFERROR(VLOOKUP('Cronograma'!$E16,ListadoDeTemas1[[Tema]:[Bloque]],COLUMNS('Cronograma'!$E16:F16),FALSE),"")</f>
        <v/>
      </c>
      <c r="G16" s="179" t="str">
        <f>IFERROR(VLOOKUP('Cronograma'!$E16,ListadoDeTemas1[[Tema]:[Bloque]],COLUMNS('Cronograma'!$E16:G16),FALSE),"")</f>
        <v/>
      </c>
      <c r="H16" s="180" t="str">
        <f>IFERROR(VLOOKUP('Cronograma'!$E16,ListadoDeTemas1[[Tema]:[Bloque]],COLUMNS('Cronograma'!$E16:H16),FALSE),"")</f>
        <v/>
      </c>
      <c r="I16" s="177"/>
    </row>
    <row r="17" spans="3:9" x14ac:dyDescent="0.25">
      <c r="C17" s="91"/>
      <c r="E17" s="91"/>
      <c r="F17" s="181" t="str">
        <f>IFERROR(VLOOKUP('Cronograma'!$E17,ListadoDeTemas1[[Tema]:[Bloque]],COLUMNS('Cronograma'!$E17:F17),FALSE),"")</f>
        <v/>
      </c>
      <c r="G17" s="179" t="str">
        <f>IFERROR(VLOOKUP('Cronograma'!$E17,ListadoDeTemas1[[Tema]:[Bloque]],COLUMNS('Cronograma'!$E17:G17),FALSE),"")</f>
        <v/>
      </c>
      <c r="H17" s="180" t="str">
        <f>IFERROR(VLOOKUP('Cronograma'!$E17,ListadoDeTemas1[[Tema]:[Bloque]],COLUMNS('Cronograma'!$E17:H17),FALSE),"")</f>
        <v/>
      </c>
      <c r="I17" s="177"/>
    </row>
    <row r="18" spans="3:9" x14ac:dyDescent="0.25">
      <c r="C18" s="91"/>
      <c r="E18" s="91"/>
      <c r="F18" s="181" t="str">
        <f>IFERROR(VLOOKUP('Cronograma'!$E18,ListadoDeTemas1[[Tema]:[Bloque]],COLUMNS('Cronograma'!$E18:F18),FALSE),"")</f>
        <v/>
      </c>
      <c r="G18" s="179" t="str">
        <f>IFERROR(VLOOKUP('Cronograma'!$E18,ListadoDeTemas1[[Tema]:[Bloque]],COLUMNS('Cronograma'!$E18:G18),FALSE),"")</f>
        <v/>
      </c>
      <c r="H18" s="180" t="str">
        <f>IFERROR(VLOOKUP('Cronograma'!$E18,ListadoDeTemas1[[Tema]:[Bloque]],COLUMNS('Cronograma'!$E18:H18),FALSE),"")</f>
        <v/>
      </c>
      <c r="I18" s="177"/>
    </row>
    <row r="19" spans="3:9" x14ac:dyDescent="0.25">
      <c r="C19" s="91"/>
      <c r="E19" s="91"/>
      <c r="F19" s="181" t="str">
        <f>IFERROR(VLOOKUP('Cronograma'!$E19,ListadoDeTemas1[[Tema]:[Bloque]],COLUMNS('Cronograma'!$E19:F19),FALSE),"")</f>
        <v/>
      </c>
      <c r="G19" s="179" t="str">
        <f>IFERROR(VLOOKUP('Cronograma'!$E19,ListadoDeTemas1[[Tema]:[Bloque]],COLUMNS('Cronograma'!$E19:G19),FALSE),"")</f>
        <v/>
      </c>
      <c r="H19" s="180" t="str">
        <f>IFERROR(VLOOKUP('Cronograma'!$E19,ListadoDeTemas1[[Tema]:[Bloque]],COLUMNS('Cronograma'!$E19:H19),FALSE),"")</f>
        <v/>
      </c>
      <c r="I19" s="177"/>
    </row>
    <row r="20" spans="3:9" x14ac:dyDescent="0.25">
      <c r="C20" s="91"/>
      <c r="E20" s="91"/>
      <c r="F20" s="181" t="str">
        <f>IFERROR(VLOOKUP('Cronograma'!$E20,ListadoDeTemas1[[Tema]:[Bloque]],COLUMNS('Cronograma'!$E20:F20),FALSE),"")</f>
        <v/>
      </c>
      <c r="G20" s="179" t="str">
        <f>IFERROR(VLOOKUP('Cronograma'!$E20,ListadoDeTemas1[[Tema]:[Bloque]],COLUMNS('Cronograma'!$E20:G20),FALSE),"")</f>
        <v/>
      </c>
      <c r="H20" s="180" t="str">
        <f>IFERROR(VLOOKUP('Cronograma'!$E20,ListadoDeTemas1[[Tema]:[Bloque]],COLUMNS('Cronograma'!$E20:H20),FALSE),"")</f>
        <v/>
      </c>
      <c r="I20" s="177"/>
    </row>
    <row r="21" spans="3:9" x14ac:dyDescent="0.25">
      <c r="C21" s="91"/>
      <c r="E21" s="91"/>
      <c r="F21" s="181" t="str">
        <f>IFERROR(VLOOKUP('Cronograma'!$E21,ListadoDeTemas1[[Tema]:[Bloque]],COLUMNS('Cronograma'!$E21:F21),FALSE),"")</f>
        <v/>
      </c>
      <c r="G21" s="179" t="str">
        <f>IFERROR(VLOOKUP('Cronograma'!$E21,ListadoDeTemas1[[Tema]:[Bloque]],COLUMNS('Cronograma'!$E21:G21),FALSE),"")</f>
        <v/>
      </c>
      <c r="H21" s="180" t="str">
        <f>IFERROR(VLOOKUP('Cronograma'!$E21,ListadoDeTemas1[[Tema]:[Bloque]],COLUMNS('Cronograma'!$E21:H21),FALSE),"")</f>
        <v/>
      </c>
      <c r="I21" s="177"/>
    </row>
    <row r="22" spans="3:9" x14ac:dyDescent="0.25">
      <c r="C22" s="91"/>
      <c r="E22" s="91"/>
      <c r="F22" s="181" t="str">
        <f>IFERROR(VLOOKUP('Cronograma'!$E22,ListadoDeTemas1[[Tema]:[Bloque]],COLUMNS('Cronograma'!$E22:F22),FALSE),"")</f>
        <v/>
      </c>
      <c r="G22" s="179" t="str">
        <f>IFERROR(VLOOKUP('Cronograma'!$E22,ListadoDeTemas1[[Tema]:[Bloque]],COLUMNS('Cronograma'!$E22:G22),FALSE),"")</f>
        <v/>
      </c>
      <c r="H22" s="180" t="str">
        <f>IFERROR(VLOOKUP('Cronograma'!$E22,ListadoDeTemas1[[Tema]:[Bloque]],COLUMNS('Cronograma'!$E22:H22),FALSE),"")</f>
        <v/>
      </c>
      <c r="I22" s="177"/>
    </row>
    <row r="23" spans="3:9" x14ac:dyDescent="0.25">
      <c r="C23" s="91"/>
      <c r="E23" s="91"/>
      <c r="F23" s="181" t="str">
        <f>IFERROR(VLOOKUP('Cronograma'!$E23,ListadoDeTemas1[[Tema]:[Bloque]],COLUMNS('Cronograma'!$E23:F23),FALSE),"")</f>
        <v/>
      </c>
      <c r="G23" s="179" t="str">
        <f>IFERROR(VLOOKUP('Cronograma'!$E23,ListadoDeTemas1[[Tema]:[Bloque]],COLUMNS('Cronograma'!$E23:G23),FALSE),"")</f>
        <v/>
      </c>
      <c r="H23" s="180" t="str">
        <f>IFERROR(VLOOKUP('Cronograma'!$E23,ListadoDeTemas1[[Tema]:[Bloque]],COLUMNS('Cronograma'!$E23:H23),FALSE),"")</f>
        <v/>
      </c>
      <c r="I23" s="177"/>
    </row>
    <row r="24" spans="3:9" x14ac:dyDescent="0.25">
      <c r="C24" s="91"/>
      <c r="E24" s="91"/>
      <c r="F24" s="181" t="str">
        <f>IFERROR(VLOOKUP('Cronograma'!$E24,ListadoDeTemas1[[Tema]:[Bloque]],COLUMNS('Cronograma'!$E24:F24),FALSE),"")</f>
        <v/>
      </c>
      <c r="G24" s="179" t="str">
        <f>IFERROR(VLOOKUP('Cronograma'!$E24,ListadoDeTemas1[[Tema]:[Bloque]],COLUMNS('Cronograma'!$E24:G24),FALSE),"")</f>
        <v/>
      </c>
      <c r="H24" s="180" t="str">
        <f>IFERROR(VLOOKUP('Cronograma'!$E24,ListadoDeTemas1[[Tema]:[Bloque]],COLUMNS('Cronograma'!$E24:H24),FALSE),"")</f>
        <v/>
      </c>
      <c r="I24" s="177"/>
    </row>
    <row r="25" spans="3:9" x14ac:dyDescent="0.25">
      <c r="C25" s="91"/>
      <c r="E25" s="91"/>
      <c r="F25" s="181" t="str">
        <f>IFERROR(VLOOKUP('Cronograma'!$E25,ListadoDeTemas1[[Tema]:[Bloque]],COLUMNS('Cronograma'!$E25:F25),FALSE),"")</f>
        <v/>
      </c>
      <c r="G25" s="179" t="str">
        <f>IFERROR(VLOOKUP('Cronograma'!$E25,ListadoDeTemas1[[Tema]:[Bloque]],COLUMNS('Cronograma'!$E25:G25),FALSE),"")</f>
        <v/>
      </c>
      <c r="H25" s="180" t="str">
        <f>IFERROR(VLOOKUP('Cronograma'!$E25,ListadoDeTemas1[[Tema]:[Bloque]],COLUMNS('Cronograma'!$E25:H25),FALSE),"")</f>
        <v/>
      </c>
      <c r="I25" s="177"/>
    </row>
    <row r="26" spans="3:9" x14ac:dyDescent="0.25">
      <c r="C26" s="91"/>
      <c r="E26" s="91"/>
      <c r="F26" s="181" t="str">
        <f>IFERROR(VLOOKUP('Cronograma'!$E26,ListadoDeTemas1[[Tema]:[Bloque]],COLUMNS('Cronograma'!$E26:F26),FALSE),"")</f>
        <v/>
      </c>
      <c r="G26" s="179" t="str">
        <f>IFERROR(VLOOKUP('Cronograma'!$E26,ListadoDeTemas1[[Tema]:[Bloque]],COLUMNS('Cronograma'!$E26:G26),FALSE),"")</f>
        <v/>
      </c>
      <c r="H26" s="180" t="str">
        <f>IFERROR(VLOOKUP('Cronograma'!$E26,ListadoDeTemas1[[Tema]:[Bloque]],COLUMNS('Cronograma'!$E26:H26),FALSE),"")</f>
        <v/>
      </c>
      <c r="I26" s="177"/>
    </row>
    <row r="27" spans="3:9" x14ac:dyDescent="0.25">
      <c r="C27" s="91"/>
      <c r="E27" s="91"/>
      <c r="F27" s="181" t="str">
        <f>IFERROR(VLOOKUP('Cronograma'!$E27,ListadoDeTemas1[[Tema]:[Bloque]],COLUMNS('Cronograma'!$E27:F27),FALSE),"")</f>
        <v/>
      </c>
      <c r="G27" s="179" t="str">
        <f>IFERROR(VLOOKUP('Cronograma'!$E27,ListadoDeTemas1[[Tema]:[Bloque]],COLUMNS('Cronograma'!$E27:G27),FALSE),"")</f>
        <v/>
      </c>
      <c r="H27" s="180" t="str">
        <f>IFERROR(VLOOKUP('Cronograma'!$E27,ListadoDeTemas1[[Tema]:[Bloque]],COLUMNS('Cronograma'!$E27:H27),FALSE),"")</f>
        <v/>
      </c>
      <c r="I27" s="177"/>
    </row>
    <row r="28" spans="3:9" x14ac:dyDescent="0.25">
      <c r="C28" s="91"/>
      <c r="E28" s="91"/>
      <c r="F28" s="181" t="str">
        <f>IFERROR(VLOOKUP('Cronograma'!$E28,ListadoDeTemas1[[Tema]:[Bloque]],COLUMNS('Cronograma'!$E28:F28),FALSE),"")</f>
        <v/>
      </c>
      <c r="G28" s="179" t="str">
        <f>IFERROR(VLOOKUP('Cronograma'!$E28,ListadoDeTemas1[[Tema]:[Bloque]],COLUMNS('Cronograma'!$E28:G28),FALSE),"")</f>
        <v/>
      </c>
      <c r="H28" s="180" t="str">
        <f>IFERROR(VLOOKUP('Cronograma'!$E28,ListadoDeTemas1[[Tema]:[Bloque]],COLUMNS('Cronograma'!$E28:H28),FALSE),"")</f>
        <v/>
      </c>
      <c r="I28" s="177"/>
    </row>
    <row r="29" spans="3:9" x14ac:dyDescent="0.25">
      <c r="C29" s="91"/>
      <c r="E29" s="91"/>
      <c r="F29" s="181" t="str">
        <f>IFERROR(VLOOKUP('Cronograma'!$E29,ListadoDeTemas1[[Tema]:[Bloque]],COLUMNS('Cronograma'!$E29:F29),FALSE),"")</f>
        <v/>
      </c>
      <c r="G29" s="179" t="str">
        <f>IFERROR(VLOOKUP('Cronograma'!$E29,ListadoDeTemas1[[Tema]:[Bloque]],COLUMNS('Cronograma'!$E29:G29),FALSE),"")</f>
        <v/>
      </c>
      <c r="H29" s="180" t="str">
        <f>IFERROR(VLOOKUP('Cronograma'!$E29,ListadoDeTemas1[[Tema]:[Bloque]],COLUMNS('Cronograma'!$E29:H29),FALSE),"")</f>
        <v/>
      </c>
      <c r="I29" s="177"/>
    </row>
    <row r="30" spans="3:9" x14ac:dyDescent="0.25">
      <c r="C30" s="91"/>
      <c r="E30" s="91"/>
      <c r="F30" s="181" t="str">
        <f>IFERROR(VLOOKUP('Cronograma'!$E30,ListadoDeTemas1[[Tema]:[Bloque]],COLUMNS('Cronograma'!$E30:F30),FALSE),"")</f>
        <v/>
      </c>
      <c r="G30" s="179" t="str">
        <f>IFERROR(VLOOKUP('Cronograma'!$E30,ListadoDeTemas1[[Tema]:[Bloque]],COLUMNS('Cronograma'!$E30:G30),FALSE),"")</f>
        <v/>
      </c>
      <c r="H30" s="180" t="str">
        <f>IFERROR(VLOOKUP('Cronograma'!$E30,ListadoDeTemas1[[Tema]:[Bloque]],COLUMNS('Cronograma'!$E30:H30),FALSE),"")</f>
        <v/>
      </c>
      <c r="I30" s="177"/>
    </row>
    <row r="31" spans="3:9" x14ac:dyDescent="0.25">
      <c r="C31" s="91"/>
      <c r="E31" s="91"/>
      <c r="F31" s="181" t="str">
        <f>IFERROR(VLOOKUP('Cronograma'!$E31,ListadoDeTemas1[[Tema]:[Bloque]],COLUMNS('Cronograma'!$E31:F31),FALSE),"")</f>
        <v/>
      </c>
      <c r="G31" s="179" t="str">
        <f>IFERROR(VLOOKUP('Cronograma'!$E31,ListadoDeTemas1[[Tema]:[Bloque]],COLUMNS('Cronograma'!$E31:G31),FALSE),"")</f>
        <v/>
      </c>
      <c r="H31" s="180" t="str">
        <f>IFERROR(VLOOKUP('Cronograma'!$E31,ListadoDeTemas1[[Tema]:[Bloque]],COLUMNS('Cronograma'!$E31:H31),FALSE),"")</f>
        <v/>
      </c>
      <c r="I31" s="177"/>
    </row>
    <row r="32" spans="3:9" x14ac:dyDescent="0.25">
      <c r="C32" s="91"/>
      <c r="E32" s="91"/>
      <c r="F32" s="181" t="str">
        <f>IFERROR(VLOOKUP('Cronograma'!$E32,ListadoDeTemas1[[Tema]:[Bloque]],COLUMNS('Cronograma'!$E32:F32),FALSE),"")</f>
        <v/>
      </c>
      <c r="G32" s="179" t="str">
        <f>IFERROR(VLOOKUP('Cronograma'!$E32,ListadoDeTemas1[[Tema]:[Bloque]],COLUMNS('Cronograma'!$E32:G32),FALSE),"")</f>
        <v/>
      </c>
      <c r="H32" s="180" t="str">
        <f>IFERROR(VLOOKUP('Cronograma'!$E32,ListadoDeTemas1[[Tema]:[Bloque]],COLUMNS('Cronograma'!$E32:H32),FALSE),"")</f>
        <v/>
      </c>
      <c r="I32" s="177"/>
    </row>
    <row r="33" spans="3:9" x14ac:dyDescent="0.25">
      <c r="C33" s="91"/>
      <c r="E33" s="91"/>
      <c r="F33" s="181" t="str">
        <f>IFERROR(VLOOKUP('Cronograma'!$E33,ListadoDeTemas1[[Tema]:[Bloque]],COLUMNS('Cronograma'!$E33:F33),FALSE),"")</f>
        <v/>
      </c>
      <c r="G33" s="179" t="str">
        <f>IFERROR(VLOOKUP('Cronograma'!$E33,ListadoDeTemas1[[Tema]:[Bloque]],COLUMNS('Cronograma'!$E33:G33),FALSE),"")</f>
        <v/>
      </c>
      <c r="H33" s="180" t="str">
        <f>IFERROR(VLOOKUP('Cronograma'!$E33,ListadoDeTemas1[[Tema]:[Bloque]],COLUMNS('Cronograma'!$E33:H33),FALSE),"")</f>
        <v/>
      </c>
      <c r="I33" s="177"/>
    </row>
    <row r="34" spans="3:9" x14ac:dyDescent="0.25">
      <c r="C34" s="91"/>
      <c r="E34" s="91"/>
      <c r="F34" s="181" t="str">
        <f>IFERROR(VLOOKUP('Cronograma'!$E34,ListadoDeTemas1[[Tema]:[Bloque]],COLUMNS('Cronograma'!$E34:F34),FALSE),"")</f>
        <v/>
      </c>
      <c r="G34" s="179" t="str">
        <f>IFERROR(VLOOKUP('Cronograma'!$E34,ListadoDeTemas1[[Tema]:[Bloque]],COLUMNS('Cronograma'!$E34:G34),FALSE),"")</f>
        <v/>
      </c>
      <c r="H34" s="180" t="str">
        <f>IFERROR(VLOOKUP('Cronograma'!$E34,ListadoDeTemas1[[Tema]:[Bloque]],COLUMNS('Cronograma'!$E34:H34),FALSE),"")</f>
        <v/>
      </c>
      <c r="I34" s="177"/>
    </row>
    <row r="35" spans="3:9" x14ac:dyDescent="0.25">
      <c r="C35" s="91"/>
      <c r="E35" s="91"/>
      <c r="F35" s="181" t="str">
        <f>IFERROR(VLOOKUP('Cronograma'!$E35,ListadoDeTemas1[[Tema]:[Bloque]],COLUMNS('Cronograma'!$E35:F35),FALSE),"")</f>
        <v/>
      </c>
      <c r="G35" s="179" t="str">
        <f>IFERROR(VLOOKUP('Cronograma'!$E35,ListadoDeTemas1[[Tema]:[Bloque]],COLUMNS('Cronograma'!$E35:G35),FALSE),"")</f>
        <v/>
      </c>
      <c r="H35" s="180" t="str">
        <f>IFERROR(VLOOKUP('Cronograma'!$E35,ListadoDeTemas1[[Tema]:[Bloque]],COLUMNS('Cronograma'!$E35:H35),FALSE),"")</f>
        <v/>
      </c>
      <c r="I35" s="177"/>
    </row>
    <row r="36" spans="3:9" x14ac:dyDescent="0.25">
      <c r="C36" s="91"/>
      <c r="E36" s="91"/>
      <c r="F36" s="181" t="str">
        <f>IFERROR(VLOOKUP('Cronograma'!$E36,ListadoDeTemas1[[Tema]:[Bloque]],COLUMNS('Cronograma'!$E36:F36),FALSE),"")</f>
        <v/>
      </c>
      <c r="G36" s="179" t="str">
        <f>IFERROR(VLOOKUP('Cronograma'!$E36,ListadoDeTemas1[[Tema]:[Bloque]],COLUMNS('Cronograma'!$E36:G36),FALSE),"")</f>
        <v/>
      </c>
      <c r="H36" s="180" t="str">
        <f>IFERROR(VLOOKUP('Cronograma'!$E36,ListadoDeTemas1[[Tema]:[Bloque]],COLUMNS('Cronograma'!$E36:H36),FALSE),"")</f>
        <v/>
      </c>
      <c r="I36" s="177"/>
    </row>
    <row r="37" spans="3:9" x14ac:dyDescent="0.25">
      <c r="C37" s="91"/>
      <c r="E37" s="91"/>
      <c r="F37" s="181" t="str">
        <f>IFERROR(VLOOKUP('Cronograma'!$E37,ListadoDeTemas1[[Tema]:[Bloque]],COLUMNS('Cronograma'!$E37:F37),FALSE),"")</f>
        <v/>
      </c>
      <c r="G37" s="179" t="str">
        <f>IFERROR(VLOOKUP('Cronograma'!$E37,ListadoDeTemas1[[Tema]:[Bloque]],COLUMNS('Cronograma'!$E37:G37),FALSE),"")</f>
        <v/>
      </c>
      <c r="H37" s="180" t="str">
        <f>IFERROR(VLOOKUP('Cronograma'!$E37,ListadoDeTemas1[[Tema]:[Bloque]],COLUMNS('Cronograma'!$E37:H37),FALSE),"")</f>
        <v/>
      </c>
      <c r="I37" s="177"/>
    </row>
    <row r="38" spans="3:9" x14ac:dyDescent="0.25">
      <c r="C38" s="91"/>
      <c r="E38" s="91"/>
      <c r="F38" s="181" t="str">
        <f>IFERROR(VLOOKUP('Cronograma'!$E38,ListadoDeTemas1[[Tema]:[Bloque]],COLUMNS('Cronograma'!$E38:F38),FALSE),"")</f>
        <v/>
      </c>
      <c r="G38" s="179" t="str">
        <f>IFERROR(VLOOKUP('Cronograma'!$E38,ListadoDeTemas1[[Tema]:[Bloque]],COLUMNS('Cronograma'!$E38:G38),FALSE),"")</f>
        <v/>
      </c>
      <c r="H38" s="180" t="str">
        <f>IFERROR(VLOOKUP('Cronograma'!$E38,ListadoDeTemas1[[Tema]:[Bloque]],COLUMNS('Cronograma'!$E38:H38),FALSE),"")</f>
        <v/>
      </c>
      <c r="I38" s="177"/>
    </row>
    <row r="39" spans="3:9" x14ac:dyDescent="0.25">
      <c r="C39" s="91"/>
      <c r="E39" s="91"/>
      <c r="F39" s="181" t="str">
        <f>IFERROR(VLOOKUP('Cronograma'!$E39,ListadoDeTemas1[[Tema]:[Bloque]],COLUMNS('Cronograma'!$E39:F39),FALSE),"")</f>
        <v/>
      </c>
      <c r="G39" s="179" t="str">
        <f>IFERROR(VLOOKUP('Cronograma'!$E39,ListadoDeTemas1[[Tema]:[Bloque]],COLUMNS('Cronograma'!$E39:G39),FALSE),"")</f>
        <v/>
      </c>
      <c r="H39" s="180" t="str">
        <f>IFERROR(VLOOKUP('Cronograma'!$E39,ListadoDeTemas1[[Tema]:[Bloque]],COLUMNS('Cronograma'!$E39:H39),FALSE),"")</f>
        <v/>
      </c>
      <c r="I39" s="177"/>
    </row>
    <row r="40" spans="3:9" x14ac:dyDescent="0.25">
      <c r="C40" s="91"/>
      <c r="E40" s="91"/>
      <c r="F40" s="181" t="str">
        <f>IFERROR(VLOOKUP('Cronograma'!$E40,ListadoDeTemas1[[Tema]:[Bloque]],COLUMNS('Cronograma'!$E40:F40),FALSE),"")</f>
        <v/>
      </c>
      <c r="G40" s="179" t="str">
        <f>IFERROR(VLOOKUP('Cronograma'!$E40,ListadoDeTemas1[[Tema]:[Bloque]],COLUMNS('Cronograma'!$E40:G40),FALSE),"")</f>
        <v/>
      </c>
      <c r="H40" s="180" t="str">
        <f>IFERROR(VLOOKUP('Cronograma'!$E40,ListadoDeTemas1[[Tema]:[Bloque]],COLUMNS('Cronograma'!$E40:H40),FALSE),"")</f>
        <v/>
      </c>
      <c r="I40" s="177"/>
    </row>
    <row r="41" spans="3:9" x14ac:dyDescent="0.25">
      <c r="C41" s="91"/>
      <c r="E41" s="91"/>
      <c r="F41" s="181" t="str">
        <f>IFERROR(VLOOKUP('Cronograma'!$E41,ListadoDeTemas1[[Tema]:[Bloque]],COLUMNS('Cronograma'!$E41:F41),FALSE),"")</f>
        <v/>
      </c>
      <c r="G41" s="179" t="str">
        <f>IFERROR(VLOOKUP('Cronograma'!$E41,ListadoDeTemas1[[Tema]:[Bloque]],COLUMNS('Cronograma'!$E41:G41),FALSE),"")</f>
        <v/>
      </c>
      <c r="H41" s="180" t="str">
        <f>IFERROR(VLOOKUP('Cronograma'!$E41,ListadoDeTemas1[[Tema]:[Bloque]],COLUMNS('Cronograma'!$E41:H41),FALSE),"")</f>
        <v/>
      </c>
      <c r="I41" s="177"/>
    </row>
    <row r="42" spans="3:9" x14ac:dyDescent="0.25">
      <c r="C42" s="91"/>
      <c r="E42" s="91"/>
      <c r="F42" s="181" t="str">
        <f>IFERROR(VLOOKUP('Cronograma'!$E42,ListadoDeTemas1[[Tema]:[Bloque]],COLUMNS('Cronograma'!$E42:F42),FALSE),"")</f>
        <v/>
      </c>
      <c r="G42" s="179" t="str">
        <f>IFERROR(VLOOKUP('Cronograma'!$E42,ListadoDeTemas1[[Tema]:[Bloque]],COLUMNS('Cronograma'!$E42:G42),FALSE),"")</f>
        <v/>
      </c>
      <c r="H42" s="180" t="str">
        <f>IFERROR(VLOOKUP('Cronograma'!$E42,ListadoDeTemas1[[Tema]:[Bloque]],COLUMNS('Cronograma'!$E42:H42),FALSE),"")</f>
        <v/>
      </c>
      <c r="I42" s="177"/>
    </row>
    <row r="43" spans="3:9" x14ac:dyDescent="0.25">
      <c r="C43" s="91"/>
      <c r="E43" s="91"/>
      <c r="F43" s="181" t="str">
        <f>IFERROR(VLOOKUP('Cronograma'!$E43,ListadoDeTemas1[[Tema]:[Bloque]],COLUMNS('Cronograma'!$E43:F43),FALSE),"")</f>
        <v/>
      </c>
      <c r="G43" s="179" t="str">
        <f>IFERROR(VLOOKUP('Cronograma'!$E43,ListadoDeTemas1[[Tema]:[Bloque]],COLUMNS('Cronograma'!$E43:G43),FALSE),"")</f>
        <v/>
      </c>
      <c r="H43" s="180" t="str">
        <f>IFERROR(VLOOKUP('Cronograma'!$E43,ListadoDeTemas1[[Tema]:[Bloque]],COLUMNS('Cronograma'!$E43:H43),FALSE),"")</f>
        <v/>
      </c>
      <c r="I43" s="177"/>
    </row>
    <row r="44" spans="3:9" x14ac:dyDescent="0.25">
      <c r="C44" s="91"/>
      <c r="E44" s="91"/>
      <c r="F44" s="181" t="str">
        <f>IFERROR(VLOOKUP('Cronograma'!$E44,ListadoDeTemas1[[Tema]:[Bloque]],COLUMNS('Cronograma'!$E44:F44),FALSE),"")</f>
        <v/>
      </c>
      <c r="G44" s="179" t="str">
        <f>IFERROR(VLOOKUP('Cronograma'!$E44,ListadoDeTemas1[[Tema]:[Bloque]],COLUMNS('Cronograma'!$E44:G44),FALSE),"")</f>
        <v/>
      </c>
      <c r="H44" s="180" t="str">
        <f>IFERROR(VLOOKUP('Cronograma'!$E44,ListadoDeTemas1[[Tema]:[Bloque]],COLUMNS('Cronograma'!$E44:H44),FALSE),"")</f>
        <v/>
      </c>
      <c r="I44" s="177"/>
    </row>
    <row r="45" spans="3:9" x14ac:dyDescent="0.25">
      <c r="C45" s="91"/>
      <c r="E45" s="91"/>
      <c r="F45" s="181" t="str">
        <f>IFERROR(VLOOKUP('Cronograma'!$E45,ListadoDeTemas1[[Tema]:[Bloque]],COLUMNS('Cronograma'!$E45:F45),FALSE),"")</f>
        <v/>
      </c>
      <c r="G45" s="179" t="str">
        <f>IFERROR(VLOOKUP('Cronograma'!$E45,ListadoDeTemas1[[Tema]:[Bloque]],COLUMNS('Cronograma'!$E45:G45),FALSE),"")</f>
        <v/>
      </c>
      <c r="H45" s="180" t="str">
        <f>IFERROR(VLOOKUP('Cronograma'!$E45,ListadoDeTemas1[[Tema]:[Bloque]],COLUMNS('Cronograma'!$E45:H45),FALSE),"")</f>
        <v/>
      </c>
      <c r="I45" s="177"/>
    </row>
    <row r="46" spans="3:9" x14ac:dyDescent="0.25">
      <c r="C46" s="91"/>
      <c r="E46" s="91"/>
      <c r="F46" s="181" t="str">
        <f>IFERROR(VLOOKUP('Cronograma'!$E46,ListadoDeTemas1[[Tema]:[Bloque]],COLUMNS('Cronograma'!$E46:F46),FALSE),"")</f>
        <v/>
      </c>
      <c r="G46" s="179" t="str">
        <f>IFERROR(VLOOKUP('Cronograma'!$E46,ListadoDeTemas1[[Tema]:[Bloque]],COLUMNS('Cronograma'!$E46:G46),FALSE),"")</f>
        <v/>
      </c>
      <c r="H46" s="180" t="str">
        <f>IFERROR(VLOOKUP('Cronograma'!$E46,ListadoDeTemas1[[Tema]:[Bloque]],COLUMNS('Cronograma'!$E46:H46),FALSE),"")</f>
        <v/>
      </c>
      <c r="I46" s="177"/>
    </row>
    <row r="47" spans="3:9" x14ac:dyDescent="0.25">
      <c r="C47" s="91"/>
      <c r="E47" s="91"/>
      <c r="F47" s="181" t="str">
        <f>IFERROR(VLOOKUP('Cronograma'!$E47,ListadoDeTemas1[[Tema]:[Bloque]],COLUMNS('Cronograma'!$E47:F47),FALSE),"")</f>
        <v/>
      </c>
      <c r="G47" s="179" t="str">
        <f>IFERROR(VLOOKUP('Cronograma'!$E47,ListadoDeTemas1[[Tema]:[Bloque]],COLUMNS('Cronograma'!$E47:G47),FALSE),"")</f>
        <v/>
      </c>
      <c r="H47" s="180" t="str">
        <f>IFERROR(VLOOKUP('Cronograma'!$E47,ListadoDeTemas1[[Tema]:[Bloque]],COLUMNS('Cronograma'!$E47:H47),FALSE),"")</f>
        <v/>
      </c>
      <c r="I47" s="177"/>
    </row>
    <row r="48" spans="3:9" x14ac:dyDescent="0.25">
      <c r="C48" s="91"/>
      <c r="E48" s="91"/>
      <c r="F48" s="181" t="str">
        <f>IFERROR(VLOOKUP('Cronograma'!$E48,ListadoDeTemas1[[Tema]:[Bloque]],COLUMNS('Cronograma'!$E48:F48),FALSE),"")</f>
        <v/>
      </c>
      <c r="G48" s="179" t="str">
        <f>IFERROR(VLOOKUP('Cronograma'!$E48,ListadoDeTemas1[[Tema]:[Bloque]],COLUMNS('Cronograma'!$E48:G48),FALSE),"")</f>
        <v/>
      </c>
      <c r="H48" s="180" t="str">
        <f>IFERROR(VLOOKUP('Cronograma'!$E48,ListadoDeTemas1[[Tema]:[Bloque]],COLUMNS('Cronograma'!$E48:H48),FALSE),"")</f>
        <v/>
      </c>
      <c r="I48" s="177"/>
    </row>
    <row r="49" spans="3:9" x14ac:dyDescent="0.25">
      <c r="C49" s="91"/>
      <c r="E49" s="91"/>
      <c r="F49" s="181" t="str">
        <f>IFERROR(VLOOKUP('Cronograma'!$E49,ListadoDeTemas1[[Tema]:[Bloque]],COLUMNS('Cronograma'!$E49:F49),FALSE),"")</f>
        <v/>
      </c>
      <c r="G49" s="179" t="str">
        <f>IFERROR(VLOOKUP('Cronograma'!$E49,ListadoDeTemas1[[Tema]:[Bloque]],COLUMNS('Cronograma'!$E49:G49),FALSE),"")</f>
        <v/>
      </c>
      <c r="H49" s="180" t="str">
        <f>IFERROR(VLOOKUP('Cronograma'!$E49,ListadoDeTemas1[[Tema]:[Bloque]],COLUMNS('Cronograma'!$E49:H49),FALSE),"")</f>
        <v/>
      </c>
      <c r="I49" s="177"/>
    </row>
    <row r="50" spans="3:9" x14ac:dyDescent="0.25">
      <c r="C50" s="91"/>
      <c r="E50" s="91"/>
      <c r="F50" s="181" t="str">
        <f>IFERROR(VLOOKUP('Cronograma'!$E50,ListadoDeTemas1[[Tema]:[Bloque]],COLUMNS('Cronograma'!$E50:F50),FALSE),"")</f>
        <v/>
      </c>
      <c r="G50" s="179" t="str">
        <f>IFERROR(VLOOKUP('Cronograma'!$E50,ListadoDeTemas1[[Tema]:[Bloque]],COLUMNS('Cronograma'!$E50:G50),FALSE),"")</f>
        <v/>
      </c>
      <c r="H50" s="180" t="str">
        <f>IFERROR(VLOOKUP('Cronograma'!$E50,ListadoDeTemas1[[Tema]:[Bloque]],COLUMNS('Cronograma'!$E50:H50),FALSE),"")</f>
        <v/>
      </c>
      <c r="I50" s="177"/>
    </row>
    <row r="51" spans="3:9" x14ac:dyDescent="0.25">
      <c r="C51" s="91"/>
      <c r="E51" s="91"/>
      <c r="F51" s="181" t="str">
        <f>IFERROR(VLOOKUP('Cronograma'!$E51,ListadoDeTemas1[[Tema]:[Bloque]],COLUMNS('Cronograma'!$E51:F51),FALSE),"")</f>
        <v/>
      </c>
      <c r="G51" s="179" t="str">
        <f>IFERROR(VLOOKUP('Cronograma'!$E51,ListadoDeTemas1[[Tema]:[Bloque]],COLUMNS('Cronograma'!$E51:G51),FALSE),"")</f>
        <v/>
      </c>
      <c r="H51" s="180" t="str">
        <f>IFERROR(VLOOKUP('Cronograma'!$E51,ListadoDeTemas1[[Tema]:[Bloque]],COLUMNS('Cronograma'!$E51:H51),FALSE),"")</f>
        <v/>
      </c>
      <c r="I51" s="177"/>
    </row>
    <row r="52" spans="3:9" x14ac:dyDescent="0.25">
      <c r="C52" s="91"/>
      <c r="E52" s="91"/>
      <c r="F52" s="181" t="str">
        <f>IFERROR(VLOOKUP('Cronograma'!$E52,ListadoDeTemas1[[Tema]:[Bloque]],COLUMNS('Cronograma'!$E52:F52),FALSE),"")</f>
        <v/>
      </c>
      <c r="G52" s="179" t="str">
        <f>IFERROR(VLOOKUP('Cronograma'!$E52,ListadoDeTemas1[[Tema]:[Bloque]],COLUMNS('Cronograma'!$E52:G52),FALSE),"")</f>
        <v/>
      </c>
      <c r="H52" s="180" t="str">
        <f>IFERROR(VLOOKUP('Cronograma'!$E52,ListadoDeTemas1[[Tema]:[Bloque]],COLUMNS('Cronograma'!$E52:H52),FALSE),"")</f>
        <v/>
      </c>
      <c r="I52" s="177"/>
    </row>
    <row r="53" spans="3:9" x14ac:dyDescent="0.25">
      <c r="C53" s="91"/>
      <c r="E53" s="91"/>
      <c r="F53" s="181" t="str">
        <f>IFERROR(VLOOKUP('Cronograma'!$E53,ListadoDeTemas1[[Tema]:[Bloque]],COLUMNS('Cronograma'!$E53:F53),FALSE),"")</f>
        <v/>
      </c>
      <c r="G53" s="179" t="str">
        <f>IFERROR(VLOOKUP('Cronograma'!$E53,ListadoDeTemas1[[Tema]:[Bloque]],COLUMNS('Cronograma'!$E53:G53),FALSE),"")</f>
        <v/>
      </c>
      <c r="H53" s="180" t="str">
        <f>IFERROR(VLOOKUP('Cronograma'!$E53,ListadoDeTemas1[[Tema]:[Bloque]],COLUMNS('Cronograma'!$E53:H53),FALSE),"")</f>
        <v/>
      </c>
      <c r="I53" s="177"/>
    </row>
    <row r="54" spans="3:9" x14ac:dyDescent="0.25">
      <c r="C54" s="91"/>
      <c r="E54" s="91"/>
      <c r="F54" s="181" t="str">
        <f>IFERROR(VLOOKUP('Cronograma'!$E54,ListadoDeTemas1[[Tema]:[Bloque]],COLUMNS('Cronograma'!$E54:F54),FALSE),"")</f>
        <v/>
      </c>
      <c r="G54" s="179" t="str">
        <f>IFERROR(VLOOKUP('Cronograma'!$E54,ListadoDeTemas1[[Tema]:[Bloque]],COLUMNS('Cronograma'!$E54:G54),FALSE),"")</f>
        <v/>
      </c>
      <c r="H54" s="180" t="str">
        <f>IFERROR(VLOOKUP('Cronograma'!$E54,ListadoDeTemas1[[Tema]:[Bloque]],COLUMNS('Cronograma'!$E54:H54),FALSE),"")</f>
        <v/>
      </c>
      <c r="I54" s="177"/>
    </row>
    <row r="55" spans="3:9" x14ac:dyDescent="0.25">
      <c r="C55" s="91"/>
      <c r="E55" s="91"/>
      <c r="F55" s="181" t="str">
        <f>IFERROR(VLOOKUP('Cronograma'!$E55,ListadoDeTemas1[[Tema]:[Bloque]],COLUMNS('Cronograma'!$E55:F55),FALSE),"")</f>
        <v/>
      </c>
      <c r="G55" s="179" t="str">
        <f>IFERROR(VLOOKUP('Cronograma'!$E55,ListadoDeTemas1[[Tema]:[Bloque]],COLUMNS('Cronograma'!$E55:G55),FALSE),"")</f>
        <v/>
      </c>
      <c r="H55" s="180" t="str">
        <f>IFERROR(VLOOKUP('Cronograma'!$E55,ListadoDeTemas1[[Tema]:[Bloque]],COLUMNS('Cronograma'!$E55:H55),FALSE),"")</f>
        <v/>
      </c>
      <c r="I55" s="177"/>
    </row>
    <row r="56" spans="3:9" x14ac:dyDescent="0.25">
      <c r="C56" s="91"/>
      <c r="E56" s="91"/>
      <c r="F56" s="181" t="str">
        <f>IFERROR(VLOOKUP('Cronograma'!$E56,ListadoDeTemas1[[Tema]:[Bloque]],COLUMNS('Cronograma'!$E56:F56),FALSE),"")</f>
        <v/>
      </c>
      <c r="G56" s="179" t="str">
        <f>IFERROR(VLOOKUP('Cronograma'!$E56,ListadoDeTemas1[[Tema]:[Bloque]],COLUMNS('Cronograma'!$E56:G56),FALSE),"")</f>
        <v/>
      </c>
      <c r="H56" s="180" t="str">
        <f>IFERROR(VLOOKUP('Cronograma'!$E56,ListadoDeTemas1[[Tema]:[Bloque]],COLUMNS('Cronograma'!$E56:H56),FALSE),"")</f>
        <v/>
      </c>
      <c r="I56" s="177"/>
    </row>
    <row r="57" spans="3:9" x14ac:dyDescent="0.25">
      <c r="C57" s="91"/>
      <c r="E57" s="91"/>
      <c r="F57" s="181" t="str">
        <f>IFERROR(VLOOKUP('Cronograma'!$E57,ListadoDeTemas1[[Tema]:[Bloque]],COLUMNS('Cronograma'!$E57:F57),FALSE),"")</f>
        <v/>
      </c>
      <c r="G57" s="179" t="str">
        <f>IFERROR(VLOOKUP('Cronograma'!$E57,ListadoDeTemas1[[Tema]:[Bloque]],COLUMNS('Cronograma'!$E57:G57),FALSE),"")</f>
        <v/>
      </c>
      <c r="H57" s="180" t="str">
        <f>IFERROR(VLOOKUP('Cronograma'!$E57,ListadoDeTemas1[[Tema]:[Bloque]],COLUMNS('Cronograma'!$E57:H57),FALSE),"")</f>
        <v/>
      </c>
      <c r="I57" s="177"/>
    </row>
    <row r="58" spans="3:9" x14ac:dyDescent="0.25">
      <c r="C58" s="91"/>
      <c r="E58" s="91"/>
      <c r="F58" s="181" t="str">
        <f>IFERROR(VLOOKUP('Cronograma'!$E58,ListadoDeTemas1[[Tema]:[Bloque]],COLUMNS('Cronograma'!$E58:F58),FALSE),"")</f>
        <v/>
      </c>
      <c r="G58" s="179" t="str">
        <f>IFERROR(VLOOKUP('Cronograma'!$E58,ListadoDeTemas1[[Tema]:[Bloque]],COLUMNS('Cronograma'!$E58:G58),FALSE),"")</f>
        <v/>
      </c>
      <c r="H58" s="180" t="str">
        <f>IFERROR(VLOOKUP('Cronograma'!$E58,ListadoDeTemas1[[Tema]:[Bloque]],COLUMNS('Cronograma'!$E58:H58),FALSE),"")</f>
        <v/>
      </c>
      <c r="I58" s="177"/>
    </row>
    <row r="59" spans="3:9" x14ac:dyDescent="0.25">
      <c r="C59" s="91"/>
      <c r="E59" s="91"/>
      <c r="F59" s="181" t="str">
        <f>IFERROR(VLOOKUP('Cronograma'!$E59,ListadoDeTemas1[[Tema]:[Bloque]],COLUMNS('Cronograma'!$E59:F59),FALSE),"")</f>
        <v/>
      </c>
      <c r="G59" s="179" t="str">
        <f>IFERROR(VLOOKUP('Cronograma'!$E59,ListadoDeTemas1[[Tema]:[Bloque]],COLUMNS('Cronograma'!$E59:G59),FALSE),"")</f>
        <v/>
      </c>
      <c r="H59" s="180" t="str">
        <f>IFERROR(VLOOKUP('Cronograma'!$E59,ListadoDeTemas1[[Tema]:[Bloque]],COLUMNS('Cronograma'!$E59:H59),FALSE),"")</f>
        <v/>
      </c>
      <c r="I59" s="177"/>
    </row>
    <row r="60" spans="3:9" x14ac:dyDescent="0.25">
      <c r="C60" s="91"/>
      <c r="E60" s="91"/>
      <c r="F60" s="181" t="str">
        <f>IFERROR(VLOOKUP('Cronograma'!$E60,ListadoDeTemas1[[Tema]:[Bloque]],COLUMNS('Cronograma'!$E60:F60),FALSE),"")</f>
        <v/>
      </c>
      <c r="G60" s="179" t="str">
        <f>IFERROR(VLOOKUP('Cronograma'!$E60,ListadoDeTemas1[[Tema]:[Bloque]],COLUMNS('Cronograma'!$E60:G60),FALSE),"")</f>
        <v/>
      </c>
      <c r="H60" s="180" t="str">
        <f>IFERROR(VLOOKUP('Cronograma'!$E60,ListadoDeTemas1[[Tema]:[Bloque]],COLUMNS('Cronograma'!$E60:H60),FALSE),"")</f>
        <v/>
      </c>
      <c r="I60" s="177"/>
    </row>
    <row r="61" spans="3:9" x14ac:dyDescent="0.25">
      <c r="C61" s="91"/>
      <c r="E61" s="91"/>
      <c r="F61" s="181" t="str">
        <f>IFERROR(VLOOKUP('Cronograma'!$E61,ListadoDeTemas1[[Tema]:[Bloque]],COLUMNS('Cronograma'!$E61:F61),FALSE),"")</f>
        <v/>
      </c>
      <c r="G61" s="179" t="str">
        <f>IFERROR(VLOOKUP('Cronograma'!$E61,ListadoDeTemas1[[Tema]:[Bloque]],COLUMNS('Cronograma'!$E61:G61),FALSE),"")</f>
        <v/>
      </c>
      <c r="H61" s="180" t="str">
        <f>IFERROR(VLOOKUP('Cronograma'!$E61,ListadoDeTemas1[[Tema]:[Bloque]],COLUMNS('Cronograma'!$E61:H61),FALSE),"")</f>
        <v/>
      </c>
      <c r="I61" s="177"/>
    </row>
    <row r="62" spans="3:9" x14ac:dyDescent="0.25">
      <c r="C62" s="91"/>
      <c r="E62" s="91"/>
      <c r="F62" s="181" t="str">
        <f>IFERROR(VLOOKUP('Cronograma'!$E62,ListadoDeTemas1[[Tema]:[Bloque]],COLUMNS('Cronograma'!$E62:F62),FALSE),"")</f>
        <v/>
      </c>
      <c r="G62" s="179" t="str">
        <f>IFERROR(VLOOKUP('Cronograma'!$E62,ListadoDeTemas1[[Tema]:[Bloque]],COLUMNS('Cronograma'!$E62:G62),FALSE),"")</f>
        <v/>
      </c>
      <c r="H62" s="180" t="str">
        <f>IFERROR(VLOOKUP('Cronograma'!$E62,ListadoDeTemas1[[Tema]:[Bloque]],COLUMNS('Cronograma'!$E62:H62),FALSE),"")</f>
        <v/>
      </c>
      <c r="I62" s="177"/>
    </row>
    <row r="63" spans="3:9" x14ac:dyDescent="0.25">
      <c r="C63" s="91"/>
      <c r="E63" s="91"/>
      <c r="F63" s="181" t="str">
        <f>IFERROR(VLOOKUP('Cronograma'!$E63,ListadoDeTemas1[[Tema]:[Bloque]],COLUMNS('Cronograma'!$E63:F63),FALSE),"")</f>
        <v/>
      </c>
      <c r="G63" s="179" t="str">
        <f>IFERROR(VLOOKUP('Cronograma'!$E63,ListadoDeTemas1[[Tema]:[Bloque]],COLUMNS('Cronograma'!$E63:G63),FALSE),"")</f>
        <v/>
      </c>
      <c r="H63" s="180" t="str">
        <f>IFERROR(VLOOKUP('Cronograma'!$E63,ListadoDeTemas1[[Tema]:[Bloque]],COLUMNS('Cronograma'!$E63:H63),FALSE),"")</f>
        <v/>
      </c>
      <c r="I63" s="177"/>
    </row>
    <row r="64" spans="3:9" x14ac:dyDescent="0.25">
      <c r="C64" s="91"/>
      <c r="E64" s="91"/>
      <c r="F64" s="181" t="str">
        <f>IFERROR(VLOOKUP('Cronograma'!$E64,ListadoDeTemas1[[Tema]:[Bloque]],COLUMNS('Cronograma'!$E64:F64),FALSE),"")</f>
        <v/>
      </c>
      <c r="G64" s="179" t="str">
        <f>IFERROR(VLOOKUP('Cronograma'!$E64,ListadoDeTemas1[[Tema]:[Bloque]],COLUMNS('Cronograma'!$E64:G64),FALSE),"")</f>
        <v/>
      </c>
      <c r="H64" s="180" t="str">
        <f>IFERROR(VLOOKUP('Cronograma'!$E64,ListadoDeTemas1[[Tema]:[Bloque]],COLUMNS('Cronograma'!$E64:H64),FALSE),"")</f>
        <v/>
      </c>
      <c r="I64" s="177"/>
    </row>
    <row r="65" spans="3:9" x14ac:dyDescent="0.25">
      <c r="C65" s="91"/>
      <c r="E65" s="91"/>
      <c r="F65" s="181" t="str">
        <f>IFERROR(VLOOKUP('Cronograma'!$E65,ListadoDeTemas1[[Tema]:[Bloque]],COLUMNS('Cronograma'!$E65:F65),FALSE),"")</f>
        <v/>
      </c>
      <c r="G65" s="179" t="str">
        <f>IFERROR(VLOOKUP('Cronograma'!$E65,ListadoDeTemas1[[Tema]:[Bloque]],COLUMNS('Cronograma'!$E65:G65),FALSE),"")</f>
        <v/>
      </c>
      <c r="H65" s="180" t="str">
        <f>IFERROR(VLOOKUP('Cronograma'!$E65,ListadoDeTemas1[[Tema]:[Bloque]],COLUMNS('Cronograma'!$E65:H65),FALSE),"")</f>
        <v/>
      </c>
      <c r="I65" s="177"/>
    </row>
    <row r="66" spans="3:9" x14ac:dyDescent="0.25">
      <c r="C66" s="91"/>
      <c r="E66" s="91"/>
      <c r="F66" s="181" t="str">
        <f>IFERROR(VLOOKUP('Cronograma'!$E66,ListadoDeTemas1[[Tema]:[Bloque]],COLUMNS('Cronograma'!$E66:F66),FALSE),"")</f>
        <v/>
      </c>
      <c r="G66" s="179" t="str">
        <f>IFERROR(VLOOKUP('Cronograma'!$E66,ListadoDeTemas1[[Tema]:[Bloque]],COLUMNS('Cronograma'!$E66:G66),FALSE),"")</f>
        <v/>
      </c>
      <c r="H66" s="180" t="str">
        <f>IFERROR(VLOOKUP('Cronograma'!$E66,ListadoDeTemas1[[Tema]:[Bloque]],COLUMNS('Cronograma'!$E66:H66),FALSE),"")</f>
        <v/>
      </c>
      <c r="I66" s="177"/>
    </row>
    <row r="67" spans="3:9" x14ac:dyDescent="0.25">
      <c r="C67" s="91"/>
      <c r="E67" s="91"/>
      <c r="F67" s="181" t="str">
        <f>IFERROR(VLOOKUP('Cronograma'!$E67,ListadoDeTemas1[[Tema]:[Bloque]],COLUMNS('Cronograma'!$E67:F67),FALSE),"")</f>
        <v/>
      </c>
      <c r="G67" s="179" t="str">
        <f>IFERROR(VLOOKUP('Cronograma'!$E67,ListadoDeTemas1[[Tema]:[Bloque]],COLUMNS('Cronograma'!$E67:G67),FALSE),"")</f>
        <v/>
      </c>
      <c r="H67" s="180" t="str">
        <f>IFERROR(VLOOKUP('Cronograma'!$E67,ListadoDeTemas1[[Tema]:[Bloque]],COLUMNS('Cronograma'!$E67:H67),FALSE),"")</f>
        <v/>
      </c>
      <c r="I67" s="177"/>
    </row>
    <row r="68" spans="3:9" x14ac:dyDescent="0.25">
      <c r="C68" s="91"/>
      <c r="E68" s="91"/>
      <c r="F68" s="181" t="str">
        <f>IFERROR(VLOOKUP('Cronograma'!$E68,ListadoDeTemas1[[Tema]:[Bloque]],COLUMNS('Cronograma'!$E68:F68),FALSE),"")</f>
        <v/>
      </c>
      <c r="G68" s="179" t="str">
        <f>IFERROR(VLOOKUP('Cronograma'!$E68,ListadoDeTemas1[[Tema]:[Bloque]],COLUMNS('Cronograma'!$E68:G68),FALSE),"")</f>
        <v/>
      </c>
      <c r="H68" s="180" t="str">
        <f>IFERROR(VLOOKUP('Cronograma'!$E68,ListadoDeTemas1[[Tema]:[Bloque]],COLUMNS('Cronograma'!$E68:H68),FALSE),"")</f>
        <v/>
      </c>
      <c r="I68" s="177"/>
    </row>
    <row r="69" spans="3:9" x14ac:dyDescent="0.25">
      <c r="C69" s="91"/>
      <c r="E69" s="91"/>
      <c r="F69" s="181" t="str">
        <f>IFERROR(VLOOKUP('Cronograma'!$E69,ListadoDeTemas1[[Tema]:[Bloque]],COLUMNS('Cronograma'!$E69:F69),FALSE),"")</f>
        <v/>
      </c>
      <c r="G69" s="179" t="str">
        <f>IFERROR(VLOOKUP('Cronograma'!$E69,ListadoDeTemas1[[Tema]:[Bloque]],COLUMNS('Cronograma'!$E69:G69),FALSE),"")</f>
        <v/>
      </c>
      <c r="H69" s="180" t="str">
        <f>IFERROR(VLOOKUP('Cronograma'!$E69,ListadoDeTemas1[[Tema]:[Bloque]],COLUMNS('Cronograma'!$E69:H69),FALSE),"")</f>
        <v/>
      </c>
      <c r="I69" s="177"/>
    </row>
    <row r="70" spans="3:9" x14ac:dyDescent="0.25">
      <c r="C70" s="91"/>
      <c r="E70" s="91"/>
      <c r="F70" s="181" t="str">
        <f>IFERROR(VLOOKUP('Cronograma'!$E70,ListadoDeTemas1[[Tema]:[Bloque]],COLUMNS('Cronograma'!$E70:F70),FALSE),"")</f>
        <v/>
      </c>
      <c r="G70" s="179" t="str">
        <f>IFERROR(VLOOKUP('Cronograma'!$E70,ListadoDeTemas1[[Tema]:[Bloque]],COLUMNS('Cronograma'!$E70:G70),FALSE),"")</f>
        <v/>
      </c>
      <c r="H70" s="180" t="str">
        <f>IFERROR(VLOOKUP('Cronograma'!$E70,ListadoDeTemas1[[Tema]:[Bloque]],COLUMNS('Cronograma'!$E70:H70),FALSE),"")</f>
        <v/>
      </c>
      <c r="I70" s="177"/>
    </row>
    <row r="71" spans="3:9" x14ac:dyDescent="0.25">
      <c r="C71" s="91"/>
      <c r="E71" s="91"/>
      <c r="F71" s="181" t="str">
        <f>IFERROR(VLOOKUP('Cronograma'!$E71,ListadoDeTemas1[[Tema]:[Bloque]],COLUMNS('Cronograma'!$E71:F71),FALSE),"")</f>
        <v/>
      </c>
      <c r="G71" s="179" t="str">
        <f>IFERROR(VLOOKUP('Cronograma'!$E71,ListadoDeTemas1[[Tema]:[Bloque]],COLUMNS('Cronograma'!$E71:G71),FALSE),"")</f>
        <v/>
      </c>
      <c r="H71" s="180" t="str">
        <f>IFERROR(VLOOKUP('Cronograma'!$E71,ListadoDeTemas1[[Tema]:[Bloque]],COLUMNS('Cronograma'!$E71:H71),FALSE),"")</f>
        <v/>
      </c>
      <c r="I71" s="177"/>
    </row>
    <row r="72" spans="3:9" x14ac:dyDescent="0.25">
      <c r="C72" s="91"/>
      <c r="E72" s="91"/>
      <c r="F72" s="181" t="str">
        <f>IFERROR(VLOOKUP('Cronograma'!$E72,ListadoDeTemas1[[Tema]:[Bloque]],COLUMNS('Cronograma'!$E72:F72),FALSE),"")</f>
        <v/>
      </c>
      <c r="G72" s="179" t="str">
        <f>IFERROR(VLOOKUP('Cronograma'!$E72,ListadoDeTemas1[[Tema]:[Bloque]],COLUMNS('Cronograma'!$E72:G72),FALSE),"")</f>
        <v/>
      </c>
      <c r="H72" s="180" t="str">
        <f>IFERROR(VLOOKUP('Cronograma'!$E72,ListadoDeTemas1[[Tema]:[Bloque]],COLUMNS('Cronograma'!$E72:H72),FALSE),"")</f>
        <v/>
      </c>
      <c r="I72" s="177"/>
    </row>
    <row r="73" spans="3:9" x14ac:dyDescent="0.25">
      <c r="C73" s="91"/>
      <c r="E73" s="91"/>
      <c r="F73" s="181" t="str">
        <f>IFERROR(VLOOKUP('Cronograma'!$E73,ListadoDeTemas1[[Tema]:[Bloque]],COLUMNS('Cronograma'!$E73:F73),FALSE),"")</f>
        <v/>
      </c>
      <c r="G73" s="179" t="str">
        <f>IFERROR(VLOOKUP('Cronograma'!$E73,ListadoDeTemas1[[Tema]:[Bloque]],COLUMNS('Cronograma'!$E73:G73),FALSE),"")</f>
        <v/>
      </c>
      <c r="H73" s="180" t="str">
        <f>IFERROR(VLOOKUP('Cronograma'!$E73,ListadoDeTemas1[[Tema]:[Bloque]],COLUMNS('Cronograma'!$E73:H73),FALSE),"")</f>
        <v/>
      </c>
      <c r="I73" s="177"/>
    </row>
    <row r="74" spans="3:9" x14ac:dyDescent="0.25">
      <c r="C74" s="91"/>
      <c r="E74" s="91"/>
      <c r="F74" s="181" t="str">
        <f>IFERROR(VLOOKUP('Cronograma'!$E74,ListadoDeTemas1[[Tema]:[Bloque]],COLUMNS('Cronograma'!$E74:F74),FALSE),"")</f>
        <v/>
      </c>
      <c r="G74" s="179" t="str">
        <f>IFERROR(VLOOKUP('Cronograma'!$E74,ListadoDeTemas1[[Tema]:[Bloque]],COLUMNS('Cronograma'!$E74:G74),FALSE),"")</f>
        <v/>
      </c>
      <c r="H74" s="180" t="str">
        <f>IFERROR(VLOOKUP('Cronograma'!$E74,ListadoDeTemas1[[Tema]:[Bloque]],COLUMNS('Cronograma'!$E74:H74),FALSE),"")</f>
        <v/>
      </c>
      <c r="I74" s="177"/>
    </row>
    <row r="75" spans="3:9" x14ac:dyDescent="0.25">
      <c r="C75" s="91"/>
      <c r="E75" s="91"/>
      <c r="F75" s="181" t="str">
        <f>IFERROR(VLOOKUP('Cronograma'!$E75,ListadoDeTemas1[[Tema]:[Bloque]],COLUMNS('Cronograma'!$E75:F75),FALSE),"")</f>
        <v/>
      </c>
      <c r="G75" s="179" t="str">
        <f>IFERROR(VLOOKUP('Cronograma'!$E75,ListadoDeTemas1[[Tema]:[Bloque]],COLUMNS('Cronograma'!$E75:G75),FALSE),"")</f>
        <v/>
      </c>
      <c r="H75" s="180" t="str">
        <f>IFERROR(VLOOKUP('Cronograma'!$E75,ListadoDeTemas1[[Tema]:[Bloque]],COLUMNS('Cronograma'!$E75:H75),FALSE),"")</f>
        <v/>
      </c>
      <c r="I75" s="177"/>
    </row>
    <row r="76" spans="3:9" x14ac:dyDescent="0.25">
      <c r="C76" s="91"/>
      <c r="E76" s="91"/>
      <c r="F76" s="181" t="str">
        <f>IFERROR(VLOOKUP('Cronograma'!$E76,ListadoDeTemas1[[Tema]:[Bloque]],COLUMNS('Cronograma'!$E76:F76),FALSE),"")</f>
        <v/>
      </c>
      <c r="G76" s="179" t="str">
        <f>IFERROR(VLOOKUP('Cronograma'!$E76,ListadoDeTemas1[[Tema]:[Bloque]],COLUMNS('Cronograma'!$E76:G76),FALSE),"")</f>
        <v/>
      </c>
      <c r="H76" s="180" t="str">
        <f>IFERROR(VLOOKUP('Cronograma'!$E76,ListadoDeTemas1[[Tema]:[Bloque]],COLUMNS('Cronograma'!$E76:H76),FALSE),"")</f>
        <v/>
      </c>
      <c r="I76" s="177"/>
    </row>
    <row r="77" spans="3:9" x14ac:dyDescent="0.25">
      <c r="C77" s="91"/>
      <c r="E77" s="91"/>
      <c r="F77" s="181" t="str">
        <f>IFERROR(VLOOKUP('Cronograma'!$E77,ListadoDeTemas1[[Tema]:[Bloque]],COLUMNS('Cronograma'!$E77:F77),FALSE),"")</f>
        <v/>
      </c>
      <c r="G77" s="179" t="str">
        <f>IFERROR(VLOOKUP('Cronograma'!$E77,ListadoDeTemas1[[Tema]:[Bloque]],COLUMNS('Cronograma'!$E77:G77),FALSE),"")</f>
        <v/>
      </c>
      <c r="H77" s="180" t="str">
        <f>IFERROR(VLOOKUP('Cronograma'!$E77,ListadoDeTemas1[[Tema]:[Bloque]],COLUMNS('Cronograma'!$E77:H77),FALSE),"")</f>
        <v/>
      </c>
      <c r="I77" s="177"/>
    </row>
    <row r="78" spans="3:9" x14ac:dyDescent="0.25">
      <c r="C78" s="91"/>
      <c r="E78" s="91"/>
      <c r="F78" s="181" t="str">
        <f>IFERROR(VLOOKUP('Cronograma'!$E78,ListadoDeTemas1[[Tema]:[Bloque]],COLUMNS('Cronograma'!$E78:F78),FALSE),"")</f>
        <v/>
      </c>
      <c r="G78" s="179" t="str">
        <f>IFERROR(VLOOKUP('Cronograma'!$E78,ListadoDeTemas1[[Tema]:[Bloque]],COLUMNS('Cronograma'!$E78:G78),FALSE),"")</f>
        <v/>
      </c>
      <c r="H78" s="180" t="str">
        <f>IFERROR(VLOOKUP('Cronograma'!$E78,ListadoDeTemas1[[Tema]:[Bloque]],COLUMNS('Cronograma'!$E78:H78),FALSE),"")</f>
        <v/>
      </c>
      <c r="I78" s="177"/>
    </row>
    <row r="79" spans="3:9" x14ac:dyDescent="0.25">
      <c r="C79" s="91"/>
      <c r="E79" s="91"/>
      <c r="F79" s="181" t="str">
        <f>IFERROR(VLOOKUP('Cronograma'!$E79,ListadoDeTemas1[[Tema]:[Bloque]],COLUMNS('Cronograma'!$E79:F79),FALSE),"")</f>
        <v/>
      </c>
      <c r="G79" s="179" t="str">
        <f>IFERROR(VLOOKUP('Cronograma'!$E79,ListadoDeTemas1[[Tema]:[Bloque]],COLUMNS('Cronograma'!$E79:G79),FALSE),"")</f>
        <v/>
      </c>
      <c r="H79" s="180" t="str">
        <f>IFERROR(VLOOKUP('Cronograma'!$E79,ListadoDeTemas1[[Tema]:[Bloque]],COLUMNS('Cronograma'!$E79:H79),FALSE),"")</f>
        <v/>
      </c>
      <c r="I79" s="177"/>
    </row>
    <row r="80" spans="3:9" x14ac:dyDescent="0.25">
      <c r="C80" s="91"/>
      <c r="E80" s="91"/>
      <c r="F80" s="181" t="str">
        <f>IFERROR(VLOOKUP('Cronograma'!$E80,ListadoDeTemas1[[Tema]:[Bloque]],COLUMNS('Cronograma'!$E80:F80),FALSE),"")</f>
        <v/>
      </c>
      <c r="G80" s="179" t="str">
        <f>IFERROR(VLOOKUP('Cronograma'!$E80,ListadoDeTemas1[[Tema]:[Bloque]],COLUMNS('Cronograma'!$E80:G80),FALSE),"")</f>
        <v/>
      </c>
      <c r="H80" s="180" t="str">
        <f>IFERROR(VLOOKUP('Cronograma'!$E80,ListadoDeTemas1[[Tema]:[Bloque]],COLUMNS('Cronograma'!$E80:H80),FALSE),"")</f>
        <v/>
      </c>
      <c r="I80" s="177"/>
    </row>
    <row r="81" spans="3:9" x14ac:dyDescent="0.25">
      <c r="C81" s="91"/>
      <c r="E81" s="91"/>
      <c r="F81" s="181" t="str">
        <f>IFERROR(VLOOKUP('Cronograma'!$E81,ListadoDeTemas1[[Tema]:[Bloque]],COLUMNS('Cronograma'!$E81:F81),FALSE),"")</f>
        <v/>
      </c>
      <c r="G81" s="179" t="str">
        <f>IFERROR(VLOOKUP('Cronograma'!$E81,ListadoDeTemas1[[Tema]:[Bloque]],COLUMNS('Cronograma'!$E81:G81),FALSE),"")</f>
        <v/>
      </c>
      <c r="H81" s="180" t="str">
        <f>IFERROR(VLOOKUP('Cronograma'!$E81,ListadoDeTemas1[[Tema]:[Bloque]],COLUMNS('Cronograma'!$E81:H81),FALSE),"")</f>
        <v/>
      </c>
      <c r="I81" s="177"/>
    </row>
    <row r="82" spans="3:9" x14ac:dyDescent="0.25">
      <c r="C82" s="91"/>
      <c r="E82" s="91"/>
      <c r="F82" s="181" t="str">
        <f>IFERROR(VLOOKUP('Cronograma'!$E82,ListadoDeTemas1[[Tema]:[Bloque]],COLUMNS('Cronograma'!$E82:F82),FALSE),"")</f>
        <v/>
      </c>
      <c r="G82" s="179" t="str">
        <f>IFERROR(VLOOKUP('Cronograma'!$E82,ListadoDeTemas1[[Tema]:[Bloque]],COLUMNS('Cronograma'!$E82:G82),FALSE),"")</f>
        <v/>
      </c>
      <c r="H82" s="180" t="str">
        <f>IFERROR(VLOOKUP('Cronograma'!$E82,ListadoDeTemas1[[Tema]:[Bloque]],COLUMNS('Cronograma'!$E82:H82),FALSE),"")</f>
        <v/>
      </c>
      <c r="I82" s="177"/>
    </row>
    <row r="83" spans="3:9" x14ac:dyDescent="0.25">
      <c r="C83" s="91"/>
      <c r="E83" s="91"/>
      <c r="F83" s="181" t="str">
        <f>IFERROR(VLOOKUP('Cronograma'!$E83,ListadoDeTemas1[[Tema]:[Bloque]],COLUMNS('Cronograma'!$E83:F83),FALSE),"")</f>
        <v/>
      </c>
      <c r="G83" s="179" t="str">
        <f>IFERROR(VLOOKUP('Cronograma'!$E83,ListadoDeTemas1[[Tema]:[Bloque]],COLUMNS('Cronograma'!$E83:G83),FALSE),"")</f>
        <v/>
      </c>
      <c r="H83" s="180" t="str">
        <f>IFERROR(VLOOKUP('Cronograma'!$E83,ListadoDeTemas1[[Tema]:[Bloque]],COLUMNS('Cronograma'!$E83:H83),FALSE),"")</f>
        <v/>
      </c>
      <c r="I83" s="177"/>
    </row>
    <row r="84" spans="3:9" x14ac:dyDescent="0.25">
      <c r="C84" s="91"/>
      <c r="E84" s="91"/>
      <c r="F84" s="181" t="str">
        <f>IFERROR(VLOOKUP('Cronograma'!$E84,ListadoDeTemas1[[Tema]:[Bloque]],COLUMNS('Cronograma'!$E84:F84),FALSE),"")</f>
        <v/>
      </c>
      <c r="G84" s="179" t="str">
        <f>IFERROR(VLOOKUP('Cronograma'!$E84,ListadoDeTemas1[[Tema]:[Bloque]],COLUMNS('Cronograma'!$E84:G84),FALSE),"")</f>
        <v/>
      </c>
      <c r="H84" s="180" t="str">
        <f>IFERROR(VLOOKUP('Cronograma'!$E84,ListadoDeTemas1[[Tema]:[Bloque]],COLUMNS('Cronograma'!$E84:H84),FALSE),"")</f>
        <v/>
      </c>
      <c r="I84" s="177"/>
    </row>
    <row r="85" spans="3:9" x14ac:dyDescent="0.25">
      <c r="C85" s="91"/>
      <c r="E85" s="91"/>
      <c r="F85" s="181" t="str">
        <f>IFERROR(VLOOKUP('Cronograma'!$E85,ListadoDeTemas1[[Tema]:[Bloque]],COLUMNS('Cronograma'!$E85:F85),FALSE),"")</f>
        <v/>
      </c>
      <c r="G85" s="179" t="str">
        <f>IFERROR(VLOOKUP('Cronograma'!$E85,ListadoDeTemas1[[Tema]:[Bloque]],COLUMNS('Cronograma'!$E85:G85),FALSE),"")</f>
        <v/>
      </c>
      <c r="H85" s="180" t="str">
        <f>IFERROR(VLOOKUP('Cronograma'!$E85,ListadoDeTemas1[[Tema]:[Bloque]],COLUMNS('Cronograma'!$E85:H85),FALSE),"")</f>
        <v/>
      </c>
      <c r="I85" s="177"/>
    </row>
    <row r="86" spans="3:9" x14ac:dyDescent="0.25">
      <c r="C86" s="91"/>
      <c r="E86" s="91"/>
      <c r="F86" s="181" t="str">
        <f>IFERROR(VLOOKUP('Cronograma'!$E86,ListadoDeTemas1[[Tema]:[Bloque]],COLUMNS('Cronograma'!$E86:F86),FALSE),"")</f>
        <v/>
      </c>
      <c r="G86" s="179" t="str">
        <f>IFERROR(VLOOKUP('Cronograma'!$E86,ListadoDeTemas1[[Tema]:[Bloque]],COLUMNS('Cronograma'!$E86:G86),FALSE),"")</f>
        <v/>
      </c>
      <c r="H86" s="180" t="str">
        <f>IFERROR(VLOOKUP('Cronograma'!$E86,ListadoDeTemas1[[Tema]:[Bloque]],COLUMNS('Cronograma'!$E86:H86),FALSE),"")</f>
        <v/>
      </c>
      <c r="I86" s="177"/>
    </row>
    <row r="87" spans="3:9" x14ac:dyDescent="0.25">
      <c r="C87" s="91"/>
      <c r="E87" s="91"/>
      <c r="F87" s="181" t="str">
        <f>IFERROR(VLOOKUP('Cronograma'!$E87,ListadoDeTemas1[[Tema]:[Bloque]],COLUMNS('Cronograma'!$E87:F87),FALSE),"")</f>
        <v/>
      </c>
      <c r="G87" s="179" t="str">
        <f>IFERROR(VLOOKUP('Cronograma'!$E87,ListadoDeTemas1[[Tema]:[Bloque]],COLUMNS('Cronograma'!$E87:G87),FALSE),"")</f>
        <v/>
      </c>
      <c r="H87" s="180" t="str">
        <f>IFERROR(VLOOKUP('Cronograma'!$E87,ListadoDeTemas1[[Tema]:[Bloque]],COLUMNS('Cronograma'!$E87:H87),FALSE),"")</f>
        <v/>
      </c>
      <c r="I87" s="177"/>
    </row>
    <row r="88" spans="3:9" x14ac:dyDescent="0.25">
      <c r="C88" s="91"/>
      <c r="E88" s="91"/>
      <c r="F88" s="181" t="str">
        <f>IFERROR(VLOOKUP('Cronograma'!$E88,ListadoDeTemas1[[Tema]:[Bloque]],COLUMNS('Cronograma'!$E88:F88),FALSE),"")</f>
        <v/>
      </c>
      <c r="G88" s="179" t="str">
        <f>IFERROR(VLOOKUP('Cronograma'!$E88,ListadoDeTemas1[[Tema]:[Bloque]],COLUMNS('Cronograma'!$E88:G88),FALSE),"")</f>
        <v/>
      </c>
      <c r="H88" s="180" t="str">
        <f>IFERROR(VLOOKUP('Cronograma'!$E88,ListadoDeTemas1[[Tema]:[Bloque]],COLUMNS('Cronograma'!$E88:H88),FALSE),"")</f>
        <v/>
      </c>
      <c r="I88" s="177"/>
    </row>
    <row r="89" spans="3:9" x14ac:dyDescent="0.25">
      <c r="C89" s="91"/>
      <c r="E89" s="91"/>
      <c r="F89" s="181" t="str">
        <f>IFERROR(VLOOKUP('Cronograma'!$E89,ListadoDeTemas1[[Tema]:[Bloque]],COLUMNS('Cronograma'!$E89:F89),FALSE),"")</f>
        <v/>
      </c>
      <c r="G89" s="179" t="str">
        <f>IFERROR(VLOOKUP('Cronograma'!$E89,ListadoDeTemas1[[Tema]:[Bloque]],COLUMNS('Cronograma'!$E89:G89),FALSE),"")</f>
        <v/>
      </c>
      <c r="H89" s="180" t="str">
        <f>IFERROR(VLOOKUP('Cronograma'!$E89,ListadoDeTemas1[[Tema]:[Bloque]],COLUMNS('Cronograma'!$E89:H89),FALSE),"")</f>
        <v/>
      </c>
      <c r="I89" s="177"/>
    </row>
    <row r="90" spans="3:9" x14ac:dyDescent="0.25">
      <c r="C90" s="91"/>
      <c r="E90" s="91"/>
      <c r="F90" s="181" t="str">
        <f>IFERROR(VLOOKUP('Cronograma'!$E90,ListadoDeTemas1[[Tema]:[Bloque]],COLUMNS('Cronograma'!$E90:F90),FALSE),"")</f>
        <v/>
      </c>
      <c r="G90" s="179" t="str">
        <f>IFERROR(VLOOKUP('Cronograma'!$E90,ListadoDeTemas1[[Tema]:[Bloque]],COLUMNS('Cronograma'!$E90:G90),FALSE),"")</f>
        <v/>
      </c>
      <c r="H90" s="180" t="str">
        <f>IFERROR(VLOOKUP('Cronograma'!$E90,ListadoDeTemas1[[Tema]:[Bloque]],COLUMNS('Cronograma'!$E90:H90),FALSE),"")</f>
        <v/>
      </c>
      <c r="I90" s="177"/>
    </row>
    <row r="91" spans="3:9" x14ac:dyDescent="0.25">
      <c r="C91" s="91"/>
      <c r="E91" s="91"/>
      <c r="F91" s="181" t="str">
        <f>IFERROR(VLOOKUP('Cronograma'!$E91,ListadoDeTemas1[[Tema]:[Bloque]],COLUMNS('Cronograma'!$E91:F91),FALSE),"")</f>
        <v/>
      </c>
      <c r="G91" s="179" t="str">
        <f>IFERROR(VLOOKUP('Cronograma'!$E91,ListadoDeTemas1[[Tema]:[Bloque]],COLUMNS('Cronograma'!$E91:G91),FALSE),"")</f>
        <v/>
      </c>
      <c r="H91" s="180" t="str">
        <f>IFERROR(VLOOKUP('Cronograma'!$E91,ListadoDeTemas1[[Tema]:[Bloque]],COLUMNS('Cronograma'!$E91:H91),FALSE),"")</f>
        <v/>
      </c>
      <c r="I91" s="177"/>
    </row>
    <row r="92" spans="3:9" x14ac:dyDescent="0.25">
      <c r="C92" s="91"/>
      <c r="E92" s="91"/>
      <c r="F92" s="181" t="str">
        <f>IFERROR(VLOOKUP('Cronograma'!$E92,ListadoDeTemas1[[Tema]:[Bloque]],COLUMNS('Cronograma'!$E92:F92),FALSE),"")</f>
        <v/>
      </c>
      <c r="G92" s="179" t="str">
        <f>IFERROR(VLOOKUP('Cronograma'!$E92,ListadoDeTemas1[[Tema]:[Bloque]],COLUMNS('Cronograma'!$E92:G92),FALSE),"")</f>
        <v/>
      </c>
      <c r="H92" s="180" t="str">
        <f>IFERROR(VLOOKUP('Cronograma'!$E92,ListadoDeTemas1[[Tema]:[Bloque]],COLUMNS('Cronograma'!$E92:H92),FALSE),"")</f>
        <v/>
      </c>
      <c r="I92" s="177"/>
    </row>
    <row r="93" spans="3:9" x14ac:dyDescent="0.25">
      <c r="C93" s="91"/>
      <c r="E93" s="91"/>
      <c r="F93" s="181" t="str">
        <f>IFERROR(VLOOKUP('Cronograma'!$E93,ListadoDeTemas1[[Tema]:[Bloque]],COLUMNS('Cronograma'!$E93:F93),FALSE),"")</f>
        <v/>
      </c>
      <c r="G93" s="179" t="str">
        <f>IFERROR(VLOOKUP('Cronograma'!$E93,ListadoDeTemas1[[Tema]:[Bloque]],COLUMNS('Cronograma'!$E93:G93),FALSE),"")</f>
        <v/>
      </c>
      <c r="H93" s="180" t="str">
        <f>IFERROR(VLOOKUP('Cronograma'!$E93,ListadoDeTemas1[[Tema]:[Bloque]],COLUMNS('Cronograma'!$E93:H93),FALSE),"")</f>
        <v/>
      </c>
      <c r="I93" s="177"/>
    </row>
    <row r="94" spans="3:9" x14ac:dyDescent="0.25">
      <c r="C94" s="91"/>
      <c r="E94" s="91"/>
      <c r="F94" s="181" t="str">
        <f>IFERROR(VLOOKUP('Cronograma'!$E94,ListadoDeTemas1[[Tema]:[Bloque]],COLUMNS('Cronograma'!$E94:F94),FALSE),"")</f>
        <v/>
      </c>
      <c r="G94" s="179" t="str">
        <f>IFERROR(VLOOKUP('Cronograma'!$E94,ListadoDeTemas1[[Tema]:[Bloque]],COLUMNS('Cronograma'!$E94:G94),FALSE),"")</f>
        <v/>
      </c>
      <c r="H94" s="180" t="str">
        <f>IFERROR(VLOOKUP('Cronograma'!$E94,ListadoDeTemas1[[Tema]:[Bloque]],COLUMNS('Cronograma'!$E94:H94),FALSE),"")</f>
        <v/>
      </c>
      <c r="I94" s="177"/>
    </row>
    <row r="95" spans="3:9" x14ac:dyDescent="0.25">
      <c r="C95" s="91"/>
      <c r="E95" s="91"/>
      <c r="F95" s="181" t="str">
        <f>IFERROR(VLOOKUP('Cronograma'!$E95,ListadoDeTemas1[[Tema]:[Bloque]],COLUMNS('Cronograma'!$E95:F95),FALSE),"")</f>
        <v/>
      </c>
      <c r="G95" s="179" t="str">
        <f>IFERROR(VLOOKUP('Cronograma'!$E95,ListadoDeTemas1[[Tema]:[Bloque]],COLUMNS('Cronograma'!$E95:G95),FALSE),"")</f>
        <v/>
      </c>
      <c r="H95" s="180" t="str">
        <f>IFERROR(VLOOKUP('Cronograma'!$E95,ListadoDeTemas1[[Tema]:[Bloque]],COLUMNS('Cronograma'!$E95:H95),FALSE),"")</f>
        <v/>
      </c>
      <c r="I95" s="177"/>
    </row>
    <row r="96" spans="3:9" x14ac:dyDescent="0.25">
      <c r="C96" s="91"/>
      <c r="E96" s="91"/>
      <c r="F96" s="181" t="str">
        <f>IFERROR(VLOOKUP('Cronograma'!$E96,ListadoDeTemas1[[Tema]:[Bloque]],COLUMNS('Cronograma'!$E96:F96),FALSE),"")</f>
        <v/>
      </c>
      <c r="G96" s="179" t="str">
        <f>IFERROR(VLOOKUP('Cronograma'!$E96,ListadoDeTemas1[[Tema]:[Bloque]],COLUMNS('Cronograma'!$E96:G96),FALSE),"")</f>
        <v/>
      </c>
      <c r="H96" s="180" t="str">
        <f>IFERROR(VLOOKUP('Cronograma'!$E96,ListadoDeTemas1[[Tema]:[Bloque]],COLUMNS('Cronograma'!$E96:H96),FALSE),"")</f>
        <v/>
      </c>
      <c r="I96" s="177"/>
    </row>
    <row r="97" spans="3:9" x14ac:dyDescent="0.25">
      <c r="C97" s="91"/>
      <c r="E97" s="91"/>
      <c r="F97" s="181" t="str">
        <f>IFERROR(VLOOKUP('Cronograma'!$E97,ListadoDeTemas1[[Tema]:[Bloque]],COLUMNS('Cronograma'!$E97:F97),FALSE),"")</f>
        <v/>
      </c>
      <c r="G97" s="179" t="str">
        <f>IFERROR(VLOOKUP('Cronograma'!$E97,ListadoDeTemas1[[Tema]:[Bloque]],COLUMNS('Cronograma'!$E97:G97),FALSE),"")</f>
        <v/>
      </c>
      <c r="H97" s="180" t="str">
        <f>IFERROR(VLOOKUP('Cronograma'!$E97,ListadoDeTemas1[[Tema]:[Bloque]],COLUMNS('Cronograma'!$E97:H97),FALSE),"")</f>
        <v/>
      </c>
      <c r="I97" s="177"/>
    </row>
    <row r="98" spans="3:9" x14ac:dyDescent="0.25">
      <c r="C98" s="91"/>
      <c r="E98" s="91"/>
      <c r="F98" s="181" t="str">
        <f>IFERROR(VLOOKUP('Cronograma'!$E98,ListadoDeTemas1[[Tema]:[Bloque]],COLUMNS('Cronograma'!$E98:F98),FALSE),"")</f>
        <v/>
      </c>
      <c r="G98" s="179" t="str">
        <f>IFERROR(VLOOKUP('Cronograma'!$E98,ListadoDeTemas1[[Tema]:[Bloque]],COLUMNS('Cronograma'!$E98:G98),FALSE),"")</f>
        <v/>
      </c>
      <c r="H98" s="180" t="str">
        <f>IFERROR(VLOOKUP('Cronograma'!$E98,ListadoDeTemas1[[Tema]:[Bloque]],COLUMNS('Cronograma'!$E98:H98),FALSE),"")</f>
        <v/>
      </c>
      <c r="I98" s="177"/>
    </row>
    <row r="99" spans="3:9" x14ac:dyDescent="0.25">
      <c r="C99" s="91"/>
      <c r="E99" s="91"/>
      <c r="F99" s="181" t="str">
        <f>IFERROR(VLOOKUP('Cronograma'!$E99,ListadoDeTemas1[[Tema]:[Bloque]],COLUMNS('Cronograma'!$E99:F99),FALSE),"")</f>
        <v/>
      </c>
      <c r="G99" s="179" t="str">
        <f>IFERROR(VLOOKUP('Cronograma'!$E99,ListadoDeTemas1[[Tema]:[Bloque]],COLUMNS('Cronograma'!$E99:G99),FALSE),"")</f>
        <v/>
      </c>
      <c r="H99" s="180" t="str">
        <f>IFERROR(VLOOKUP('Cronograma'!$E99,ListadoDeTemas1[[Tema]:[Bloque]],COLUMNS('Cronograma'!$E99:H99),FALSE),"")</f>
        <v/>
      </c>
      <c r="I99" s="177"/>
    </row>
    <row r="100" spans="3:9" x14ac:dyDescent="0.25">
      <c r="C100" s="91"/>
      <c r="E100" s="91"/>
      <c r="F100" s="181" t="str">
        <f>IFERROR(VLOOKUP('Cronograma'!$E100,ListadoDeTemas1[[Tema]:[Bloque]],COLUMNS('Cronograma'!$E100:F100),FALSE),"")</f>
        <v/>
      </c>
      <c r="G100" s="179" t="str">
        <f>IFERROR(VLOOKUP('Cronograma'!$E100,ListadoDeTemas1[[Tema]:[Bloque]],COLUMNS('Cronograma'!$E100:G100),FALSE),"")</f>
        <v/>
      </c>
      <c r="H100" s="180" t="str">
        <f>IFERROR(VLOOKUP('Cronograma'!$E100,ListadoDeTemas1[[Tema]:[Bloque]],COLUMNS('Cronograma'!$E100:H100),FALSE),"")</f>
        <v/>
      </c>
      <c r="I100" s="177"/>
    </row>
    <row r="101" spans="3:9" x14ac:dyDescent="0.25">
      <c r="C101" s="91"/>
      <c r="E101" s="91"/>
      <c r="F101" s="181" t="str">
        <f>IFERROR(VLOOKUP('Cronograma'!$E101,ListadoDeTemas1[[Tema]:[Bloque]],COLUMNS('Cronograma'!$E101:F101),FALSE),"")</f>
        <v/>
      </c>
      <c r="G101" s="179" t="str">
        <f>IFERROR(VLOOKUP('Cronograma'!$E101,ListadoDeTemas1[[Tema]:[Bloque]],COLUMNS('Cronograma'!$E101:G101),FALSE),"")</f>
        <v/>
      </c>
      <c r="H101" s="180" t="str">
        <f>IFERROR(VLOOKUP('Cronograma'!$E101,ListadoDeTemas1[[Tema]:[Bloque]],COLUMNS('Cronograma'!$E101:H101),FALSE),"")</f>
        <v/>
      </c>
      <c r="I101" s="177"/>
    </row>
    <row r="102" spans="3:9" x14ac:dyDescent="0.25">
      <c r="C102" s="91"/>
      <c r="E102" s="91"/>
      <c r="F102" s="181" t="str">
        <f>IFERROR(VLOOKUP('Cronograma'!$E102,ListadoDeTemas1[[Tema]:[Bloque]],COLUMNS('Cronograma'!$E102:F102),FALSE),"")</f>
        <v/>
      </c>
      <c r="G102" s="179" t="str">
        <f>IFERROR(VLOOKUP('Cronograma'!$E102,ListadoDeTemas1[[Tema]:[Bloque]],COLUMNS('Cronograma'!$E102:G102),FALSE),"")</f>
        <v/>
      </c>
      <c r="H102" s="180" t="str">
        <f>IFERROR(VLOOKUP('Cronograma'!$E102,ListadoDeTemas1[[Tema]:[Bloque]],COLUMNS('Cronograma'!$E102:H102),FALSE),"")</f>
        <v/>
      </c>
      <c r="I102" s="177"/>
    </row>
    <row r="103" spans="3:9" x14ac:dyDescent="0.25">
      <c r="C103" s="91"/>
      <c r="E103" s="91"/>
      <c r="F103" s="181" t="str">
        <f>IFERROR(VLOOKUP('Cronograma'!$E103,ListadoDeTemas1[[Tema]:[Bloque]],COLUMNS('Cronograma'!$E103:F103),FALSE),"")</f>
        <v/>
      </c>
      <c r="G103" s="179" t="str">
        <f>IFERROR(VLOOKUP('Cronograma'!$E103,ListadoDeTemas1[[Tema]:[Bloque]],COLUMNS('Cronograma'!$E103:G103),FALSE),"")</f>
        <v/>
      </c>
      <c r="H103" s="180" t="str">
        <f>IFERROR(VLOOKUP('Cronograma'!$E103,ListadoDeTemas1[[Tema]:[Bloque]],COLUMNS('Cronograma'!$E103:H103),FALSE),"")</f>
        <v/>
      </c>
      <c r="I103" s="177"/>
    </row>
    <row r="104" spans="3:9" x14ac:dyDescent="0.25">
      <c r="C104" s="91"/>
      <c r="E104" s="91"/>
      <c r="F104" s="181" t="str">
        <f>IFERROR(VLOOKUP('Cronograma'!$E104,ListadoDeTemas1[[Tema]:[Bloque]],COLUMNS('Cronograma'!$E104:F104),FALSE),"")</f>
        <v/>
      </c>
      <c r="G104" s="179" t="str">
        <f>IFERROR(VLOOKUP('Cronograma'!$E104,ListadoDeTemas1[[Tema]:[Bloque]],COLUMNS('Cronograma'!$E104:G104),FALSE),"")</f>
        <v/>
      </c>
      <c r="H104" s="180" t="str">
        <f>IFERROR(VLOOKUP('Cronograma'!$E104,ListadoDeTemas1[[Tema]:[Bloque]],COLUMNS('Cronograma'!$E104:H104),FALSE),"")</f>
        <v/>
      </c>
      <c r="I104" s="177"/>
    </row>
    <row r="105" spans="3:9" x14ac:dyDescent="0.25">
      <c r="C105" s="91"/>
      <c r="E105" s="91"/>
      <c r="F105" s="181" t="str">
        <f>IFERROR(VLOOKUP('Cronograma'!$E105,ListadoDeTemas1[[Tema]:[Bloque]],COLUMNS('Cronograma'!$E105:F105),FALSE),"")</f>
        <v/>
      </c>
      <c r="G105" s="179" t="str">
        <f>IFERROR(VLOOKUP('Cronograma'!$E105,ListadoDeTemas1[[Tema]:[Bloque]],COLUMNS('Cronograma'!$E105:G105),FALSE),"")</f>
        <v/>
      </c>
      <c r="H105" s="180" t="str">
        <f>IFERROR(VLOOKUP('Cronograma'!$E105,ListadoDeTemas1[[Tema]:[Bloque]],COLUMNS('Cronograma'!$E105:H105),FALSE),"")</f>
        <v/>
      </c>
      <c r="I105" s="177"/>
    </row>
    <row r="106" spans="3:9" x14ac:dyDescent="0.25">
      <c r="C106" s="91"/>
      <c r="E106" s="91"/>
      <c r="F106" s="181" t="str">
        <f>IFERROR(VLOOKUP('Cronograma'!$E106,ListadoDeTemas1[[Tema]:[Bloque]],COLUMNS('Cronograma'!$E106:F106),FALSE),"")</f>
        <v/>
      </c>
      <c r="G106" s="179" t="str">
        <f>IFERROR(VLOOKUP('Cronograma'!$E106,ListadoDeTemas1[[Tema]:[Bloque]],COLUMNS('Cronograma'!$E106:G106),FALSE),"")</f>
        <v/>
      </c>
      <c r="H106" s="180" t="str">
        <f>IFERROR(VLOOKUP('Cronograma'!$E106,ListadoDeTemas1[[Tema]:[Bloque]],COLUMNS('Cronograma'!$E106:H106),FALSE),"")</f>
        <v/>
      </c>
      <c r="I106" s="177"/>
    </row>
    <row r="107" spans="3:9" x14ac:dyDescent="0.25">
      <c r="C107" s="91"/>
      <c r="E107" s="91"/>
      <c r="F107" s="181" t="str">
        <f>IFERROR(VLOOKUP('Cronograma'!$E107,ListadoDeTemas1[[Tema]:[Bloque]],COLUMNS('Cronograma'!$E107:F107),FALSE),"")</f>
        <v/>
      </c>
      <c r="G107" s="179" t="str">
        <f>IFERROR(VLOOKUP('Cronograma'!$E107,ListadoDeTemas1[[Tema]:[Bloque]],COLUMNS('Cronograma'!$E107:G107),FALSE),"")</f>
        <v/>
      </c>
      <c r="H107" s="180" t="str">
        <f>IFERROR(VLOOKUP('Cronograma'!$E107,ListadoDeTemas1[[Tema]:[Bloque]],COLUMNS('Cronograma'!$E107:H107),FALSE),"")</f>
        <v/>
      </c>
      <c r="I107" s="177"/>
    </row>
    <row r="108" spans="3:9" x14ac:dyDescent="0.25">
      <c r="C108" s="91"/>
      <c r="E108" s="91"/>
      <c r="F108" s="181" t="str">
        <f>IFERROR(VLOOKUP('Cronograma'!$E108,ListadoDeTemas1[[Tema]:[Bloque]],COLUMNS('Cronograma'!$E108:F108),FALSE),"")</f>
        <v/>
      </c>
      <c r="G108" s="179" t="str">
        <f>IFERROR(VLOOKUP('Cronograma'!$E108,ListadoDeTemas1[[Tema]:[Bloque]],COLUMNS('Cronograma'!$E108:G108),FALSE),"")</f>
        <v/>
      </c>
      <c r="H108" s="180" t="str">
        <f>IFERROR(VLOOKUP('Cronograma'!$E108,ListadoDeTemas1[[Tema]:[Bloque]],COLUMNS('Cronograma'!$E108:H108),FALSE),"")</f>
        <v/>
      </c>
      <c r="I108" s="177"/>
    </row>
    <row r="109" spans="3:9" x14ac:dyDescent="0.25">
      <c r="C109" s="91"/>
      <c r="E109" s="91"/>
      <c r="F109" s="181" t="str">
        <f>IFERROR(VLOOKUP('Cronograma'!$E109,ListadoDeTemas1[[Tema]:[Bloque]],COLUMNS('Cronograma'!$E109:F109),FALSE),"")</f>
        <v/>
      </c>
      <c r="G109" s="179" t="str">
        <f>IFERROR(VLOOKUP('Cronograma'!$E109,ListadoDeTemas1[[Tema]:[Bloque]],COLUMNS('Cronograma'!$E109:G109),FALSE),"")</f>
        <v/>
      </c>
      <c r="H109" s="180" t="str">
        <f>IFERROR(VLOOKUP('Cronograma'!$E109,ListadoDeTemas1[[Tema]:[Bloque]],COLUMNS('Cronograma'!$E109:H109),FALSE),"")</f>
        <v/>
      </c>
      <c r="I109" s="177"/>
    </row>
    <row r="110" spans="3:9" x14ac:dyDescent="0.25">
      <c r="C110" s="91"/>
      <c r="E110" s="91"/>
      <c r="F110" s="181" t="str">
        <f>IFERROR(VLOOKUP('Cronograma'!$E110,ListadoDeTemas1[[Tema]:[Bloque]],COLUMNS('Cronograma'!$E110:F110),FALSE),"")</f>
        <v/>
      </c>
      <c r="G110" s="179" t="str">
        <f>IFERROR(VLOOKUP('Cronograma'!$E110,ListadoDeTemas1[[Tema]:[Bloque]],COLUMNS('Cronograma'!$E110:G110),FALSE),"")</f>
        <v/>
      </c>
      <c r="H110" s="180" t="str">
        <f>IFERROR(VLOOKUP('Cronograma'!$E110,ListadoDeTemas1[[Tema]:[Bloque]],COLUMNS('Cronograma'!$E110:H110),FALSE),"")</f>
        <v/>
      </c>
      <c r="I110" s="177"/>
    </row>
    <row r="111" spans="3:9" x14ac:dyDescent="0.25">
      <c r="C111" s="91"/>
      <c r="E111" s="91"/>
      <c r="F111" s="181" t="str">
        <f>IFERROR(VLOOKUP('Cronograma'!$E111,ListadoDeTemas1[[Tema]:[Bloque]],COLUMNS('Cronograma'!$E111:F111),FALSE),"")</f>
        <v/>
      </c>
      <c r="G111" s="179" t="str">
        <f>IFERROR(VLOOKUP('Cronograma'!$E111,ListadoDeTemas1[[Tema]:[Bloque]],COLUMNS('Cronograma'!$E111:G111),FALSE),"")</f>
        <v/>
      </c>
      <c r="H111" s="180" t="str">
        <f>IFERROR(VLOOKUP('Cronograma'!$E111,ListadoDeTemas1[[Tema]:[Bloque]],COLUMNS('Cronograma'!$E111:H111),FALSE),"")</f>
        <v/>
      </c>
      <c r="I111" s="177"/>
    </row>
    <row r="112" spans="3:9" x14ac:dyDescent="0.25">
      <c r="C112" s="91"/>
      <c r="E112" s="91"/>
      <c r="F112" s="181" t="str">
        <f>IFERROR(VLOOKUP('Cronograma'!$E112,ListadoDeTemas1[[Tema]:[Bloque]],COLUMNS('Cronograma'!$E112:F112),FALSE),"")</f>
        <v/>
      </c>
      <c r="G112" s="179" t="str">
        <f>IFERROR(VLOOKUP('Cronograma'!$E112,ListadoDeTemas1[[Tema]:[Bloque]],COLUMNS('Cronograma'!$E112:G112),FALSE),"")</f>
        <v/>
      </c>
      <c r="H112" s="180" t="str">
        <f>IFERROR(VLOOKUP('Cronograma'!$E112,ListadoDeTemas1[[Tema]:[Bloque]],COLUMNS('Cronograma'!$E112:H112),FALSE),"")</f>
        <v/>
      </c>
      <c r="I112" s="177"/>
    </row>
    <row r="113" spans="3:9" x14ac:dyDescent="0.25">
      <c r="C113" s="91"/>
      <c r="E113" s="91"/>
      <c r="F113" s="181" t="str">
        <f>IFERROR(VLOOKUP('Cronograma'!$E113,ListadoDeTemas1[[Tema]:[Bloque]],COLUMNS('Cronograma'!$E113:F113),FALSE),"")</f>
        <v/>
      </c>
      <c r="G113" s="179" t="str">
        <f>IFERROR(VLOOKUP('Cronograma'!$E113,ListadoDeTemas1[[Tema]:[Bloque]],COLUMNS('Cronograma'!$E113:G113),FALSE),"")</f>
        <v/>
      </c>
      <c r="H113" s="180" t="str">
        <f>IFERROR(VLOOKUP('Cronograma'!$E113,ListadoDeTemas1[[Tema]:[Bloque]],COLUMNS('Cronograma'!$E113:H113),FALSE),"")</f>
        <v/>
      </c>
      <c r="I113" s="177"/>
    </row>
    <row r="114" spans="3:9" x14ac:dyDescent="0.25">
      <c r="C114" s="91"/>
      <c r="E114" s="91"/>
      <c r="F114" s="181" t="str">
        <f>IFERROR(VLOOKUP('Cronograma'!$E114,ListadoDeTemas1[[Tema]:[Bloque]],COLUMNS('Cronograma'!$E114:F114),FALSE),"")</f>
        <v/>
      </c>
      <c r="G114" s="179" t="str">
        <f>IFERROR(VLOOKUP('Cronograma'!$E114,ListadoDeTemas1[[Tema]:[Bloque]],COLUMNS('Cronograma'!$E114:G114),FALSE),"")</f>
        <v/>
      </c>
      <c r="H114" s="180" t="str">
        <f>IFERROR(VLOOKUP('Cronograma'!$E114,ListadoDeTemas1[[Tema]:[Bloque]],COLUMNS('Cronograma'!$E114:H114),FALSE),"")</f>
        <v/>
      </c>
      <c r="I114" s="177"/>
    </row>
    <row r="115" spans="3:9" x14ac:dyDescent="0.25">
      <c r="C115" s="91"/>
      <c r="E115" s="91"/>
      <c r="F115" s="181" t="str">
        <f>IFERROR(VLOOKUP('Cronograma'!$E115,ListadoDeTemas1[[Tema]:[Bloque]],COLUMNS('Cronograma'!$E115:F115),FALSE),"")</f>
        <v/>
      </c>
      <c r="G115" s="179" t="str">
        <f>IFERROR(VLOOKUP('Cronograma'!$E115,ListadoDeTemas1[[Tema]:[Bloque]],COLUMNS('Cronograma'!$E115:G115),FALSE),"")</f>
        <v/>
      </c>
      <c r="H115" s="180" t="str">
        <f>IFERROR(VLOOKUP('Cronograma'!$E115,ListadoDeTemas1[[Tema]:[Bloque]],COLUMNS('Cronograma'!$E115:H115),FALSE),"")</f>
        <v/>
      </c>
      <c r="I115" s="177"/>
    </row>
    <row r="116" spans="3:9" x14ac:dyDescent="0.25">
      <c r="C116" s="91"/>
      <c r="E116" s="91"/>
      <c r="F116" s="181" t="str">
        <f>IFERROR(VLOOKUP('Cronograma'!$E116,ListadoDeTemas1[[Tema]:[Bloque]],COLUMNS('Cronograma'!$E116:F116),FALSE),"")</f>
        <v/>
      </c>
      <c r="G116" s="179" t="str">
        <f>IFERROR(VLOOKUP('Cronograma'!$E116,ListadoDeTemas1[[Tema]:[Bloque]],COLUMNS('Cronograma'!$E116:G116),FALSE),"")</f>
        <v/>
      </c>
      <c r="H116" s="180" t="str">
        <f>IFERROR(VLOOKUP('Cronograma'!$E116,ListadoDeTemas1[[Tema]:[Bloque]],COLUMNS('Cronograma'!$E116:H116),FALSE),"")</f>
        <v/>
      </c>
      <c r="I116" s="177"/>
    </row>
    <row r="117" spans="3:9" x14ac:dyDescent="0.25">
      <c r="C117" s="91"/>
      <c r="E117" s="91"/>
      <c r="F117" s="181" t="str">
        <f>IFERROR(VLOOKUP('Cronograma'!$E117,ListadoDeTemas1[[Tema]:[Bloque]],COLUMNS('Cronograma'!$E117:F117),FALSE),"")</f>
        <v/>
      </c>
      <c r="G117" s="179" t="str">
        <f>IFERROR(VLOOKUP('Cronograma'!$E117,ListadoDeTemas1[[Tema]:[Bloque]],COLUMNS('Cronograma'!$E117:G117),FALSE),"")</f>
        <v/>
      </c>
      <c r="H117" s="180" t="str">
        <f>IFERROR(VLOOKUP('Cronograma'!$E117,ListadoDeTemas1[[Tema]:[Bloque]],COLUMNS('Cronograma'!$E117:H117),FALSE),"")</f>
        <v/>
      </c>
      <c r="I117" s="177"/>
    </row>
    <row r="118" spans="3:9" x14ac:dyDescent="0.25">
      <c r="C118" s="91"/>
      <c r="E118" s="91"/>
      <c r="F118" s="181" t="str">
        <f>IFERROR(VLOOKUP('Cronograma'!$E118,ListadoDeTemas1[[Tema]:[Bloque]],COLUMNS('Cronograma'!$E118:F118),FALSE),"")</f>
        <v/>
      </c>
      <c r="G118" s="179" t="str">
        <f>IFERROR(VLOOKUP('Cronograma'!$E118,ListadoDeTemas1[[Tema]:[Bloque]],COLUMNS('Cronograma'!$E118:G118),FALSE),"")</f>
        <v/>
      </c>
      <c r="H118" s="180" t="str">
        <f>IFERROR(VLOOKUP('Cronograma'!$E118,ListadoDeTemas1[[Tema]:[Bloque]],COLUMNS('Cronograma'!$E118:H118),FALSE),"")</f>
        <v/>
      </c>
      <c r="I118" s="177"/>
    </row>
    <row r="119" spans="3:9" x14ac:dyDescent="0.25">
      <c r="C119" s="91"/>
      <c r="E119" s="91"/>
      <c r="F119" s="181" t="str">
        <f>IFERROR(VLOOKUP('Cronograma'!$E119,ListadoDeTemas1[[Tema]:[Bloque]],COLUMNS('Cronograma'!$E119:F119),FALSE),"")</f>
        <v/>
      </c>
      <c r="G119" s="179" t="str">
        <f>IFERROR(VLOOKUP('Cronograma'!$E119,ListadoDeTemas1[[Tema]:[Bloque]],COLUMNS('Cronograma'!$E119:G119),FALSE),"")</f>
        <v/>
      </c>
      <c r="H119" s="180" t="str">
        <f>IFERROR(VLOOKUP('Cronograma'!$E119,ListadoDeTemas1[[Tema]:[Bloque]],COLUMNS('Cronograma'!$E119:H119),FALSE),"")</f>
        <v/>
      </c>
      <c r="I119" s="177"/>
    </row>
    <row r="120" spans="3:9" x14ac:dyDescent="0.25">
      <c r="C120" s="91"/>
      <c r="E120" s="91"/>
      <c r="F120" s="181" t="str">
        <f>IFERROR(VLOOKUP('Cronograma'!$E120,ListadoDeTemas1[[Tema]:[Bloque]],COLUMNS('Cronograma'!$E120:F120),FALSE),"")</f>
        <v/>
      </c>
      <c r="G120" s="179" t="str">
        <f>IFERROR(VLOOKUP('Cronograma'!$E120,ListadoDeTemas1[[Tema]:[Bloque]],COLUMNS('Cronograma'!$E120:G120),FALSE),"")</f>
        <v/>
      </c>
      <c r="H120" s="180" t="str">
        <f>IFERROR(VLOOKUP('Cronograma'!$E120,ListadoDeTemas1[[Tema]:[Bloque]],COLUMNS('Cronograma'!$E120:H120),FALSE),"")</f>
        <v/>
      </c>
      <c r="I120" s="177"/>
    </row>
    <row r="121" spans="3:9" x14ac:dyDescent="0.25">
      <c r="C121" s="91"/>
      <c r="E121" s="91"/>
      <c r="F121" s="181" t="str">
        <f>IFERROR(VLOOKUP('Cronograma'!$E121,ListadoDeTemas1[[Tema]:[Bloque]],COLUMNS('Cronograma'!$E121:F121),FALSE),"")</f>
        <v/>
      </c>
      <c r="G121" s="179" t="str">
        <f>IFERROR(VLOOKUP('Cronograma'!$E121,ListadoDeTemas1[[Tema]:[Bloque]],COLUMNS('Cronograma'!$E121:G121),FALSE),"")</f>
        <v/>
      </c>
      <c r="H121" s="180" t="str">
        <f>IFERROR(VLOOKUP('Cronograma'!$E121,ListadoDeTemas1[[Tema]:[Bloque]],COLUMNS('Cronograma'!$E121:H121),FALSE),"")</f>
        <v/>
      </c>
      <c r="I121" s="177"/>
    </row>
    <row r="122" spans="3:9" x14ac:dyDescent="0.25">
      <c r="C122" s="91"/>
      <c r="E122" s="91"/>
      <c r="F122" s="181" t="str">
        <f>IFERROR(VLOOKUP('Cronograma'!$E122,ListadoDeTemas1[[Tema]:[Bloque]],COLUMNS('Cronograma'!$E122:F122),FALSE),"")</f>
        <v/>
      </c>
      <c r="G122" s="179" t="str">
        <f>IFERROR(VLOOKUP('Cronograma'!$E122,ListadoDeTemas1[[Tema]:[Bloque]],COLUMNS('Cronograma'!$E122:G122),FALSE),"")</f>
        <v/>
      </c>
      <c r="H122" s="180" t="str">
        <f>IFERROR(VLOOKUP('Cronograma'!$E122,ListadoDeTemas1[[Tema]:[Bloque]],COLUMNS('Cronograma'!$E122:H122),FALSE),"")</f>
        <v/>
      </c>
      <c r="I122" s="177"/>
    </row>
    <row r="123" spans="3:9" x14ac:dyDescent="0.25">
      <c r="C123" s="91"/>
      <c r="E123" s="91"/>
      <c r="F123" s="181" t="str">
        <f>IFERROR(VLOOKUP('Cronograma'!$E123,ListadoDeTemas1[[Tema]:[Bloque]],COLUMNS('Cronograma'!$E123:F123),FALSE),"")</f>
        <v/>
      </c>
      <c r="G123" s="179" t="str">
        <f>IFERROR(VLOOKUP('Cronograma'!$E123,ListadoDeTemas1[[Tema]:[Bloque]],COLUMNS('Cronograma'!$E123:G123),FALSE),"")</f>
        <v/>
      </c>
      <c r="H123" s="180" t="str">
        <f>IFERROR(VLOOKUP('Cronograma'!$E123,ListadoDeTemas1[[Tema]:[Bloque]],COLUMNS('Cronograma'!$E123:H123),FALSE),"")</f>
        <v/>
      </c>
      <c r="I123" s="177"/>
    </row>
    <row r="124" spans="3:9" x14ac:dyDescent="0.25">
      <c r="C124" s="91"/>
      <c r="E124" s="91"/>
      <c r="F124" s="181" t="str">
        <f>IFERROR(VLOOKUP('Cronograma'!$E124,ListadoDeTemas1[[Tema]:[Bloque]],COLUMNS('Cronograma'!$E124:F124),FALSE),"")</f>
        <v/>
      </c>
      <c r="G124" s="179" t="str">
        <f>IFERROR(VLOOKUP('Cronograma'!$E124,ListadoDeTemas1[[Tema]:[Bloque]],COLUMNS('Cronograma'!$E124:G124),FALSE),"")</f>
        <v/>
      </c>
      <c r="H124" s="180" t="str">
        <f>IFERROR(VLOOKUP('Cronograma'!$E124,ListadoDeTemas1[[Tema]:[Bloque]],COLUMNS('Cronograma'!$E124:H124),FALSE),"")</f>
        <v/>
      </c>
      <c r="I124" s="177"/>
    </row>
    <row r="125" spans="3:9" x14ac:dyDescent="0.25">
      <c r="C125" s="91"/>
      <c r="E125" s="91"/>
      <c r="F125" s="181" t="str">
        <f>IFERROR(VLOOKUP('Cronograma'!$E125,ListadoDeTemas1[[Tema]:[Bloque]],COLUMNS('Cronograma'!$E125:F125),FALSE),"")</f>
        <v/>
      </c>
      <c r="G125" s="179" t="str">
        <f>IFERROR(VLOOKUP('Cronograma'!$E125,ListadoDeTemas1[[Tema]:[Bloque]],COLUMNS('Cronograma'!$E125:G125),FALSE),"")</f>
        <v/>
      </c>
      <c r="H125" s="180" t="str">
        <f>IFERROR(VLOOKUP('Cronograma'!$E125,ListadoDeTemas1[[Tema]:[Bloque]],COLUMNS('Cronograma'!$E125:H125),FALSE),"")</f>
        <v/>
      </c>
      <c r="I125" s="177"/>
    </row>
    <row r="126" spans="3:9" x14ac:dyDescent="0.25">
      <c r="C126" s="91"/>
      <c r="E126" s="91"/>
      <c r="F126" s="181" t="str">
        <f>IFERROR(VLOOKUP('Cronograma'!$E126,ListadoDeTemas1[[Tema]:[Bloque]],COLUMNS('Cronograma'!$E126:F126),FALSE),"")</f>
        <v/>
      </c>
      <c r="G126" s="179" t="str">
        <f>IFERROR(VLOOKUP('Cronograma'!$E126,ListadoDeTemas1[[Tema]:[Bloque]],COLUMNS('Cronograma'!$E126:G126),FALSE),"")</f>
        <v/>
      </c>
      <c r="H126" s="180" t="str">
        <f>IFERROR(VLOOKUP('Cronograma'!$E126,ListadoDeTemas1[[Tema]:[Bloque]],COLUMNS('Cronograma'!$E126:H126),FALSE),"")</f>
        <v/>
      </c>
      <c r="I126" s="177"/>
    </row>
    <row r="127" spans="3:9" x14ac:dyDescent="0.25">
      <c r="C127" s="91"/>
      <c r="E127" s="91"/>
      <c r="F127" s="181" t="str">
        <f>IFERROR(VLOOKUP('Cronograma'!$E127,ListadoDeTemas1[[Tema]:[Bloque]],COLUMNS('Cronograma'!$E127:F127),FALSE),"")</f>
        <v/>
      </c>
      <c r="G127" s="179" t="str">
        <f>IFERROR(VLOOKUP('Cronograma'!$E127,ListadoDeTemas1[[Tema]:[Bloque]],COLUMNS('Cronograma'!$E127:G127),FALSE),"")</f>
        <v/>
      </c>
      <c r="H127" s="180" t="str">
        <f>IFERROR(VLOOKUP('Cronograma'!$E127,ListadoDeTemas1[[Tema]:[Bloque]],COLUMNS('Cronograma'!$E127:H127),FALSE),"")</f>
        <v/>
      </c>
      <c r="I127" s="177"/>
    </row>
    <row r="128" spans="3:9" x14ac:dyDescent="0.25">
      <c r="C128" s="91"/>
      <c r="E128" s="91"/>
      <c r="F128" s="181" t="str">
        <f>IFERROR(VLOOKUP('Cronograma'!$E128,ListadoDeTemas1[[Tema]:[Bloque]],COLUMNS('Cronograma'!$E128:F128),FALSE),"")</f>
        <v/>
      </c>
      <c r="G128" s="179" t="str">
        <f>IFERROR(VLOOKUP('Cronograma'!$E128,ListadoDeTemas1[[Tema]:[Bloque]],COLUMNS('Cronograma'!$E128:G128),FALSE),"")</f>
        <v/>
      </c>
      <c r="H128" s="180" t="str">
        <f>IFERROR(VLOOKUP('Cronograma'!$E128,ListadoDeTemas1[[Tema]:[Bloque]],COLUMNS('Cronograma'!$E128:H128),FALSE),"")</f>
        <v/>
      </c>
      <c r="I128" s="177"/>
    </row>
    <row r="129" spans="3:9" x14ac:dyDescent="0.25">
      <c r="C129" s="91"/>
      <c r="E129" s="91"/>
      <c r="F129" s="181" t="str">
        <f>IFERROR(VLOOKUP('Cronograma'!$E129,ListadoDeTemas1[[Tema]:[Bloque]],COLUMNS('Cronograma'!$E129:F129),FALSE),"")</f>
        <v/>
      </c>
      <c r="G129" s="179" t="str">
        <f>IFERROR(VLOOKUP('Cronograma'!$E129,ListadoDeTemas1[[Tema]:[Bloque]],COLUMNS('Cronograma'!$E129:G129),FALSE),"")</f>
        <v/>
      </c>
      <c r="H129" s="180" t="str">
        <f>IFERROR(VLOOKUP('Cronograma'!$E129,ListadoDeTemas1[[Tema]:[Bloque]],COLUMNS('Cronograma'!$E129:H129),FALSE),"")</f>
        <v/>
      </c>
      <c r="I129" s="177"/>
    </row>
    <row r="130" spans="3:9" x14ac:dyDescent="0.25">
      <c r="C130" s="91"/>
      <c r="E130" s="91"/>
      <c r="F130" s="181" t="str">
        <f>IFERROR(VLOOKUP('Cronograma'!$E130,ListadoDeTemas1[[Tema]:[Bloque]],COLUMNS('Cronograma'!$E130:F130),FALSE),"")</f>
        <v/>
      </c>
      <c r="G130" s="179" t="str">
        <f>IFERROR(VLOOKUP('Cronograma'!$E130,ListadoDeTemas1[[Tema]:[Bloque]],COLUMNS('Cronograma'!$E130:G130),FALSE),"")</f>
        <v/>
      </c>
      <c r="H130" s="180" t="str">
        <f>IFERROR(VLOOKUP('Cronograma'!$E130,ListadoDeTemas1[[Tema]:[Bloque]],COLUMNS('Cronograma'!$E130:H130),FALSE),"")</f>
        <v/>
      </c>
      <c r="I130" s="177"/>
    </row>
    <row r="131" spans="3:9" x14ac:dyDescent="0.25">
      <c r="C131" s="91"/>
      <c r="E131" s="91"/>
      <c r="F131" s="181" t="str">
        <f>IFERROR(VLOOKUP('Cronograma'!$E131,ListadoDeTemas1[[Tema]:[Bloque]],COLUMNS('Cronograma'!$E131:F131),FALSE),"")</f>
        <v/>
      </c>
      <c r="G131" s="179" t="str">
        <f>IFERROR(VLOOKUP('Cronograma'!$E131,ListadoDeTemas1[[Tema]:[Bloque]],COLUMNS('Cronograma'!$E131:G131),FALSE),"")</f>
        <v/>
      </c>
      <c r="H131" s="180" t="str">
        <f>IFERROR(VLOOKUP('Cronograma'!$E131,ListadoDeTemas1[[Tema]:[Bloque]],COLUMNS('Cronograma'!$E131:H131),FALSE),"")</f>
        <v/>
      </c>
      <c r="I131" s="177"/>
    </row>
    <row r="132" spans="3:9" x14ac:dyDescent="0.25">
      <c r="C132" s="91"/>
      <c r="E132" s="91"/>
      <c r="F132" s="181" t="str">
        <f>IFERROR(VLOOKUP('Cronograma'!$E132,ListadoDeTemas1[[Tema]:[Bloque]],COLUMNS('Cronograma'!$E132:F132),FALSE),"")</f>
        <v/>
      </c>
      <c r="G132" s="179" t="str">
        <f>IFERROR(VLOOKUP('Cronograma'!$E132,ListadoDeTemas1[[Tema]:[Bloque]],COLUMNS('Cronograma'!$E132:G132),FALSE),"")</f>
        <v/>
      </c>
      <c r="H132" s="180" t="str">
        <f>IFERROR(VLOOKUP('Cronograma'!$E132,ListadoDeTemas1[[Tema]:[Bloque]],COLUMNS('Cronograma'!$E132:H132),FALSE),"")</f>
        <v/>
      </c>
      <c r="I132" s="177"/>
    </row>
    <row r="133" spans="3:9" x14ac:dyDescent="0.25">
      <c r="C133" s="91"/>
      <c r="E133" s="91"/>
      <c r="F133" s="181" t="str">
        <f>IFERROR(VLOOKUP('Cronograma'!$E133,ListadoDeTemas1[[Tema]:[Bloque]],COLUMNS('Cronograma'!$E133:F133),FALSE),"")</f>
        <v/>
      </c>
      <c r="G133" s="179" t="str">
        <f>IFERROR(VLOOKUP('Cronograma'!$E133,ListadoDeTemas1[[Tema]:[Bloque]],COLUMNS('Cronograma'!$E133:G133),FALSE),"")</f>
        <v/>
      </c>
      <c r="H133" s="180" t="str">
        <f>IFERROR(VLOOKUP('Cronograma'!$E133,ListadoDeTemas1[[Tema]:[Bloque]],COLUMNS('Cronograma'!$E133:H133),FALSE),"")</f>
        <v/>
      </c>
      <c r="I133" s="177"/>
    </row>
    <row r="134" spans="3:9" x14ac:dyDescent="0.25">
      <c r="C134" s="91"/>
      <c r="E134" s="91"/>
      <c r="F134" s="181" t="str">
        <f>IFERROR(VLOOKUP('Cronograma'!$E134,ListadoDeTemas1[[Tema]:[Bloque]],COLUMNS('Cronograma'!$E134:F134),FALSE),"")</f>
        <v/>
      </c>
      <c r="G134" s="179" t="str">
        <f>IFERROR(VLOOKUP('Cronograma'!$E134,ListadoDeTemas1[[Tema]:[Bloque]],COLUMNS('Cronograma'!$E134:G134),FALSE),"")</f>
        <v/>
      </c>
      <c r="H134" s="180" t="str">
        <f>IFERROR(VLOOKUP('Cronograma'!$E134,ListadoDeTemas1[[Tema]:[Bloque]],COLUMNS('Cronograma'!$E134:H134),FALSE),"")</f>
        <v/>
      </c>
      <c r="I134" s="177"/>
    </row>
    <row r="135" spans="3:9" x14ac:dyDescent="0.25">
      <c r="C135" s="91"/>
      <c r="E135" s="91"/>
      <c r="F135" s="181" t="str">
        <f>IFERROR(VLOOKUP('Cronograma'!$E135,ListadoDeTemas1[[Tema]:[Bloque]],COLUMNS('Cronograma'!$E135:F135),FALSE),"")</f>
        <v/>
      </c>
      <c r="G135" s="179" t="str">
        <f>IFERROR(VLOOKUP('Cronograma'!$E135,ListadoDeTemas1[[Tema]:[Bloque]],COLUMNS('Cronograma'!$E135:G135),FALSE),"")</f>
        <v/>
      </c>
      <c r="H135" s="180" t="str">
        <f>IFERROR(VLOOKUP('Cronograma'!$E135,ListadoDeTemas1[[Tema]:[Bloque]],COLUMNS('Cronograma'!$E135:H135),FALSE),"")</f>
        <v/>
      </c>
      <c r="I135" s="177"/>
    </row>
    <row r="136" spans="3:9" x14ac:dyDescent="0.25">
      <c r="C136" s="91"/>
      <c r="E136" s="91"/>
      <c r="F136" s="181" t="str">
        <f>IFERROR(VLOOKUP('Cronograma'!$E136,ListadoDeTemas1[[Tema]:[Bloque]],COLUMNS('Cronograma'!$E136:F136),FALSE),"")</f>
        <v/>
      </c>
      <c r="G136" s="179" t="str">
        <f>IFERROR(VLOOKUP('Cronograma'!$E136,ListadoDeTemas1[[Tema]:[Bloque]],COLUMNS('Cronograma'!$E136:G136),FALSE),"")</f>
        <v/>
      </c>
      <c r="H136" s="180" t="str">
        <f>IFERROR(VLOOKUP('Cronograma'!$E136,ListadoDeTemas1[[Tema]:[Bloque]],COLUMNS('Cronograma'!$E136:H136),FALSE),"")</f>
        <v/>
      </c>
      <c r="I136" s="177"/>
    </row>
    <row r="137" spans="3:9" x14ac:dyDescent="0.25">
      <c r="C137" s="91"/>
      <c r="E137" s="91"/>
      <c r="F137" s="181" t="str">
        <f>IFERROR(VLOOKUP('Cronograma'!$E137,ListadoDeTemas1[[Tema]:[Bloque]],COLUMNS('Cronograma'!$E137:F137),FALSE),"")</f>
        <v/>
      </c>
      <c r="G137" s="179" t="str">
        <f>IFERROR(VLOOKUP('Cronograma'!$E137,ListadoDeTemas1[[Tema]:[Bloque]],COLUMNS('Cronograma'!$E137:G137),FALSE),"")</f>
        <v/>
      </c>
      <c r="H137" s="180" t="str">
        <f>IFERROR(VLOOKUP('Cronograma'!$E137,ListadoDeTemas1[[Tema]:[Bloque]],COLUMNS('Cronograma'!$E137:H137),FALSE),"")</f>
        <v/>
      </c>
      <c r="I137" s="177"/>
    </row>
    <row r="138" spans="3:9" x14ac:dyDescent="0.25">
      <c r="C138" s="91"/>
      <c r="E138" s="91"/>
      <c r="F138" s="181" t="str">
        <f>IFERROR(VLOOKUP('Cronograma'!$E138,ListadoDeTemas1[[Tema]:[Bloque]],COLUMNS('Cronograma'!$E138:F138),FALSE),"")</f>
        <v/>
      </c>
      <c r="G138" s="179" t="str">
        <f>IFERROR(VLOOKUP('Cronograma'!$E138,ListadoDeTemas1[[Tema]:[Bloque]],COLUMNS('Cronograma'!$E138:G138),FALSE),"")</f>
        <v/>
      </c>
      <c r="H138" s="180" t="str">
        <f>IFERROR(VLOOKUP('Cronograma'!$E138,ListadoDeTemas1[[Tema]:[Bloque]],COLUMNS('Cronograma'!$E138:H138),FALSE),"")</f>
        <v/>
      </c>
      <c r="I138" s="177"/>
    </row>
    <row r="139" spans="3:9" x14ac:dyDescent="0.25">
      <c r="C139" s="91"/>
      <c r="E139" s="91"/>
      <c r="F139" s="181" t="str">
        <f>IFERROR(VLOOKUP('Cronograma'!$E139,ListadoDeTemas1[[Tema]:[Bloque]],COLUMNS('Cronograma'!$E139:F139),FALSE),"")</f>
        <v/>
      </c>
      <c r="G139" s="179" t="str">
        <f>IFERROR(VLOOKUP('Cronograma'!$E139,ListadoDeTemas1[[Tema]:[Bloque]],COLUMNS('Cronograma'!$E139:G139),FALSE),"")</f>
        <v/>
      </c>
      <c r="H139" s="180" t="str">
        <f>IFERROR(VLOOKUP('Cronograma'!$E139,ListadoDeTemas1[[Tema]:[Bloque]],COLUMNS('Cronograma'!$E139:H139),FALSE),"")</f>
        <v/>
      </c>
      <c r="I139" s="177"/>
    </row>
    <row r="140" spans="3:9" x14ac:dyDescent="0.25">
      <c r="C140" s="91"/>
      <c r="E140" s="91"/>
      <c r="F140" s="181" t="str">
        <f>IFERROR(VLOOKUP('Cronograma'!$E140,ListadoDeTemas1[[Tema]:[Bloque]],COLUMNS('Cronograma'!$E140:F140),FALSE),"")</f>
        <v/>
      </c>
      <c r="G140" s="179" t="str">
        <f>IFERROR(VLOOKUP('Cronograma'!$E140,ListadoDeTemas1[[Tema]:[Bloque]],COLUMNS('Cronograma'!$E140:G140),FALSE),"")</f>
        <v/>
      </c>
      <c r="H140" s="180" t="str">
        <f>IFERROR(VLOOKUP('Cronograma'!$E140,ListadoDeTemas1[[Tema]:[Bloque]],COLUMNS('Cronograma'!$E140:H140),FALSE),"")</f>
        <v/>
      </c>
      <c r="I140" s="177"/>
    </row>
    <row r="141" spans="3:9" x14ac:dyDescent="0.25">
      <c r="C141" s="91"/>
      <c r="E141" s="91"/>
      <c r="F141" s="181" t="str">
        <f>IFERROR(VLOOKUP('Cronograma'!$E141,ListadoDeTemas1[[Tema]:[Bloque]],COLUMNS('Cronograma'!$E141:F141),FALSE),"")</f>
        <v/>
      </c>
      <c r="G141" s="179" t="str">
        <f>IFERROR(VLOOKUP('Cronograma'!$E141,ListadoDeTemas1[[Tema]:[Bloque]],COLUMNS('Cronograma'!$E141:G141),FALSE),"")</f>
        <v/>
      </c>
      <c r="H141" s="180" t="str">
        <f>IFERROR(VLOOKUP('Cronograma'!$E141,ListadoDeTemas1[[Tema]:[Bloque]],COLUMNS('Cronograma'!$E141:H141),FALSE),"")</f>
        <v/>
      </c>
      <c r="I141" s="177"/>
    </row>
    <row r="142" spans="3:9" x14ac:dyDescent="0.25">
      <c r="C142" s="91"/>
      <c r="E142" s="91"/>
      <c r="F142" s="181" t="str">
        <f>IFERROR(VLOOKUP('Cronograma'!$E142,ListadoDeTemas1[[Tema]:[Bloque]],COLUMNS('Cronograma'!$E142:F142),FALSE),"")</f>
        <v/>
      </c>
      <c r="G142" s="179" t="str">
        <f>IFERROR(VLOOKUP('Cronograma'!$E142,ListadoDeTemas1[[Tema]:[Bloque]],COLUMNS('Cronograma'!$E142:G142),FALSE),"")</f>
        <v/>
      </c>
      <c r="H142" s="180" t="str">
        <f>IFERROR(VLOOKUP('Cronograma'!$E142,ListadoDeTemas1[[Tema]:[Bloque]],COLUMNS('Cronograma'!$E142:H142),FALSE),"")</f>
        <v/>
      </c>
      <c r="I142" s="177"/>
    </row>
    <row r="143" spans="3:9" x14ac:dyDescent="0.25">
      <c r="C143" s="91"/>
      <c r="E143" s="91"/>
      <c r="F143" s="181" t="str">
        <f>IFERROR(VLOOKUP('Cronograma'!$E143,ListadoDeTemas1[[Tema]:[Bloque]],COLUMNS('Cronograma'!$E143:F143),FALSE),"")</f>
        <v/>
      </c>
      <c r="G143" s="179" t="str">
        <f>IFERROR(VLOOKUP('Cronograma'!$E143,ListadoDeTemas1[[Tema]:[Bloque]],COLUMNS('Cronograma'!$E143:G143),FALSE),"")</f>
        <v/>
      </c>
      <c r="H143" s="180" t="str">
        <f>IFERROR(VLOOKUP('Cronograma'!$E143,ListadoDeTemas1[[Tema]:[Bloque]],COLUMNS('Cronograma'!$E143:H143),FALSE),"")</f>
        <v/>
      </c>
      <c r="I143" s="177"/>
    </row>
    <row r="144" spans="3:9" x14ac:dyDescent="0.25">
      <c r="C144" s="91"/>
      <c r="E144" s="91"/>
      <c r="F144" s="181" t="str">
        <f>IFERROR(VLOOKUP('Cronograma'!$E144,ListadoDeTemas1[[Tema]:[Bloque]],COLUMNS('Cronograma'!$E144:F144),FALSE),"")</f>
        <v/>
      </c>
      <c r="G144" s="179" t="str">
        <f>IFERROR(VLOOKUP('Cronograma'!$E144,ListadoDeTemas1[[Tema]:[Bloque]],COLUMNS('Cronograma'!$E144:G144),FALSE),"")</f>
        <v/>
      </c>
      <c r="H144" s="180" t="str">
        <f>IFERROR(VLOOKUP('Cronograma'!$E144,ListadoDeTemas1[[Tema]:[Bloque]],COLUMNS('Cronograma'!$E144:H144),FALSE),"")</f>
        <v/>
      </c>
      <c r="I144" s="177"/>
    </row>
    <row r="145" spans="3:9" x14ac:dyDescent="0.25">
      <c r="C145" s="91"/>
      <c r="E145" s="91"/>
      <c r="F145" s="181" t="str">
        <f>IFERROR(VLOOKUP('Cronograma'!$E145,ListadoDeTemas1[[Tema]:[Bloque]],COLUMNS('Cronograma'!$E145:F145),FALSE),"")</f>
        <v/>
      </c>
      <c r="G145" s="179" t="str">
        <f>IFERROR(VLOOKUP('Cronograma'!$E145,ListadoDeTemas1[[Tema]:[Bloque]],COLUMNS('Cronograma'!$E145:G145),FALSE),"")</f>
        <v/>
      </c>
      <c r="H145" s="180" t="str">
        <f>IFERROR(VLOOKUP('Cronograma'!$E145,ListadoDeTemas1[[Tema]:[Bloque]],COLUMNS('Cronograma'!$E145:H145),FALSE),"")</f>
        <v/>
      </c>
      <c r="I145" s="177"/>
    </row>
    <row r="146" spans="3:9" x14ac:dyDescent="0.25">
      <c r="C146" s="91"/>
      <c r="E146" s="91"/>
      <c r="F146" s="181" t="str">
        <f>IFERROR(VLOOKUP('Cronograma'!$E146,ListadoDeTemas1[[Tema]:[Bloque]],COLUMNS('Cronograma'!$E146:F146),FALSE),"")</f>
        <v/>
      </c>
      <c r="G146" s="179" t="str">
        <f>IFERROR(VLOOKUP('Cronograma'!$E146,ListadoDeTemas1[[Tema]:[Bloque]],COLUMNS('Cronograma'!$E146:G146),FALSE),"")</f>
        <v/>
      </c>
      <c r="H146" s="180" t="str">
        <f>IFERROR(VLOOKUP('Cronograma'!$E146,ListadoDeTemas1[[Tema]:[Bloque]],COLUMNS('Cronograma'!$E146:H146),FALSE),"")</f>
        <v/>
      </c>
      <c r="I146" s="177"/>
    </row>
    <row r="147" spans="3:9" x14ac:dyDescent="0.25">
      <c r="C147" s="91"/>
      <c r="E147" s="91"/>
      <c r="F147" s="181" t="str">
        <f>IFERROR(VLOOKUP('Cronograma'!$E147,ListadoDeTemas1[[Tema]:[Bloque]],COLUMNS('Cronograma'!$E147:F147),FALSE),"")</f>
        <v/>
      </c>
      <c r="G147" s="179" t="str">
        <f>IFERROR(VLOOKUP('Cronograma'!$E147,ListadoDeTemas1[[Tema]:[Bloque]],COLUMNS('Cronograma'!$E147:G147),FALSE),"")</f>
        <v/>
      </c>
      <c r="H147" s="180" t="str">
        <f>IFERROR(VLOOKUP('Cronograma'!$E147,ListadoDeTemas1[[Tema]:[Bloque]],COLUMNS('Cronograma'!$E147:H147),FALSE),"")</f>
        <v/>
      </c>
      <c r="I147" s="177"/>
    </row>
    <row r="148" spans="3:9" x14ac:dyDescent="0.25">
      <c r="C148" s="91"/>
      <c r="E148" s="91"/>
      <c r="F148" s="181" t="str">
        <f>IFERROR(VLOOKUP('Cronograma'!$E148,ListadoDeTemas1[[Tema]:[Bloque]],COLUMNS('Cronograma'!$E148:F148),FALSE),"")</f>
        <v/>
      </c>
      <c r="G148" s="179" t="str">
        <f>IFERROR(VLOOKUP('Cronograma'!$E148,ListadoDeTemas1[[Tema]:[Bloque]],COLUMNS('Cronograma'!$E148:G148),FALSE),"")</f>
        <v/>
      </c>
      <c r="H148" s="180" t="str">
        <f>IFERROR(VLOOKUP('Cronograma'!$E148,ListadoDeTemas1[[Tema]:[Bloque]],COLUMNS('Cronograma'!$E148:H148),FALSE),"")</f>
        <v/>
      </c>
      <c r="I148" s="177"/>
    </row>
    <row r="149" spans="3:9" x14ac:dyDescent="0.25">
      <c r="C149" s="91"/>
      <c r="E149" s="91"/>
      <c r="F149" s="181" t="str">
        <f>IFERROR(VLOOKUP('Cronograma'!$E149,ListadoDeTemas1[[Tema]:[Bloque]],COLUMNS('Cronograma'!$E149:F149),FALSE),"")</f>
        <v/>
      </c>
      <c r="G149" s="179" t="str">
        <f>IFERROR(VLOOKUP('Cronograma'!$E149,ListadoDeTemas1[[Tema]:[Bloque]],COLUMNS('Cronograma'!$E149:G149),FALSE),"")</f>
        <v/>
      </c>
      <c r="H149" s="180" t="str">
        <f>IFERROR(VLOOKUP('Cronograma'!$E149,ListadoDeTemas1[[Tema]:[Bloque]],COLUMNS('Cronograma'!$E149:H149),FALSE),"")</f>
        <v/>
      </c>
      <c r="I149" s="177"/>
    </row>
    <row r="150" spans="3:9" x14ac:dyDescent="0.25">
      <c r="C150" s="91"/>
      <c r="E150" s="91"/>
      <c r="F150" s="181" t="str">
        <f>IFERROR(VLOOKUP('Cronograma'!$E150,ListadoDeTemas1[[Tema]:[Bloque]],COLUMNS('Cronograma'!$E150:F150),FALSE),"")</f>
        <v/>
      </c>
      <c r="G150" s="179" t="str">
        <f>IFERROR(VLOOKUP('Cronograma'!$E150,ListadoDeTemas1[[Tema]:[Bloque]],COLUMNS('Cronograma'!$E150:G150),FALSE),"")</f>
        <v/>
      </c>
      <c r="H150" s="180" t="str">
        <f>IFERROR(VLOOKUP('Cronograma'!$E150,ListadoDeTemas1[[Tema]:[Bloque]],COLUMNS('Cronograma'!$E150:H150),FALSE),"")</f>
        <v/>
      </c>
      <c r="I150" s="177"/>
    </row>
    <row r="151" spans="3:9" x14ac:dyDescent="0.25">
      <c r="C151" s="91"/>
      <c r="E151" s="91"/>
      <c r="F151" s="181" t="str">
        <f>IFERROR(VLOOKUP('Cronograma'!$E151,ListadoDeTemas1[[Tema]:[Bloque]],COLUMNS('Cronograma'!$E151:F151),FALSE),"")</f>
        <v/>
      </c>
      <c r="G151" s="179" t="str">
        <f>IFERROR(VLOOKUP('Cronograma'!$E151,ListadoDeTemas1[[Tema]:[Bloque]],COLUMNS('Cronograma'!$E151:G151),FALSE),"")</f>
        <v/>
      </c>
      <c r="H151" s="180" t="str">
        <f>IFERROR(VLOOKUP('Cronograma'!$E151,ListadoDeTemas1[[Tema]:[Bloque]],COLUMNS('Cronograma'!$E151:H151),FALSE),"")</f>
        <v/>
      </c>
      <c r="I151" s="177"/>
    </row>
    <row r="152" spans="3:9" x14ac:dyDescent="0.25">
      <c r="C152" s="91"/>
      <c r="E152" s="91"/>
      <c r="F152" s="181" t="str">
        <f>IFERROR(VLOOKUP('Cronograma'!$E152,ListadoDeTemas1[[Tema]:[Bloque]],COLUMNS('Cronograma'!$E152:F152),FALSE),"")</f>
        <v/>
      </c>
      <c r="G152" s="179" t="str">
        <f>IFERROR(VLOOKUP('Cronograma'!$E152,ListadoDeTemas1[[Tema]:[Bloque]],COLUMNS('Cronograma'!$E152:G152),FALSE),"")</f>
        <v/>
      </c>
      <c r="H152" s="180" t="str">
        <f>IFERROR(VLOOKUP('Cronograma'!$E152,ListadoDeTemas1[[Tema]:[Bloque]],COLUMNS('Cronograma'!$E152:H152),FALSE),"")</f>
        <v/>
      </c>
      <c r="I152" s="177"/>
    </row>
    <row r="153" spans="3:9" x14ac:dyDescent="0.25">
      <c r="C153" s="91"/>
      <c r="E153" s="91"/>
      <c r="F153" s="181" t="str">
        <f>IFERROR(VLOOKUP('Cronograma'!$E153,ListadoDeTemas1[[Tema]:[Bloque]],COLUMNS('Cronograma'!$E153:F153),FALSE),"")</f>
        <v/>
      </c>
      <c r="G153" s="179" t="str">
        <f>IFERROR(VLOOKUP('Cronograma'!$E153,ListadoDeTemas1[[Tema]:[Bloque]],COLUMNS('Cronograma'!$E153:G153),FALSE),"")</f>
        <v/>
      </c>
      <c r="H153" s="180" t="str">
        <f>IFERROR(VLOOKUP('Cronograma'!$E153,ListadoDeTemas1[[Tema]:[Bloque]],COLUMNS('Cronograma'!$E153:H153),FALSE),"")</f>
        <v/>
      </c>
      <c r="I153" s="177"/>
    </row>
    <row r="154" spans="3:9" x14ac:dyDescent="0.25">
      <c r="C154" s="91"/>
      <c r="E154" s="91"/>
      <c r="F154" s="181" t="str">
        <f>IFERROR(VLOOKUP('Cronograma'!$E154,ListadoDeTemas1[[Tema]:[Bloque]],COLUMNS('Cronograma'!$E154:F154),FALSE),"")</f>
        <v/>
      </c>
      <c r="G154" s="179" t="str">
        <f>IFERROR(VLOOKUP('Cronograma'!$E154,ListadoDeTemas1[[Tema]:[Bloque]],COLUMNS('Cronograma'!$E154:G154),FALSE),"")</f>
        <v/>
      </c>
      <c r="H154" s="180" t="str">
        <f>IFERROR(VLOOKUP('Cronograma'!$E154,ListadoDeTemas1[[Tema]:[Bloque]],COLUMNS('Cronograma'!$E154:H154),FALSE),"")</f>
        <v/>
      </c>
      <c r="I154" s="177"/>
    </row>
    <row r="155" spans="3:9" x14ac:dyDescent="0.25">
      <c r="C155" s="91"/>
      <c r="E155" s="91"/>
      <c r="F155" s="181" t="str">
        <f>IFERROR(VLOOKUP('Cronograma'!$E155,ListadoDeTemas1[[Tema]:[Bloque]],COLUMNS('Cronograma'!$E155:F155),FALSE),"")</f>
        <v/>
      </c>
      <c r="G155" s="179" t="str">
        <f>IFERROR(VLOOKUP('Cronograma'!$E155,ListadoDeTemas1[[Tema]:[Bloque]],COLUMNS('Cronograma'!$E155:G155),FALSE),"")</f>
        <v/>
      </c>
      <c r="H155" s="180" t="str">
        <f>IFERROR(VLOOKUP('Cronograma'!$E155,ListadoDeTemas1[[Tema]:[Bloque]],COLUMNS('Cronograma'!$E155:H155),FALSE),"")</f>
        <v/>
      </c>
      <c r="I155" s="177"/>
    </row>
    <row r="156" spans="3:9" x14ac:dyDescent="0.25">
      <c r="C156" s="91"/>
      <c r="E156" s="91"/>
      <c r="F156" s="181" t="str">
        <f>IFERROR(VLOOKUP('Cronograma'!$E156,ListadoDeTemas1[[Tema]:[Bloque]],COLUMNS('Cronograma'!$E156:F156),FALSE),"")</f>
        <v/>
      </c>
      <c r="G156" s="179" t="str">
        <f>IFERROR(VLOOKUP('Cronograma'!$E156,ListadoDeTemas1[[Tema]:[Bloque]],COLUMNS('Cronograma'!$E156:G156),FALSE),"")</f>
        <v/>
      </c>
      <c r="H156" s="180" t="str">
        <f>IFERROR(VLOOKUP('Cronograma'!$E156,ListadoDeTemas1[[Tema]:[Bloque]],COLUMNS('Cronograma'!$E156:H156),FALSE),"")</f>
        <v/>
      </c>
      <c r="I156" s="177"/>
    </row>
    <row r="157" spans="3:9" x14ac:dyDescent="0.25">
      <c r="C157" s="91"/>
      <c r="E157" s="91"/>
      <c r="F157" s="181" t="str">
        <f>IFERROR(VLOOKUP('Cronograma'!$E157,ListadoDeTemas1[[Tema]:[Bloque]],COLUMNS('Cronograma'!$E157:F157),FALSE),"")</f>
        <v/>
      </c>
      <c r="G157" s="179" t="str">
        <f>IFERROR(VLOOKUP('Cronograma'!$E157,ListadoDeTemas1[[Tema]:[Bloque]],COLUMNS('Cronograma'!$E157:G157),FALSE),"")</f>
        <v/>
      </c>
      <c r="H157" s="180" t="str">
        <f>IFERROR(VLOOKUP('Cronograma'!$E157,ListadoDeTemas1[[Tema]:[Bloque]],COLUMNS('Cronograma'!$E157:H157),FALSE),"")</f>
        <v/>
      </c>
      <c r="I157" s="177"/>
    </row>
    <row r="158" spans="3:9" x14ac:dyDescent="0.25">
      <c r="C158" s="91"/>
      <c r="E158" s="91"/>
      <c r="F158" s="181" t="str">
        <f>IFERROR(VLOOKUP('Cronograma'!$E158,ListadoDeTemas1[[Tema]:[Bloque]],COLUMNS('Cronograma'!$E158:F158),FALSE),"")</f>
        <v/>
      </c>
      <c r="G158" s="179" t="str">
        <f>IFERROR(VLOOKUP('Cronograma'!$E158,ListadoDeTemas1[[Tema]:[Bloque]],COLUMNS('Cronograma'!$E158:G158),FALSE),"")</f>
        <v/>
      </c>
      <c r="H158" s="180" t="str">
        <f>IFERROR(VLOOKUP('Cronograma'!$E158,ListadoDeTemas1[[Tema]:[Bloque]],COLUMNS('Cronograma'!$E158:H158),FALSE),"")</f>
        <v/>
      </c>
      <c r="I158" s="177"/>
    </row>
    <row r="159" spans="3:9" x14ac:dyDescent="0.25">
      <c r="C159" s="91"/>
      <c r="E159" s="91"/>
      <c r="F159" s="181" t="str">
        <f>IFERROR(VLOOKUP('Cronograma'!$E159,ListadoDeTemas1[[Tema]:[Bloque]],COLUMNS('Cronograma'!$E159:F159),FALSE),"")</f>
        <v/>
      </c>
      <c r="G159" s="179" t="str">
        <f>IFERROR(VLOOKUP('Cronograma'!$E159,ListadoDeTemas1[[Tema]:[Bloque]],COLUMNS('Cronograma'!$E159:G159),FALSE),"")</f>
        <v/>
      </c>
      <c r="H159" s="180" t="str">
        <f>IFERROR(VLOOKUP('Cronograma'!$E159,ListadoDeTemas1[[Tema]:[Bloque]],COLUMNS('Cronograma'!$E159:H159),FALSE),"")</f>
        <v/>
      </c>
      <c r="I159" s="177"/>
    </row>
    <row r="160" spans="3:9" x14ac:dyDescent="0.25">
      <c r="C160" s="91"/>
      <c r="E160" s="91"/>
      <c r="F160" s="181" t="str">
        <f>IFERROR(VLOOKUP('Cronograma'!$E160,ListadoDeTemas1[[Tema]:[Bloque]],COLUMNS('Cronograma'!$E160:F160),FALSE),"")</f>
        <v/>
      </c>
      <c r="G160" s="179" t="str">
        <f>IFERROR(VLOOKUP('Cronograma'!$E160,ListadoDeTemas1[[Tema]:[Bloque]],COLUMNS('Cronograma'!$E160:G160),FALSE),"")</f>
        <v/>
      </c>
      <c r="H160" s="180" t="str">
        <f>IFERROR(VLOOKUP('Cronograma'!$E160,ListadoDeTemas1[[Tema]:[Bloque]],COLUMNS('Cronograma'!$E160:H160),FALSE),"")</f>
        <v/>
      </c>
      <c r="I160" s="177"/>
    </row>
    <row r="161" spans="3:9" x14ac:dyDescent="0.25">
      <c r="C161" s="91"/>
      <c r="E161" s="91"/>
      <c r="F161" s="181" t="str">
        <f>IFERROR(VLOOKUP('Cronograma'!$E161,ListadoDeTemas1[[Tema]:[Bloque]],COLUMNS('Cronograma'!$E161:F161),FALSE),"")</f>
        <v/>
      </c>
      <c r="G161" s="179" t="str">
        <f>IFERROR(VLOOKUP('Cronograma'!$E161,ListadoDeTemas1[[Tema]:[Bloque]],COLUMNS('Cronograma'!$E161:G161),FALSE),"")</f>
        <v/>
      </c>
      <c r="H161" s="180" t="str">
        <f>IFERROR(VLOOKUP('Cronograma'!$E161,ListadoDeTemas1[[Tema]:[Bloque]],COLUMNS('Cronograma'!$E161:H161),FALSE),"")</f>
        <v/>
      </c>
      <c r="I161" s="177"/>
    </row>
    <row r="162" spans="3:9" x14ac:dyDescent="0.25">
      <c r="C162" s="91"/>
      <c r="E162" s="91"/>
      <c r="F162" s="181" t="str">
        <f>IFERROR(VLOOKUP('Cronograma'!$E162,ListadoDeTemas1[[Tema]:[Bloque]],COLUMNS('Cronograma'!$E162:F162),FALSE),"")</f>
        <v/>
      </c>
      <c r="G162" s="179" t="str">
        <f>IFERROR(VLOOKUP('Cronograma'!$E162,ListadoDeTemas1[[Tema]:[Bloque]],COLUMNS('Cronograma'!$E162:G162),FALSE),"")</f>
        <v/>
      </c>
      <c r="H162" s="180" t="str">
        <f>IFERROR(VLOOKUP('Cronograma'!$E162,ListadoDeTemas1[[Tema]:[Bloque]],COLUMNS('Cronograma'!$E162:H162),FALSE),"")</f>
        <v/>
      </c>
      <c r="I162" s="177"/>
    </row>
    <row r="163" spans="3:9" x14ac:dyDescent="0.25">
      <c r="C163" s="91"/>
      <c r="E163" s="91"/>
      <c r="F163" s="181" t="str">
        <f>IFERROR(VLOOKUP('Cronograma'!$E163,ListadoDeTemas1[[Tema]:[Bloque]],COLUMNS('Cronograma'!$E163:F163),FALSE),"")</f>
        <v/>
      </c>
      <c r="G163" s="179" t="str">
        <f>IFERROR(VLOOKUP('Cronograma'!$E163,ListadoDeTemas1[[Tema]:[Bloque]],COLUMNS('Cronograma'!$E163:G163),FALSE),"")</f>
        <v/>
      </c>
      <c r="H163" s="180" t="str">
        <f>IFERROR(VLOOKUP('Cronograma'!$E163,ListadoDeTemas1[[Tema]:[Bloque]],COLUMNS('Cronograma'!$E163:H163),FALSE),"")</f>
        <v/>
      </c>
      <c r="I163" s="177"/>
    </row>
    <row r="164" spans="3:9" x14ac:dyDescent="0.25">
      <c r="C164" s="91"/>
      <c r="E164" s="91"/>
      <c r="F164" s="181" t="str">
        <f>IFERROR(VLOOKUP('Cronograma'!$E164,ListadoDeTemas1[[Tema]:[Bloque]],COLUMNS('Cronograma'!$E164:F164),FALSE),"")</f>
        <v/>
      </c>
      <c r="G164" s="179" t="str">
        <f>IFERROR(VLOOKUP('Cronograma'!$E164,ListadoDeTemas1[[Tema]:[Bloque]],COLUMNS('Cronograma'!$E164:G164),FALSE),"")</f>
        <v/>
      </c>
      <c r="H164" s="180" t="str">
        <f>IFERROR(VLOOKUP('Cronograma'!$E164,ListadoDeTemas1[[Tema]:[Bloque]],COLUMNS('Cronograma'!$E164:H164),FALSE),"")</f>
        <v/>
      </c>
      <c r="I164" s="177"/>
    </row>
    <row r="165" spans="3:9" x14ac:dyDescent="0.25">
      <c r="C165" s="91"/>
      <c r="E165" s="91"/>
      <c r="F165" s="181" t="str">
        <f>IFERROR(VLOOKUP('Cronograma'!$E165,ListadoDeTemas1[[Tema]:[Bloque]],COLUMNS('Cronograma'!$E165:F165),FALSE),"")</f>
        <v/>
      </c>
      <c r="G165" s="179" t="str">
        <f>IFERROR(VLOOKUP('Cronograma'!$E165,ListadoDeTemas1[[Tema]:[Bloque]],COLUMNS('Cronograma'!$E165:G165),FALSE),"")</f>
        <v/>
      </c>
      <c r="H165" s="180" t="str">
        <f>IFERROR(VLOOKUP('Cronograma'!$E165,ListadoDeTemas1[[Tema]:[Bloque]],COLUMNS('Cronograma'!$E165:H165),FALSE),"")</f>
        <v/>
      </c>
      <c r="I165" s="177"/>
    </row>
    <row r="166" spans="3:9" x14ac:dyDescent="0.25">
      <c r="C166" s="91"/>
      <c r="E166" s="91"/>
      <c r="F166" s="181" t="str">
        <f>IFERROR(VLOOKUP('Cronograma'!$E166,ListadoDeTemas1[[Tema]:[Bloque]],COLUMNS('Cronograma'!$E166:F166),FALSE),"")</f>
        <v/>
      </c>
      <c r="G166" s="179" t="str">
        <f>IFERROR(VLOOKUP('Cronograma'!$E166,ListadoDeTemas1[[Tema]:[Bloque]],COLUMNS('Cronograma'!$E166:G166),FALSE),"")</f>
        <v/>
      </c>
      <c r="H166" s="180" t="str">
        <f>IFERROR(VLOOKUP('Cronograma'!$E166,ListadoDeTemas1[[Tema]:[Bloque]],COLUMNS('Cronograma'!$E166:H166),FALSE),"")</f>
        <v/>
      </c>
      <c r="I166" s="177"/>
    </row>
    <row r="167" spans="3:9" x14ac:dyDescent="0.25">
      <c r="C167" s="91"/>
      <c r="E167" s="91"/>
      <c r="F167" s="181" t="str">
        <f>IFERROR(VLOOKUP('Cronograma'!$E167,ListadoDeTemas1[[Tema]:[Bloque]],COLUMNS('Cronograma'!$E167:F167),FALSE),"")</f>
        <v/>
      </c>
      <c r="G167" s="179" t="str">
        <f>IFERROR(VLOOKUP('Cronograma'!$E167,ListadoDeTemas1[[Tema]:[Bloque]],COLUMNS('Cronograma'!$E167:G167),FALSE),"")</f>
        <v/>
      </c>
      <c r="H167" s="180" t="str">
        <f>IFERROR(VLOOKUP('Cronograma'!$E167,ListadoDeTemas1[[Tema]:[Bloque]],COLUMNS('Cronograma'!$E167:H167),FALSE),"")</f>
        <v/>
      </c>
      <c r="I167" s="177"/>
    </row>
    <row r="168" spans="3:9" x14ac:dyDescent="0.25">
      <c r="C168" s="91"/>
      <c r="E168" s="91"/>
      <c r="F168" s="181" t="str">
        <f>IFERROR(VLOOKUP('Cronograma'!$E168,ListadoDeTemas1[[Tema]:[Bloque]],COLUMNS('Cronograma'!$E168:F168),FALSE),"")</f>
        <v/>
      </c>
      <c r="G168" s="179" t="str">
        <f>IFERROR(VLOOKUP('Cronograma'!$E168,ListadoDeTemas1[[Tema]:[Bloque]],COLUMNS('Cronograma'!$E168:G168),FALSE),"")</f>
        <v/>
      </c>
      <c r="H168" s="180" t="str">
        <f>IFERROR(VLOOKUP('Cronograma'!$E168,ListadoDeTemas1[[Tema]:[Bloque]],COLUMNS('Cronograma'!$E168:H168),FALSE),"")</f>
        <v/>
      </c>
      <c r="I168" s="177"/>
    </row>
    <row r="169" spans="3:9" x14ac:dyDescent="0.25">
      <c r="C169" s="91"/>
      <c r="E169" s="91"/>
      <c r="F169" s="181" t="str">
        <f>IFERROR(VLOOKUP('Cronograma'!$E169,ListadoDeTemas1[[Tema]:[Bloque]],COLUMNS('Cronograma'!$E169:F169),FALSE),"")</f>
        <v/>
      </c>
      <c r="G169" s="179" t="str">
        <f>IFERROR(VLOOKUP('Cronograma'!$E169,ListadoDeTemas1[[Tema]:[Bloque]],COLUMNS('Cronograma'!$E169:G169),FALSE),"")</f>
        <v/>
      </c>
      <c r="H169" s="180" t="str">
        <f>IFERROR(VLOOKUP('Cronograma'!$E169,ListadoDeTemas1[[Tema]:[Bloque]],COLUMNS('Cronograma'!$E169:H169),FALSE),"")</f>
        <v/>
      </c>
      <c r="I169" s="177"/>
    </row>
    <row r="170" spans="3:9" x14ac:dyDescent="0.25">
      <c r="C170" s="91"/>
      <c r="E170" s="91"/>
      <c r="F170" s="181" t="str">
        <f>IFERROR(VLOOKUP('Cronograma'!$E170,ListadoDeTemas1[[Tema]:[Bloque]],COLUMNS('Cronograma'!$E170:F170),FALSE),"")</f>
        <v/>
      </c>
      <c r="G170" s="179" t="str">
        <f>IFERROR(VLOOKUP('Cronograma'!$E170,ListadoDeTemas1[[Tema]:[Bloque]],COLUMNS('Cronograma'!$E170:G170),FALSE),"")</f>
        <v/>
      </c>
      <c r="H170" s="180" t="str">
        <f>IFERROR(VLOOKUP('Cronograma'!$E170,ListadoDeTemas1[[Tema]:[Bloque]],COLUMNS('Cronograma'!$E170:H170),FALSE),"")</f>
        <v/>
      </c>
      <c r="I170" s="177"/>
    </row>
    <row r="171" spans="3:9" x14ac:dyDescent="0.25">
      <c r="C171" s="91"/>
      <c r="E171" s="91"/>
      <c r="F171" s="181" t="str">
        <f>IFERROR(VLOOKUP('Cronograma'!$E171,ListadoDeTemas1[[Tema]:[Bloque]],COLUMNS('Cronograma'!$E171:F171),FALSE),"")</f>
        <v/>
      </c>
      <c r="G171" s="179" t="str">
        <f>IFERROR(VLOOKUP('Cronograma'!$E171,ListadoDeTemas1[[Tema]:[Bloque]],COLUMNS('Cronograma'!$E171:G171),FALSE),"")</f>
        <v/>
      </c>
      <c r="H171" s="180" t="str">
        <f>IFERROR(VLOOKUP('Cronograma'!$E171,ListadoDeTemas1[[Tema]:[Bloque]],COLUMNS('Cronograma'!$E171:H171),FALSE),"")</f>
        <v/>
      </c>
      <c r="I171" s="177"/>
    </row>
    <row r="172" spans="3:9" x14ac:dyDescent="0.25">
      <c r="C172" s="91"/>
      <c r="E172" s="91"/>
      <c r="F172" s="181" t="str">
        <f>IFERROR(VLOOKUP('Cronograma'!$E172,ListadoDeTemas1[[Tema]:[Bloque]],COLUMNS('Cronograma'!$E172:F172),FALSE),"")</f>
        <v/>
      </c>
      <c r="G172" s="179" t="str">
        <f>IFERROR(VLOOKUP('Cronograma'!$E172,ListadoDeTemas1[[Tema]:[Bloque]],COLUMNS('Cronograma'!$E172:G172),FALSE),"")</f>
        <v/>
      </c>
      <c r="H172" s="180" t="str">
        <f>IFERROR(VLOOKUP('Cronograma'!$E172,ListadoDeTemas1[[Tema]:[Bloque]],COLUMNS('Cronograma'!$E172:H172),FALSE),"")</f>
        <v/>
      </c>
      <c r="I172" s="177"/>
    </row>
    <row r="173" spans="3:9" x14ac:dyDescent="0.25">
      <c r="C173" s="91"/>
      <c r="E173" s="91"/>
      <c r="F173" s="181" t="str">
        <f>IFERROR(VLOOKUP('Cronograma'!$E173,ListadoDeTemas1[[Tema]:[Bloque]],COLUMNS('Cronograma'!$E173:F173),FALSE),"")</f>
        <v/>
      </c>
      <c r="G173" s="179" t="str">
        <f>IFERROR(VLOOKUP('Cronograma'!$E173,ListadoDeTemas1[[Tema]:[Bloque]],COLUMNS('Cronograma'!$E173:G173),FALSE),"")</f>
        <v/>
      </c>
      <c r="H173" s="180" t="str">
        <f>IFERROR(VLOOKUP('Cronograma'!$E173,ListadoDeTemas1[[Tema]:[Bloque]],COLUMNS('Cronograma'!$E173:H173),FALSE),"")</f>
        <v/>
      </c>
      <c r="I173" s="177"/>
    </row>
    <row r="174" spans="3:9" x14ac:dyDescent="0.25">
      <c r="C174" s="91"/>
      <c r="E174" s="91"/>
      <c r="F174" s="181" t="str">
        <f>IFERROR(VLOOKUP('Cronograma'!$E174,ListadoDeTemas1[[Tema]:[Bloque]],COLUMNS('Cronograma'!$E174:F174),FALSE),"")</f>
        <v/>
      </c>
      <c r="G174" s="179" t="str">
        <f>IFERROR(VLOOKUP('Cronograma'!$E174,ListadoDeTemas1[[Tema]:[Bloque]],COLUMNS('Cronograma'!$E174:G174),FALSE),"")</f>
        <v/>
      </c>
      <c r="H174" s="180" t="str">
        <f>IFERROR(VLOOKUP('Cronograma'!$E174,ListadoDeTemas1[[Tema]:[Bloque]],COLUMNS('Cronograma'!$E174:H174),FALSE),"")</f>
        <v/>
      </c>
      <c r="I174" s="177"/>
    </row>
    <row r="175" spans="3:9" x14ac:dyDescent="0.25">
      <c r="C175" s="91"/>
      <c r="E175" s="91"/>
      <c r="F175" s="181" t="str">
        <f>IFERROR(VLOOKUP('Cronograma'!$E175,ListadoDeTemas1[[Tema]:[Bloque]],COLUMNS('Cronograma'!$E175:F175),FALSE),"")</f>
        <v/>
      </c>
      <c r="G175" s="179" t="str">
        <f>IFERROR(VLOOKUP('Cronograma'!$E175,ListadoDeTemas1[[Tema]:[Bloque]],COLUMNS('Cronograma'!$E175:G175),FALSE),"")</f>
        <v/>
      </c>
      <c r="H175" s="180" t="str">
        <f>IFERROR(VLOOKUP('Cronograma'!$E175,ListadoDeTemas1[[Tema]:[Bloque]],COLUMNS('Cronograma'!$E175:H175),FALSE),"")</f>
        <v/>
      </c>
      <c r="I175" s="177"/>
    </row>
    <row r="176" spans="3:9" x14ac:dyDescent="0.25">
      <c r="C176" s="91"/>
      <c r="E176" s="91"/>
      <c r="F176" s="181" t="str">
        <f>IFERROR(VLOOKUP('Cronograma'!$E176,ListadoDeTemas1[[Tema]:[Bloque]],COLUMNS('Cronograma'!$E176:F176),FALSE),"")</f>
        <v/>
      </c>
      <c r="G176" s="179" t="str">
        <f>IFERROR(VLOOKUP('Cronograma'!$E176,ListadoDeTemas1[[Tema]:[Bloque]],COLUMNS('Cronograma'!$E176:G176),FALSE),"")</f>
        <v/>
      </c>
      <c r="H176" s="180" t="str">
        <f>IFERROR(VLOOKUP('Cronograma'!$E176,ListadoDeTemas1[[Tema]:[Bloque]],COLUMNS('Cronograma'!$E176:H176),FALSE),"")</f>
        <v/>
      </c>
      <c r="I176" s="177"/>
    </row>
    <row r="177" spans="3:9" x14ac:dyDescent="0.25">
      <c r="C177" s="91"/>
      <c r="E177" s="91"/>
      <c r="F177" s="181" t="str">
        <f>IFERROR(VLOOKUP('Cronograma'!$E177,ListadoDeTemas1[[Tema]:[Bloque]],COLUMNS('Cronograma'!$E177:F177),FALSE),"")</f>
        <v/>
      </c>
      <c r="G177" s="179" t="str">
        <f>IFERROR(VLOOKUP('Cronograma'!$E177,ListadoDeTemas1[[Tema]:[Bloque]],COLUMNS('Cronograma'!$E177:G177),FALSE),"")</f>
        <v/>
      </c>
      <c r="H177" s="180" t="str">
        <f>IFERROR(VLOOKUP('Cronograma'!$E177,ListadoDeTemas1[[Tema]:[Bloque]],COLUMNS('Cronograma'!$E177:H177),FALSE),"")</f>
        <v/>
      </c>
      <c r="I177" s="177"/>
    </row>
    <row r="178" spans="3:9" x14ac:dyDescent="0.25">
      <c r="C178" s="91"/>
      <c r="E178" s="91"/>
      <c r="F178" s="181" t="str">
        <f>IFERROR(VLOOKUP('Cronograma'!$E178,ListadoDeTemas1[[Tema]:[Bloque]],COLUMNS('Cronograma'!$E178:F178),FALSE),"")</f>
        <v/>
      </c>
      <c r="G178" s="179" t="str">
        <f>IFERROR(VLOOKUP('Cronograma'!$E178,ListadoDeTemas1[[Tema]:[Bloque]],COLUMNS('Cronograma'!$E178:G178),FALSE),"")</f>
        <v/>
      </c>
      <c r="H178" s="180" t="str">
        <f>IFERROR(VLOOKUP('Cronograma'!$E178,ListadoDeTemas1[[Tema]:[Bloque]],COLUMNS('Cronograma'!$E178:H178),FALSE),"")</f>
        <v/>
      </c>
      <c r="I178" s="177"/>
    </row>
    <row r="179" spans="3:9" x14ac:dyDescent="0.25">
      <c r="C179" s="91"/>
      <c r="E179" s="91"/>
      <c r="F179" s="181" t="str">
        <f>IFERROR(VLOOKUP('Cronograma'!$E179,ListadoDeTemas1[[Tema]:[Bloque]],COLUMNS('Cronograma'!$E179:F179),FALSE),"")</f>
        <v/>
      </c>
      <c r="G179" s="182"/>
      <c r="H179" s="183"/>
      <c r="I179" s="177"/>
    </row>
  </sheetData>
  <sheetProtection sheet="1" objects="1" scenarios="1" insertColumns="0" insertRows="0" selectLockedCells="1"/>
  <protectedRanges>
    <protectedRange sqref="C2:I1048576" name="Rango1"/>
  </protectedRanges>
  <conditionalFormatting sqref="G2:H1048576">
    <cfRule type="containsText" dxfId="40" priority="1" operator="containsText" text="Derecho administrativo y organización del Estado">
      <formula>NOT(ISERROR(SEARCH("Derecho administrativo y organización del Estado",G2)))</formula>
    </cfRule>
    <cfRule type="containsText" dxfId="39" priority="2" operator="containsText" text="Marketing internacional y técnicas comerciales">
      <formula>NOT(ISERROR(SEARCH("Marketing internacional y técnicas comerciales",G2)))</formula>
    </cfRule>
    <cfRule type="containsText" dxfId="38" priority="3" operator="containsText" text="Econometría">
      <formula>NOT(ISERROR(SEARCH("Econometría",G2)))</formula>
    </cfRule>
    <cfRule type="containsText" dxfId="37" priority="4" operator="containsText" text="Federalismo fiscal y haciendas territoriales">
      <formula>NOT(ISERROR(SEARCH("Federalismo fiscal y haciendas territoriales",G2)))</formula>
    </cfRule>
    <cfRule type="containsText" dxfId="36" priority="5" operator="containsText" text="Política medioambiental">
      <formula>NOT(ISERROR(SEARCH("Política medioambiental",G2)))</formula>
    </cfRule>
    <cfRule type="containsText" dxfId="35" priority="6" operator="containsText" text="Construcción">
      <formula>NOT(ISERROR(SEARCH("Construcción",G2)))</formula>
    </cfRule>
    <cfRule type="containsText" dxfId="34" priority="7" operator="containsText" text="Industria">
      <formula>NOT(ISERROR(SEARCH("Industria",G2)))</formula>
    </cfRule>
    <cfRule type="containsText" dxfId="33" priority="8" operator="containsText" text="Política industrial">
      <formula>NOT(ISERROR(SEARCH("Política industrial",G2)))</formula>
    </cfRule>
    <cfRule type="containsText" dxfId="32" priority="9" operator="containsText" text="Sector extractivo y energía">
      <formula>NOT(ISERROR(SEARCH("Sector extractivo y energía",G2)))</formula>
    </cfRule>
    <cfRule type="containsText" dxfId="31" priority="10" operator="containsText" text="Sector primario">
      <formula>NOT(ISERROR(SEARCH("Sector primario",G2)))</formula>
    </cfRule>
    <cfRule type="containsText" dxfId="30" priority="11" operator="containsText" text="Servicios">
      <formula>NOT(ISERROR(SEARCH("Servicios",G2)))</formula>
    </cfRule>
    <cfRule type="containsText" dxfId="29" priority="12" operator="containsText" text="Sector financiero y política monetaria">
      <formula>NOT(ISERROR(SEARCH("Sector financiero y política monetaria",G2)))</formula>
    </cfRule>
    <cfRule type="containsText" dxfId="28" priority="13" operator="containsText" text="Sector exterior">
      <formula>NOT(ISERROR(SEARCH("Sector exterior",G2)))</formula>
    </cfRule>
    <cfRule type="containsText" dxfId="27" priority="14" operator="containsText" text="Gastos y presupuestos">
      <formula>NOT(ISERROR(SEARCH("Gastos y presupuestos",G2)))</formula>
    </cfRule>
    <cfRule type="containsText" dxfId="26" priority="15" operator="containsText" text="Déficit público y financiación del déficit">
      <formula>NOT(ISERROR(SEARCH("Déficit público y financiación del déficit",G2)))</formula>
    </cfRule>
    <cfRule type="containsText" dxfId="25" priority="16" operator="containsText" text="Empresas públicas">
      <formula>NOT(ISERROR(SEARCH("Empresas públicas",G2)))</formula>
    </cfRule>
    <cfRule type="containsText" dxfId="24" priority="17" operator="containsText" text="Impuestos">
      <formula>NOT(ISERROR(SEARCH("Impuestos",G2)))</formula>
    </cfRule>
    <cfRule type="containsText" dxfId="23" priority="36" operator="containsText" text="Mixto">
      <formula>NOT(ISERROR(SEARCH("Mixto",G2)))</formula>
    </cfRule>
    <cfRule type="containsText" dxfId="22" priority="35" operator="containsText" text="Microeconomía">
      <formula>NOT(ISERROR(SEARCH("Microeconomía",G2)))</formula>
    </cfRule>
    <cfRule type="containsText" dxfId="21" priority="34" operator="containsText" text="Macroeconomía">
      <formula>NOT(ISERROR(SEARCH("Macroeconomía",G2)))</formula>
    </cfRule>
    <cfRule type="containsText" dxfId="20" priority="33" operator="containsText" text="Ciclo económico y políticas de demanda">
      <formula>NOT(ISERROR(SEARCH("Ciclo económico y políticas de demanda",G2)))</formula>
    </cfRule>
    <cfRule type="containsText" dxfId="19" priority="32" operator="containsText" text="Demanda Agregada y Oferta Agregada">
      <formula>NOT(ISERROR(SEARCH("Demanda Agregada y Oferta Agregada",G2)))</formula>
    </cfRule>
    <cfRule type="containsText" dxfId="18" priority="31" operator="containsText" text="Crecimiento económico">
      <formula>NOT(ISERROR(SEARCH("Crecimiento económico",G2)))</formula>
    </cfRule>
    <cfRule type="containsText" dxfId="17" priority="30" operator="containsText" text="Economía Abierta">
      <formula>NOT(ISERROR(SEARCH("Economía Abierta",G2)))</formula>
    </cfRule>
    <cfRule type="containsText" dxfId="16" priority="29" operator="containsText" text="Contabilidad Nacional">
      <formula>NOT(ISERROR(SEARCH("Contabilidad Nacional",G2)))</formula>
    </cfRule>
    <cfRule type="containsText" dxfId="15" priority="28" operator="containsText" text="Economía Financiera y Corporativa">
      <formula>NOT(ISERROR(SEARCH("Economía Financiera y Corporativa",G2)))</formula>
    </cfRule>
    <cfRule type="containsText" dxfId="14" priority="27" operator="containsText" text="Economía del Bienestar e Intervención del Sector Público">
      <formula>NOT(ISERROR(SEARCH("Economía del Bienestar e Intervención del Sector Público",G2)))</formula>
    </cfRule>
    <cfRule type="containsText" dxfId="13" priority="26" operator="containsText" text="Unión Europea">
      <formula>NOT(ISERROR(SEARCH("Unión Europea",G2)))</formula>
    </cfRule>
    <cfRule type="containsText" dxfId="12" priority="25" operator="containsText" text="Historia económica">
      <formula>NOT(ISERROR(SEARCH("Historia económica",G2)))</formula>
    </cfRule>
    <cfRule type="containsText" dxfId="11" priority="24" operator="containsText" text="Pensamiento económico">
      <formula>NOT(ISERROR(SEARCH("Pensamiento económico",G2)))</formula>
    </cfRule>
    <cfRule type="containsText" dxfId="10" priority="23" operator="containsText" text="Organismos internacionales">
      <formula>NOT(ISERROR(SEARCH("Organismos internacionales",G2)))</formula>
    </cfRule>
    <cfRule type="containsText" dxfId="9" priority="22" operator="containsText" text="Modelo neoclásico básico">
      <formula>NOT(ISERROR(SEARCH("Modelo neoclásico básico",G2)))</formula>
    </cfRule>
    <cfRule type="containsText" dxfId="8" priority="21" operator="containsText" text="Comercio Internacional">
      <formula>NOT(ISERROR(SEARCH("Comercio Internacional",G2)))</formula>
    </cfRule>
    <cfRule type="containsText" dxfId="7" priority="20" operator="containsText" text="Información y poder de mercado">
      <formula>NOT(ISERROR(SEARCH("Información y poder de mercado",G2)))</formula>
    </cfRule>
    <cfRule type="containsText" dxfId="6" priority="19" operator="containsText" text="Economía del sector público">
      <formula>NOT(ISERROR(SEARCH("Economía del sector público",G2)))</formula>
    </cfRule>
    <cfRule type="containsText" dxfId="5" priority="18" operator="containsText" text="Economía española">
      <formula>NOT(ISERROR(SEARCH("Economía española",G2)))</formula>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270A-429E-4FAA-8847-151D9545971C}">
  <sheetPr codeName="Hoja9"/>
  <dimension ref="C1:N50"/>
  <sheetViews>
    <sheetView showGridLines="0" zoomScale="80" zoomScaleNormal="80" workbookViewId="0">
      <selection activeCell="C3" sqref="C3"/>
    </sheetView>
  </sheetViews>
  <sheetFormatPr baseColWidth="10" defaultColWidth="11.5703125" defaultRowHeight="15" x14ac:dyDescent="0.25"/>
  <cols>
    <col min="1" max="1" width="4.140625" style="21" customWidth="1"/>
    <col min="2" max="2" width="8.42578125" style="21" customWidth="1"/>
    <col min="3" max="3" width="15.7109375" style="21" customWidth="1"/>
    <col min="4" max="10" width="16.140625" style="21" customWidth="1"/>
    <col min="11" max="11" width="11.5703125" style="21"/>
    <col min="12" max="13" width="19.42578125" style="21" customWidth="1"/>
    <col min="14" max="16384" width="11.5703125" style="21"/>
  </cols>
  <sheetData>
    <row r="1" spans="3:14" x14ac:dyDescent="0.25">
      <c r="C1" s="1"/>
      <c r="D1" s="1"/>
      <c r="E1" s="1"/>
      <c r="F1" s="1"/>
      <c r="G1" s="1"/>
      <c r="H1" s="1"/>
      <c r="I1" s="1"/>
      <c r="J1" s="1"/>
      <c r="K1" s="1"/>
      <c r="L1" s="1"/>
      <c r="M1" s="1"/>
    </row>
    <row r="2" spans="3:14" x14ac:dyDescent="0.25">
      <c r="C2" s="22" t="s">
        <v>104</v>
      </c>
      <c r="D2" s="43" t="s">
        <v>97</v>
      </c>
      <c r="E2" s="43" t="s">
        <v>98</v>
      </c>
      <c r="F2" s="43" t="s">
        <v>99</v>
      </c>
      <c r="G2" s="43" t="s">
        <v>100</v>
      </c>
      <c r="H2" s="43" t="s">
        <v>101</v>
      </c>
      <c r="I2" s="43" t="s">
        <v>102</v>
      </c>
      <c r="J2" s="43" t="s">
        <v>103</v>
      </c>
      <c r="K2" s="1"/>
      <c r="L2" s="103" t="s">
        <v>112</v>
      </c>
      <c r="M2" s="103"/>
    </row>
    <row r="3" spans="3:14" x14ac:dyDescent="0.25">
      <c r="C3" s="44">
        <v>0</v>
      </c>
      <c r="D3" s="45" t="s">
        <v>105</v>
      </c>
      <c r="E3" s="45" t="s">
        <v>105</v>
      </c>
      <c r="F3" s="45" t="s">
        <v>105</v>
      </c>
      <c r="G3" s="45" t="s">
        <v>105</v>
      </c>
      <c r="H3" s="45" t="s">
        <v>105</v>
      </c>
      <c r="I3" s="45" t="s">
        <v>105</v>
      </c>
      <c r="J3" s="45" t="s">
        <v>105</v>
      </c>
      <c r="K3" s="1"/>
      <c r="L3" s="5" t="s">
        <v>113</v>
      </c>
      <c r="M3" s="11">
        <f>COUNTIF(Horario[[Sábado]:[Viernes]],"Dormir")*0.5/7</f>
        <v>7.8571428571428568</v>
      </c>
    </row>
    <row r="4" spans="3:14" x14ac:dyDescent="0.25">
      <c r="C4" s="44">
        <v>2.0833333333333332E-2</v>
      </c>
      <c r="D4" s="45" t="s">
        <v>105</v>
      </c>
      <c r="E4" s="45" t="s">
        <v>105</v>
      </c>
      <c r="F4" s="45" t="s">
        <v>105</v>
      </c>
      <c r="G4" s="45" t="s">
        <v>105</v>
      </c>
      <c r="H4" s="45" t="s">
        <v>105</v>
      </c>
      <c r="I4" s="45" t="s">
        <v>105</v>
      </c>
      <c r="J4" s="45" t="s">
        <v>105</v>
      </c>
      <c r="K4" s="1"/>
      <c r="L4" s="5" t="s">
        <v>117</v>
      </c>
      <c r="M4" s="11">
        <f>COUNTIF(Horario[[Sábado]:[Viernes]],"Descanso")*0.5/7</f>
        <v>4.2142857142857144</v>
      </c>
    </row>
    <row r="5" spans="3:14" x14ac:dyDescent="0.25">
      <c r="C5" s="44">
        <v>4.1666666666666699E-2</v>
      </c>
      <c r="D5" s="45" t="s">
        <v>105</v>
      </c>
      <c r="E5" s="45" t="s">
        <v>105</v>
      </c>
      <c r="F5" s="45" t="s">
        <v>105</v>
      </c>
      <c r="G5" s="45" t="s">
        <v>105</v>
      </c>
      <c r="H5" s="45" t="s">
        <v>105</v>
      </c>
      <c r="I5" s="45" t="s">
        <v>105</v>
      </c>
      <c r="J5" s="45" t="s">
        <v>105</v>
      </c>
      <c r="K5" s="1"/>
      <c r="L5" s="5" t="s">
        <v>118</v>
      </c>
      <c r="M5" s="11">
        <f>COUNTIF(Horario[[Sábado]:[Viernes]],"Ejercicio")*0.5/7</f>
        <v>1.2857142857142858</v>
      </c>
    </row>
    <row r="6" spans="3:14" x14ac:dyDescent="0.25">
      <c r="C6" s="44">
        <v>6.25E-2</v>
      </c>
      <c r="D6" s="45" t="s">
        <v>105</v>
      </c>
      <c r="E6" s="45" t="s">
        <v>105</v>
      </c>
      <c r="F6" s="45" t="s">
        <v>105</v>
      </c>
      <c r="G6" s="45" t="s">
        <v>105</v>
      </c>
      <c r="H6" s="45" t="s">
        <v>105</v>
      </c>
      <c r="I6" s="45" t="s">
        <v>105</v>
      </c>
      <c r="J6" s="45" t="s">
        <v>105</v>
      </c>
      <c r="K6" s="1"/>
      <c r="L6" s="5" t="s">
        <v>115</v>
      </c>
      <c r="M6" s="11">
        <f>(COUNTIF(Horario[[Sábado]:[Viernes]],"Desayuno")+COUNTIF(Horario[[Sábado]:[Viernes]],"Comida")+COUNTIF(Horario[[Sábado]:[Viernes]],"Cena"))*0.5/7</f>
        <v>2.9285714285714284</v>
      </c>
    </row>
    <row r="7" spans="3:14" x14ac:dyDescent="0.25">
      <c r="C7" s="44">
        <v>8.3333333333333301E-2</v>
      </c>
      <c r="D7" s="45" t="s">
        <v>105</v>
      </c>
      <c r="E7" s="45" t="s">
        <v>105</v>
      </c>
      <c r="F7" s="45" t="s">
        <v>105</v>
      </c>
      <c r="G7" s="45" t="s">
        <v>105</v>
      </c>
      <c r="H7" s="45" t="s">
        <v>105</v>
      </c>
      <c r="I7" s="45" t="s">
        <v>105</v>
      </c>
      <c r="J7" s="45" t="s">
        <v>105</v>
      </c>
      <c r="K7" s="1"/>
      <c r="L7" s="5" t="s">
        <v>114</v>
      </c>
      <c r="M7" s="11">
        <f>COUNTIF(Horario[[Sábado]:[Viernes]],"Estudiar")*0.5/7</f>
        <v>7.4285714285714288</v>
      </c>
    </row>
    <row r="8" spans="3:14" x14ac:dyDescent="0.25">
      <c r="C8" s="44">
        <v>0.104166666666667</v>
      </c>
      <c r="D8" s="45" t="s">
        <v>105</v>
      </c>
      <c r="E8" s="45" t="s">
        <v>105</v>
      </c>
      <c r="F8" s="45" t="s">
        <v>105</v>
      </c>
      <c r="G8" s="45" t="s">
        <v>105</v>
      </c>
      <c r="H8" s="45" t="s">
        <v>105</v>
      </c>
      <c r="I8" s="45" t="s">
        <v>105</v>
      </c>
      <c r="J8" s="45" t="s">
        <v>105</v>
      </c>
      <c r="K8" s="1"/>
      <c r="L8" s="5" t="s">
        <v>116</v>
      </c>
      <c r="M8" s="11">
        <f>COUNTIF(Horario[[Sábado]:[Viernes]],"Idioma")*0.5/7</f>
        <v>0.2857142857142857</v>
      </c>
    </row>
    <row r="9" spans="3:14" x14ac:dyDescent="0.25">
      <c r="C9" s="44">
        <v>0.125</v>
      </c>
      <c r="D9" s="45" t="s">
        <v>105</v>
      </c>
      <c r="E9" s="45" t="s">
        <v>105</v>
      </c>
      <c r="F9" s="45" t="s">
        <v>105</v>
      </c>
      <c r="G9" s="45" t="s">
        <v>105</v>
      </c>
      <c r="H9" s="45" t="s">
        <v>105</v>
      </c>
      <c r="I9" s="45" t="s">
        <v>105</v>
      </c>
      <c r="J9" s="45" t="s">
        <v>105</v>
      </c>
      <c r="K9" s="1"/>
      <c r="L9" s="5" t="s">
        <v>119</v>
      </c>
      <c r="M9" s="12">
        <f>SUM(M3:M8)</f>
        <v>24</v>
      </c>
    </row>
    <row r="10" spans="3:14" x14ac:dyDescent="0.25">
      <c r="C10" s="44">
        <v>0.14583333333333301</v>
      </c>
      <c r="D10" s="45" t="s">
        <v>105</v>
      </c>
      <c r="E10" s="45" t="s">
        <v>105</v>
      </c>
      <c r="F10" s="45" t="s">
        <v>105</v>
      </c>
      <c r="G10" s="45" t="s">
        <v>105</v>
      </c>
      <c r="H10" s="45" t="s">
        <v>105</v>
      </c>
      <c r="I10" s="45" t="s">
        <v>105</v>
      </c>
      <c r="J10" s="45" t="s">
        <v>105</v>
      </c>
      <c r="K10" s="1"/>
      <c r="L10" s="1"/>
      <c r="M10" s="1"/>
    </row>
    <row r="11" spans="3:14" ht="14.45" customHeight="1" x14ac:dyDescent="0.25">
      <c r="C11" s="44">
        <v>0.16666666666666699</v>
      </c>
      <c r="D11" s="45" t="s">
        <v>105</v>
      </c>
      <c r="E11" s="45" t="s">
        <v>105</v>
      </c>
      <c r="F11" s="45" t="s">
        <v>105</v>
      </c>
      <c r="G11" s="45" t="s">
        <v>105</v>
      </c>
      <c r="H11" s="45" t="s">
        <v>105</v>
      </c>
      <c r="I11" s="45" t="s">
        <v>105</v>
      </c>
      <c r="J11" s="45" t="s">
        <v>105</v>
      </c>
      <c r="K11" s="103" t="s">
        <v>131</v>
      </c>
      <c r="L11" s="103"/>
      <c r="M11" s="103"/>
      <c r="N11" s="103"/>
    </row>
    <row r="12" spans="3:14" x14ac:dyDescent="0.25">
      <c r="C12" s="44">
        <v>0.1875</v>
      </c>
      <c r="D12" s="45" t="s">
        <v>105</v>
      </c>
      <c r="E12" s="45" t="s">
        <v>105</v>
      </c>
      <c r="F12" s="45" t="s">
        <v>105</v>
      </c>
      <c r="G12" s="45" t="s">
        <v>105</v>
      </c>
      <c r="H12" s="45" t="s">
        <v>105</v>
      </c>
      <c r="I12" s="45" t="s">
        <v>105</v>
      </c>
      <c r="J12" s="45" t="s">
        <v>105</v>
      </c>
      <c r="K12" s="1"/>
      <c r="L12" s="5" t="s">
        <v>113</v>
      </c>
      <c r="M12" s="11">
        <f>COUNTIF(Horario[[Domingo]:[Viernes]],"Dormir")*0.5/6</f>
        <v>7.5</v>
      </c>
    </row>
    <row r="13" spans="3:14" x14ac:dyDescent="0.25">
      <c r="C13" s="44">
        <v>0.20833333333333301</v>
      </c>
      <c r="D13" s="45" t="s">
        <v>105</v>
      </c>
      <c r="E13" s="45" t="s">
        <v>105</v>
      </c>
      <c r="F13" s="45" t="s">
        <v>105</v>
      </c>
      <c r="G13" s="45" t="s">
        <v>105</v>
      </c>
      <c r="H13" s="45" t="s">
        <v>105</v>
      </c>
      <c r="I13" s="45" t="s">
        <v>105</v>
      </c>
      <c r="J13" s="45" t="s">
        <v>105</v>
      </c>
      <c r="K13" s="1"/>
      <c r="L13" s="5" t="s">
        <v>117</v>
      </c>
      <c r="M13" s="11">
        <f>COUNTIF(Horario[[Domingo]:[Viernes]],"Descanso")*0.5/6</f>
        <v>3</v>
      </c>
    </row>
    <row r="14" spans="3:14" x14ac:dyDescent="0.25">
      <c r="C14" s="44">
        <v>0.22916666666666699</v>
      </c>
      <c r="D14" s="45" t="s">
        <v>105</v>
      </c>
      <c r="E14" s="45" t="s">
        <v>105</v>
      </c>
      <c r="F14" s="45" t="s">
        <v>105</v>
      </c>
      <c r="G14" s="45" t="s">
        <v>105</v>
      </c>
      <c r="H14" s="45" t="s">
        <v>105</v>
      </c>
      <c r="I14" s="45" t="s">
        <v>105</v>
      </c>
      <c r="J14" s="45" t="s">
        <v>105</v>
      </c>
      <c r="K14" s="1"/>
      <c r="L14" s="5" t="s">
        <v>118</v>
      </c>
      <c r="M14" s="11">
        <f>COUNTIF(Horario[[Domingo]:[Viernes]],"Ejercicio")*0.5/6</f>
        <v>1.5</v>
      </c>
    </row>
    <row r="15" spans="3:14" x14ac:dyDescent="0.25">
      <c r="C15" s="44">
        <v>0.25</v>
      </c>
      <c r="D15" s="45" t="s">
        <v>105</v>
      </c>
      <c r="E15" s="45" t="s">
        <v>105</v>
      </c>
      <c r="F15" s="45" t="s">
        <v>105</v>
      </c>
      <c r="G15" s="45" t="s">
        <v>105</v>
      </c>
      <c r="H15" s="45" t="s">
        <v>105</v>
      </c>
      <c r="I15" s="45" t="s">
        <v>105</v>
      </c>
      <c r="J15" s="45" t="s">
        <v>105</v>
      </c>
      <c r="K15" s="1"/>
      <c r="L15" s="5" t="s">
        <v>115</v>
      </c>
      <c r="M15" s="11">
        <f>(COUNTIF(Horario[[Domingo]:[Viernes]],"Desayuno")+COUNTIF(Horario[[Domingo]:[Viernes]],"Comida")+COUNTIF(Horario[[Domingo]:[Viernes]],"Cena"))*0.5/6</f>
        <v>3</v>
      </c>
    </row>
    <row r="16" spans="3:14" x14ac:dyDescent="0.25">
      <c r="C16" s="44">
        <v>0.27083333333333298</v>
      </c>
      <c r="D16" s="45" t="s">
        <v>105</v>
      </c>
      <c r="E16" s="45" t="s">
        <v>105</v>
      </c>
      <c r="F16" s="45" t="s">
        <v>105</v>
      </c>
      <c r="G16" s="45" t="s">
        <v>105</v>
      </c>
      <c r="H16" s="45" t="s">
        <v>105</v>
      </c>
      <c r="I16" s="45" t="s">
        <v>105</v>
      </c>
      <c r="J16" s="45" t="s">
        <v>105</v>
      </c>
      <c r="K16" s="1"/>
      <c r="L16" s="5" t="s">
        <v>114</v>
      </c>
      <c r="M16" s="11">
        <f>COUNTIF(Horario[[Domingo]:[Viernes]],"Estudiar")*0.5/6</f>
        <v>8.6666666666666661</v>
      </c>
    </row>
    <row r="17" spans="3:13" x14ac:dyDescent="0.25">
      <c r="C17" s="44">
        <v>0.29166666666666702</v>
      </c>
      <c r="D17" s="45" t="s">
        <v>105</v>
      </c>
      <c r="E17" s="45" t="s">
        <v>105</v>
      </c>
      <c r="F17" s="45" t="s">
        <v>105</v>
      </c>
      <c r="G17" s="45" t="s">
        <v>105</v>
      </c>
      <c r="H17" s="45" t="s">
        <v>105</v>
      </c>
      <c r="I17" s="45" t="s">
        <v>105</v>
      </c>
      <c r="J17" s="45" t="s">
        <v>105</v>
      </c>
      <c r="K17" s="1"/>
      <c r="L17" s="5" t="s">
        <v>116</v>
      </c>
      <c r="M17" s="11">
        <f>COUNTIF(Horario[[Domingo]:[Viernes]],"Idioma")*0.5/6</f>
        <v>0.33333333333333331</v>
      </c>
    </row>
    <row r="18" spans="3:13" x14ac:dyDescent="0.25">
      <c r="C18" s="44">
        <v>0.3125</v>
      </c>
      <c r="D18" s="45" t="s">
        <v>105</v>
      </c>
      <c r="E18" s="45" t="s">
        <v>106</v>
      </c>
      <c r="F18" s="45" t="s">
        <v>106</v>
      </c>
      <c r="G18" s="45" t="s">
        <v>106</v>
      </c>
      <c r="H18" s="45" t="s">
        <v>106</v>
      </c>
      <c r="I18" s="45" t="s">
        <v>106</v>
      </c>
      <c r="J18" s="45" t="s">
        <v>106</v>
      </c>
      <c r="K18" s="1"/>
      <c r="L18" s="5" t="s">
        <v>119</v>
      </c>
      <c r="M18" s="12">
        <f>SUM(M12:M17)</f>
        <v>23.999999999999996</v>
      </c>
    </row>
    <row r="19" spans="3:13" x14ac:dyDescent="0.25">
      <c r="C19" s="44">
        <v>0.33333333333333298</v>
      </c>
      <c r="D19" s="45" t="s">
        <v>105</v>
      </c>
      <c r="E19" s="45" t="s">
        <v>106</v>
      </c>
      <c r="F19" s="45" t="s">
        <v>106</v>
      </c>
      <c r="G19" s="45" t="s">
        <v>106</v>
      </c>
      <c r="H19" s="45" t="s">
        <v>106</v>
      </c>
      <c r="I19" s="45" t="s">
        <v>106</v>
      </c>
      <c r="J19" s="45" t="s">
        <v>106</v>
      </c>
    </row>
    <row r="20" spans="3:13" x14ac:dyDescent="0.25">
      <c r="C20" s="44">
        <v>0.35416666666666702</v>
      </c>
      <c r="D20" s="45" t="s">
        <v>105</v>
      </c>
      <c r="E20" s="45" t="s">
        <v>107</v>
      </c>
      <c r="F20" s="45" t="s">
        <v>107</v>
      </c>
      <c r="G20" s="45" t="s">
        <v>107</v>
      </c>
      <c r="H20" s="45" t="s">
        <v>107</v>
      </c>
      <c r="I20" s="45" t="s">
        <v>107</v>
      </c>
      <c r="J20" s="45" t="s">
        <v>107</v>
      </c>
    </row>
    <row r="21" spans="3:13" x14ac:dyDescent="0.25">
      <c r="C21" s="44">
        <v>0.375</v>
      </c>
      <c r="D21" s="45" t="s">
        <v>105</v>
      </c>
      <c r="E21" s="45" t="s">
        <v>107</v>
      </c>
      <c r="F21" s="45" t="s">
        <v>107</v>
      </c>
      <c r="G21" s="45" t="s">
        <v>107</v>
      </c>
      <c r="H21" s="45" t="s">
        <v>107</v>
      </c>
      <c r="I21" s="45" t="s">
        <v>107</v>
      </c>
      <c r="J21" s="45" t="s">
        <v>107</v>
      </c>
    </row>
    <row r="22" spans="3:13" x14ac:dyDescent="0.25">
      <c r="C22" s="44">
        <v>0.39583333333333298</v>
      </c>
      <c r="D22" s="45" t="s">
        <v>105</v>
      </c>
      <c r="E22" s="45" t="s">
        <v>107</v>
      </c>
      <c r="F22" s="45" t="s">
        <v>107</v>
      </c>
      <c r="G22" s="45" t="s">
        <v>107</v>
      </c>
      <c r="H22" s="45" t="s">
        <v>107</v>
      </c>
      <c r="I22" s="45" t="s">
        <v>107</v>
      </c>
      <c r="J22" s="45" t="s">
        <v>107</v>
      </c>
    </row>
    <row r="23" spans="3:13" x14ac:dyDescent="0.25">
      <c r="C23" s="44">
        <v>0.41666666666666702</v>
      </c>
      <c r="D23" s="45" t="s">
        <v>106</v>
      </c>
      <c r="E23" s="45" t="s">
        <v>107</v>
      </c>
      <c r="F23" s="45" t="s">
        <v>107</v>
      </c>
      <c r="G23" s="45" t="s">
        <v>107</v>
      </c>
      <c r="H23" s="45" t="s">
        <v>107</v>
      </c>
      <c r="I23" s="45" t="s">
        <v>107</v>
      </c>
      <c r="J23" s="45" t="s">
        <v>107</v>
      </c>
    </row>
    <row r="24" spans="3:13" x14ac:dyDescent="0.25">
      <c r="C24" s="44">
        <v>0.4375</v>
      </c>
      <c r="D24" s="45" t="s">
        <v>108</v>
      </c>
      <c r="E24" s="45" t="s">
        <v>107</v>
      </c>
      <c r="F24" s="45" t="s">
        <v>107</v>
      </c>
      <c r="G24" s="45" t="s">
        <v>107</v>
      </c>
      <c r="H24" s="45" t="s">
        <v>107</v>
      </c>
      <c r="I24" s="45" t="s">
        <v>107</v>
      </c>
      <c r="J24" s="45" t="s">
        <v>107</v>
      </c>
    </row>
    <row r="25" spans="3:13" x14ac:dyDescent="0.25">
      <c r="C25" s="44">
        <v>0.45833333333333298</v>
      </c>
      <c r="D25" s="45" t="s">
        <v>108</v>
      </c>
      <c r="E25" s="45" t="s">
        <v>108</v>
      </c>
      <c r="F25" s="45" t="s">
        <v>108</v>
      </c>
      <c r="G25" s="45" t="s">
        <v>108</v>
      </c>
      <c r="H25" s="45" t="s">
        <v>108</v>
      </c>
      <c r="I25" s="45" t="s">
        <v>108</v>
      </c>
      <c r="J25" s="45" t="s">
        <v>108</v>
      </c>
    </row>
    <row r="26" spans="3:13" x14ac:dyDescent="0.25">
      <c r="C26" s="44">
        <v>0.47916666666666702</v>
      </c>
      <c r="D26" s="45" t="s">
        <v>108</v>
      </c>
      <c r="E26" s="45" t="s">
        <v>107</v>
      </c>
      <c r="F26" s="45" t="s">
        <v>107</v>
      </c>
      <c r="G26" s="45" t="s">
        <v>107</v>
      </c>
      <c r="H26" s="45" t="s">
        <v>107</v>
      </c>
      <c r="I26" s="45" t="s">
        <v>107</v>
      </c>
      <c r="J26" s="45" t="s">
        <v>107</v>
      </c>
    </row>
    <row r="27" spans="3:13" x14ac:dyDescent="0.25">
      <c r="C27" s="44">
        <v>0.5</v>
      </c>
      <c r="D27" s="45" t="s">
        <v>108</v>
      </c>
      <c r="E27" s="45" t="s">
        <v>107</v>
      </c>
      <c r="F27" s="45" t="s">
        <v>107</v>
      </c>
      <c r="G27" s="45" t="s">
        <v>107</v>
      </c>
      <c r="H27" s="45" t="s">
        <v>107</v>
      </c>
      <c r="I27" s="45" t="s">
        <v>107</v>
      </c>
      <c r="J27" s="45" t="s">
        <v>107</v>
      </c>
    </row>
    <row r="28" spans="3:13" x14ac:dyDescent="0.25">
      <c r="C28" s="44">
        <v>0.52083333333333304</v>
      </c>
      <c r="D28" s="45" t="s">
        <v>108</v>
      </c>
      <c r="E28" s="45" t="s">
        <v>107</v>
      </c>
      <c r="F28" s="45" t="s">
        <v>107</v>
      </c>
      <c r="G28" s="45" t="s">
        <v>107</v>
      </c>
      <c r="H28" s="45" t="s">
        <v>107</v>
      </c>
      <c r="I28" s="45" t="s">
        <v>107</v>
      </c>
      <c r="J28" s="45" t="s">
        <v>107</v>
      </c>
    </row>
    <row r="29" spans="3:13" x14ac:dyDescent="0.25">
      <c r="C29" s="44">
        <v>0.54166666666666696</v>
      </c>
      <c r="D29" s="45" t="s">
        <v>108</v>
      </c>
      <c r="E29" s="45" t="s">
        <v>107</v>
      </c>
      <c r="F29" s="45" t="s">
        <v>107</v>
      </c>
      <c r="G29" s="45" t="s">
        <v>107</v>
      </c>
      <c r="H29" s="45" t="s">
        <v>107</v>
      </c>
      <c r="I29" s="45" t="s">
        <v>107</v>
      </c>
      <c r="J29" s="45" t="s">
        <v>107</v>
      </c>
    </row>
    <row r="30" spans="3:13" x14ac:dyDescent="0.25">
      <c r="C30" s="44">
        <v>0.5625</v>
      </c>
      <c r="D30" s="45" t="s">
        <v>108</v>
      </c>
      <c r="E30" s="45" t="s">
        <v>107</v>
      </c>
      <c r="F30" s="45" t="s">
        <v>107</v>
      </c>
      <c r="G30" s="45" t="s">
        <v>107</v>
      </c>
      <c r="H30" s="45" t="s">
        <v>109</v>
      </c>
      <c r="I30" s="45" t="s">
        <v>107</v>
      </c>
      <c r="J30" s="45" t="s">
        <v>107</v>
      </c>
    </row>
    <row r="31" spans="3:13" x14ac:dyDescent="0.25">
      <c r="C31" s="44">
        <v>0.58333333333333304</v>
      </c>
      <c r="D31" s="45" t="s">
        <v>108</v>
      </c>
      <c r="E31" s="45" t="s">
        <v>107</v>
      </c>
      <c r="F31" s="45" t="s">
        <v>107</v>
      </c>
      <c r="G31" s="45" t="s">
        <v>107</v>
      </c>
      <c r="H31" s="45" t="s">
        <v>109</v>
      </c>
      <c r="I31" s="45" t="s">
        <v>107</v>
      </c>
      <c r="J31" s="45" t="s">
        <v>107</v>
      </c>
    </row>
    <row r="32" spans="3:13" x14ac:dyDescent="0.25">
      <c r="C32" s="44">
        <v>0.60416666666666696</v>
      </c>
      <c r="D32" s="45" t="s">
        <v>111</v>
      </c>
      <c r="E32" s="45" t="s">
        <v>111</v>
      </c>
      <c r="F32" s="45" t="s">
        <v>111</v>
      </c>
      <c r="G32" s="45" t="s">
        <v>111</v>
      </c>
      <c r="H32" s="45" t="s">
        <v>111</v>
      </c>
      <c r="I32" s="45" t="s">
        <v>111</v>
      </c>
      <c r="J32" s="45" t="s">
        <v>111</v>
      </c>
    </row>
    <row r="33" spans="3:10" x14ac:dyDescent="0.25">
      <c r="C33" s="44">
        <v>0.625</v>
      </c>
      <c r="D33" s="45" t="s">
        <v>111</v>
      </c>
      <c r="E33" s="45" t="s">
        <v>111</v>
      </c>
      <c r="F33" s="45" t="s">
        <v>111</v>
      </c>
      <c r="G33" s="45" t="s">
        <v>111</v>
      </c>
      <c r="H33" s="45" t="s">
        <v>111</v>
      </c>
      <c r="I33" s="45" t="s">
        <v>111</v>
      </c>
      <c r="J33" s="45" t="s">
        <v>111</v>
      </c>
    </row>
    <row r="34" spans="3:10" x14ac:dyDescent="0.25">
      <c r="C34" s="44">
        <v>0.64583333333333304</v>
      </c>
      <c r="D34" s="45" t="s">
        <v>111</v>
      </c>
      <c r="E34" s="45" t="s">
        <v>111</v>
      </c>
      <c r="F34" s="45" t="s">
        <v>111</v>
      </c>
      <c r="G34" s="45" t="s">
        <v>111</v>
      </c>
      <c r="H34" s="45" t="s">
        <v>111</v>
      </c>
      <c r="I34" s="45" t="s">
        <v>111</v>
      </c>
      <c r="J34" s="45" t="s">
        <v>111</v>
      </c>
    </row>
    <row r="35" spans="3:10" x14ac:dyDescent="0.25">
      <c r="C35" s="44">
        <v>0.66666666666666696</v>
      </c>
      <c r="D35" s="45" t="s">
        <v>108</v>
      </c>
      <c r="E35" s="45" t="s">
        <v>109</v>
      </c>
      <c r="F35" s="45" t="s">
        <v>107</v>
      </c>
      <c r="G35" s="45" t="s">
        <v>107</v>
      </c>
      <c r="H35" s="45" t="s">
        <v>107</v>
      </c>
      <c r="I35" s="45" t="s">
        <v>107</v>
      </c>
      <c r="J35" s="45" t="s">
        <v>107</v>
      </c>
    </row>
    <row r="36" spans="3:10" x14ac:dyDescent="0.25">
      <c r="C36" s="44">
        <v>0.6875</v>
      </c>
      <c r="D36" s="45" t="s">
        <v>108</v>
      </c>
      <c r="E36" s="45" t="s">
        <v>109</v>
      </c>
      <c r="F36" s="45" t="s">
        <v>107</v>
      </c>
      <c r="G36" s="45" t="s">
        <v>107</v>
      </c>
      <c r="H36" s="45" t="s">
        <v>107</v>
      </c>
      <c r="I36" s="45" t="s">
        <v>107</v>
      </c>
      <c r="J36" s="45" t="s">
        <v>107</v>
      </c>
    </row>
    <row r="37" spans="3:10" x14ac:dyDescent="0.25">
      <c r="C37" s="44">
        <v>0.70833333333333304</v>
      </c>
      <c r="D37" s="45" t="s">
        <v>108</v>
      </c>
      <c r="E37" s="45" t="s">
        <v>107</v>
      </c>
      <c r="F37" s="45" t="s">
        <v>107</v>
      </c>
      <c r="G37" s="45" t="s">
        <v>107</v>
      </c>
      <c r="H37" s="45" t="s">
        <v>107</v>
      </c>
      <c r="I37" s="45" t="s">
        <v>107</v>
      </c>
      <c r="J37" s="45" t="s">
        <v>107</v>
      </c>
    </row>
    <row r="38" spans="3:10" x14ac:dyDescent="0.25">
      <c r="C38" s="44">
        <v>0.72916666666666696</v>
      </c>
      <c r="D38" s="45" t="s">
        <v>108</v>
      </c>
      <c r="E38" s="45" t="s">
        <v>107</v>
      </c>
      <c r="F38" s="45" t="s">
        <v>107</v>
      </c>
      <c r="G38" s="45" t="s">
        <v>107</v>
      </c>
      <c r="H38" s="45" t="s">
        <v>107</v>
      </c>
      <c r="I38" s="45" t="s">
        <v>107</v>
      </c>
      <c r="J38" s="45" t="s">
        <v>107</v>
      </c>
    </row>
    <row r="39" spans="3:10" x14ac:dyDescent="0.25">
      <c r="C39" s="44">
        <v>0.75</v>
      </c>
      <c r="D39" s="45" t="s">
        <v>108</v>
      </c>
      <c r="E39" s="45" t="s">
        <v>108</v>
      </c>
      <c r="F39" s="45" t="s">
        <v>108</v>
      </c>
      <c r="G39" s="45" t="s">
        <v>108</v>
      </c>
      <c r="H39" s="45" t="s">
        <v>108</v>
      </c>
      <c r="I39" s="45" t="s">
        <v>108</v>
      </c>
      <c r="J39" s="45" t="s">
        <v>108</v>
      </c>
    </row>
    <row r="40" spans="3:10" x14ac:dyDescent="0.25">
      <c r="C40" s="44">
        <v>0.77083333333333304</v>
      </c>
      <c r="D40" s="45" t="s">
        <v>108</v>
      </c>
      <c r="E40" s="45" t="s">
        <v>107</v>
      </c>
      <c r="F40" s="45" t="s">
        <v>107</v>
      </c>
      <c r="G40" s="45" t="s">
        <v>107</v>
      </c>
      <c r="H40" s="45" t="s">
        <v>107</v>
      </c>
      <c r="I40" s="45" t="s">
        <v>107</v>
      </c>
      <c r="J40" s="45" t="s">
        <v>107</v>
      </c>
    </row>
    <row r="41" spans="3:10" x14ac:dyDescent="0.25">
      <c r="C41" s="44">
        <v>0.79166666666666696</v>
      </c>
      <c r="D41" s="45" t="s">
        <v>108</v>
      </c>
      <c r="E41" s="45" t="s">
        <v>107</v>
      </c>
      <c r="F41" s="45" t="s">
        <v>107</v>
      </c>
      <c r="G41" s="45" t="s">
        <v>107</v>
      </c>
      <c r="H41" s="45" t="s">
        <v>107</v>
      </c>
      <c r="I41" s="45" t="s">
        <v>107</v>
      </c>
      <c r="J41" s="45" t="s">
        <v>107</v>
      </c>
    </row>
    <row r="42" spans="3:10" x14ac:dyDescent="0.25">
      <c r="C42" s="44">
        <v>0.8125</v>
      </c>
      <c r="D42" s="45" t="s">
        <v>108</v>
      </c>
      <c r="E42" s="45" t="s">
        <v>107</v>
      </c>
      <c r="F42" s="45" t="s">
        <v>107</v>
      </c>
      <c r="G42" s="45" t="s">
        <v>107</v>
      </c>
      <c r="H42" s="45" t="s">
        <v>107</v>
      </c>
      <c r="I42" s="45" t="s">
        <v>107</v>
      </c>
      <c r="J42" s="45" t="s">
        <v>107</v>
      </c>
    </row>
    <row r="43" spans="3:10" x14ac:dyDescent="0.25">
      <c r="C43" s="44">
        <v>0.83333333333333304</v>
      </c>
      <c r="D43" s="45" t="s">
        <v>108</v>
      </c>
      <c r="E43" s="45" t="s">
        <v>32</v>
      </c>
      <c r="F43" s="45" t="s">
        <v>32</v>
      </c>
      <c r="G43" s="45" t="s">
        <v>32</v>
      </c>
      <c r="H43" s="45" t="s">
        <v>32</v>
      </c>
      <c r="I43" s="45" t="s">
        <v>32</v>
      </c>
      <c r="J43" s="45" t="s">
        <v>32</v>
      </c>
    </row>
    <row r="44" spans="3:10" x14ac:dyDescent="0.25">
      <c r="C44" s="44">
        <v>0.85416666666666696</v>
      </c>
      <c r="D44" s="45" t="s">
        <v>108</v>
      </c>
      <c r="E44" s="45" t="s">
        <v>32</v>
      </c>
      <c r="F44" s="45" t="s">
        <v>32</v>
      </c>
      <c r="G44" s="45" t="s">
        <v>32</v>
      </c>
      <c r="H44" s="45" t="s">
        <v>32</v>
      </c>
      <c r="I44" s="45" t="s">
        <v>32</v>
      </c>
      <c r="J44" s="45" t="s">
        <v>32</v>
      </c>
    </row>
    <row r="45" spans="3:10" x14ac:dyDescent="0.25">
      <c r="C45" s="44">
        <v>0.875</v>
      </c>
      <c r="D45" s="45" t="s">
        <v>108</v>
      </c>
      <c r="E45" s="45" t="s">
        <v>32</v>
      </c>
      <c r="F45" s="45" t="s">
        <v>32</v>
      </c>
      <c r="G45" s="45" t="s">
        <v>32</v>
      </c>
      <c r="H45" s="45" t="s">
        <v>32</v>
      </c>
      <c r="I45" s="45" t="s">
        <v>32</v>
      </c>
      <c r="J45" s="45" t="s">
        <v>32</v>
      </c>
    </row>
    <row r="46" spans="3:10" x14ac:dyDescent="0.25">
      <c r="C46" s="44">
        <v>0.89583333333333304</v>
      </c>
      <c r="D46" s="45" t="s">
        <v>110</v>
      </c>
      <c r="E46" s="45" t="s">
        <v>110</v>
      </c>
      <c r="F46" s="45" t="s">
        <v>110</v>
      </c>
      <c r="G46" s="45" t="s">
        <v>110</v>
      </c>
      <c r="H46" s="45" t="s">
        <v>110</v>
      </c>
      <c r="I46" s="45" t="s">
        <v>110</v>
      </c>
      <c r="J46" s="45" t="s">
        <v>110</v>
      </c>
    </row>
    <row r="47" spans="3:10" x14ac:dyDescent="0.25">
      <c r="C47" s="44">
        <v>0.91666666666666496</v>
      </c>
      <c r="D47" s="45" t="s">
        <v>108</v>
      </c>
      <c r="E47" s="45" t="s">
        <v>108</v>
      </c>
      <c r="F47" s="45" t="s">
        <v>108</v>
      </c>
      <c r="G47" s="45" t="s">
        <v>108</v>
      </c>
      <c r="H47" s="45" t="s">
        <v>108</v>
      </c>
      <c r="I47" s="45" t="s">
        <v>108</v>
      </c>
      <c r="J47" s="45" t="s">
        <v>108</v>
      </c>
    </row>
    <row r="48" spans="3:10" x14ac:dyDescent="0.25">
      <c r="C48" s="44">
        <v>0.937499999999998</v>
      </c>
      <c r="D48" s="45" t="s">
        <v>108</v>
      </c>
      <c r="E48" s="45" t="s">
        <v>108</v>
      </c>
      <c r="F48" s="45" t="s">
        <v>108</v>
      </c>
      <c r="G48" s="45" t="s">
        <v>108</v>
      </c>
      <c r="H48" s="45" t="s">
        <v>108</v>
      </c>
      <c r="I48" s="45" t="s">
        <v>108</v>
      </c>
      <c r="J48" s="45" t="s">
        <v>108</v>
      </c>
    </row>
    <row r="49" spans="3:10" x14ac:dyDescent="0.25">
      <c r="C49" s="44">
        <v>0.95833333333333104</v>
      </c>
      <c r="D49" s="45" t="s">
        <v>108</v>
      </c>
      <c r="E49" s="45" t="s">
        <v>108</v>
      </c>
      <c r="F49" s="45" t="s">
        <v>108</v>
      </c>
      <c r="G49" s="45" t="s">
        <v>108</v>
      </c>
      <c r="H49" s="45" t="s">
        <v>108</v>
      </c>
      <c r="I49" s="45" t="s">
        <v>108</v>
      </c>
      <c r="J49" s="45" t="s">
        <v>108</v>
      </c>
    </row>
    <row r="50" spans="3:10" x14ac:dyDescent="0.25">
      <c r="C50" s="44">
        <v>0.97916666666666397</v>
      </c>
      <c r="D50" s="45" t="s">
        <v>108</v>
      </c>
      <c r="E50" s="45" t="s">
        <v>108</v>
      </c>
      <c r="F50" s="45" t="s">
        <v>108</v>
      </c>
      <c r="G50" s="45" t="s">
        <v>108</v>
      </c>
      <c r="H50" s="45" t="s">
        <v>108</v>
      </c>
      <c r="I50" s="45" t="s">
        <v>108</v>
      </c>
      <c r="J50" s="45" t="s">
        <v>108</v>
      </c>
    </row>
  </sheetData>
  <sheetProtection algorithmName="SHA-512" hashValue="bKb5mEIsxn78fg60h8pofTOwnm09WPEuACj06WR459uLoKkCRBw9z7MexxwfteI8Nja5hLVSBSoMCGv3tLu0sA==" saltValue="+W49j3LrF4th6GdSZMbhcQ==" spinCount="100000" sheet="1" objects="1" scenarios="1"/>
  <mergeCells count="2">
    <mergeCell ref="L2:M2"/>
    <mergeCell ref="K11:N11"/>
  </mergeCells>
  <conditionalFormatting sqref="D3:J50">
    <cfRule type="containsText" dxfId="94" priority="3" operator="containsText" text="Comida">
      <formula>NOT(ISERROR(SEARCH("Comida",D3)))</formula>
    </cfRule>
    <cfRule type="containsText" dxfId="93" priority="4" operator="containsText" text="Desayuno">
      <formula>NOT(ISERROR(SEARCH("Desayuno",D3)))</formula>
    </cfRule>
    <cfRule type="containsText" dxfId="92" priority="5" operator="containsText" text="Idioma">
      <formula>NOT(ISERROR(SEARCH("Idioma",D3)))</formula>
    </cfRule>
    <cfRule type="containsText" dxfId="91" priority="6" operator="containsText" text="Ejercicio">
      <formula>NOT(ISERROR(SEARCH("Ejercicio",D3)))</formula>
    </cfRule>
    <cfRule type="containsText" dxfId="90" priority="7" operator="containsText" text="Estudiar">
      <formula>NOT(ISERROR(SEARCH("Estudiar",D3)))</formula>
    </cfRule>
    <cfRule type="containsText" dxfId="89" priority="8" operator="containsText" text="Descanso">
      <formula>NOT(ISERROR(SEARCH("Descanso",D3)))</formula>
    </cfRule>
    <cfRule type="containsText" dxfId="88" priority="9" operator="containsText" text="Dormir">
      <formula>NOT(ISERROR(SEARCH("Dormir",D3)))</formula>
    </cfRule>
    <cfRule type="containsText" dxfId="87" priority="1" operator="containsText" text="Cena">
      <formula>NOT(ISERROR(SEARCH("Cena",D3)))</formula>
    </cfRule>
  </conditionalFormatting>
  <pageMargins left="0.7" right="0.7"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Menú</vt:lpstr>
      <vt:lpstr>Probabilidades</vt:lpstr>
      <vt:lpstr>Ej. 3</vt:lpstr>
      <vt:lpstr>Ej. 4</vt:lpstr>
      <vt:lpstr>Ej. 5</vt:lpstr>
      <vt:lpstr>Probabilidad de aprobar</vt:lpstr>
      <vt:lpstr>Sorteos</vt:lpstr>
      <vt:lpstr>Simulador de sorteos</vt:lpstr>
      <vt:lpstr>Sorteo de temas predefinidos</vt:lpstr>
      <vt:lpstr>Temario</vt:lpstr>
      <vt:lpstr>Listado de temas</vt:lpstr>
      <vt:lpstr>Tabla dinámica temas</vt:lpstr>
      <vt:lpstr>Organización del estudio</vt:lpstr>
      <vt:lpstr>Cronograma</vt:lpstr>
      <vt:lpstr>Horario de estudio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Víctor Gutiérrez Marcos</dc:creator>
  <cp:lastModifiedBy>Víctor Gutiérrez Marcos</cp:lastModifiedBy>
  <cp:lastPrinted>2023-02-10T23:23:51Z</cp:lastPrinted>
  <dcterms:created xsi:type="dcterms:W3CDTF">2020-10-16T07:20:22Z</dcterms:created>
  <dcterms:modified xsi:type="dcterms:W3CDTF">2024-08-10T07:13:33Z</dcterms:modified>
</cp:coreProperties>
</file>